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darshanraju\OneDrive - Delft University of Technology\Desktop\A6\Experimental_data\CO2_H2\"/>
    </mc:Choice>
  </mc:AlternateContent>
  <xr:revisionPtr revIDLastSave="0" documentId="13_ncr:1_{E2697C4B-9792-4186-AB5A-E9245481DD65}" xr6:coauthVersionLast="47" xr6:coauthVersionMax="47" xr10:uidLastSave="{00000000-0000-0000-0000-000000000000}"/>
  <bookViews>
    <workbookView xWindow="-28920" yWindow="-60" windowWidth="29040" windowHeight="15720" activeTab="2" xr2:uid="{00000000-000D-0000-FFFF-FFFF00000000}"/>
  </bookViews>
  <sheets>
    <sheet name="Verschoyle et al. 1931" sheetId="1" r:id="rId1"/>
    <sheet name="Akers et al. 1957" sheetId="3" r:id="rId2"/>
    <sheet name="Tsang et al. 1981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5" i="2" l="1"/>
  <c r="C135" i="2"/>
  <c r="E134" i="2"/>
  <c r="C134" i="2"/>
  <c r="E133" i="2"/>
  <c r="C133" i="2"/>
  <c r="E132" i="2"/>
  <c r="C132" i="2"/>
  <c r="E131" i="2"/>
  <c r="C131" i="2"/>
  <c r="E130" i="2"/>
  <c r="C130" i="2"/>
  <c r="E129" i="2"/>
  <c r="C129" i="2"/>
  <c r="E128" i="2"/>
  <c r="C128" i="2"/>
  <c r="E127" i="2"/>
  <c r="C127" i="2"/>
  <c r="E126" i="2"/>
  <c r="C126" i="2"/>
  <c r="E125" i="2"/>
  <c r="C125" i="2"/>
  <c r="E124" i="2"/>
  <c r="C124" i="2"/>
  <c r="E123" i="2"/>
  <c r="C123" i="2"/>
  <c r="E122" i="2"/>
  <c r="C122" i="2"/>
  <c r="E121" i="2"/>
  <c r="C121" i="2"/>
  <c r="E120" i="2"/>
  <c r="C120" i="2"/>
  <c r="E119" i="2"/>
  <c r="C119" i="2"/>
  <c r="E118" i="2"/>
  <c r="C118" i="2"/>
  <c r="E117" i="2"/>
  <c r="C117" i="2"/>
  <c r="E116" i="2"/>
  <c r="C116" i="2"/>
  <c r="E115" i="2"/>
  <c r="C115" i="2"/>
  <c r="E114" i="2"/>
  <c r="C114" i="2"/>
  <c r="E113" i="2"/>
  <c r="C113" i="2"/>
  <c r="E112" i="2"/>
  <c r="C112" i="2"/>
  <c r="E111" i="2"/>
  <c r="C111" i="2"/>
  <c r="E110" i="2"/>
  <c r="C110" i="2"/>
  <c r="E109" i="2"/>
  <c r="C109" i="2"/>
  <c r="E108" i="2"/>
  <c r="C108" i="2"/>
  <c r="E107" i="2"/>
  <c r="C107" i="2"/>
  <c r="E106" i="2"/>
  <c r="C106" i="2"/>
  <c r="E105" i="2"/>
  <c r="C105" i="2"/>
  <c r="E104" i="2"/>
  <c r="C104" i="2"/>
  <c r="E103" i="2"/>
  <c r="C103" i="2"/>
  <c r="E102" i="2"/>
  <c r="C102" i="2"/>
  <c r="E101" i="2"/>
  <c r="C101" i="2"/>
  <c r="E100" i="2"/>
  <c r="C100" i="2"/>
  <c r="E99" i="2"/>
  <c r="C99" i="2"/>
  <c r="E98" i="2"/>
  <c r="C98" i="2"/>
  <c r="E97" i="2"/>
  <c r="C97" i="2"/>
  <c r="E96" i="2"/>
  <c r="C96" i="2"/>
  <c r="E95" i="2"/>
  <c r="C95" i="2"/>
  <c r="E94" i="2"/>
  <c r="C94" i="2"/>
  <c r="E93" i="2"/>
  <c r="C93" i="2"/>
  <c r="E92" i="2"/>
  <c r="C92" i="2"/>
  <c r="E91" i="2"/>
  <c r="C91" i="2"/>
  <c r="E90" i="2"/>
  <c r="C90" i="2"/>
  <c r="E89" i="2"/>
  <c r="C89" i="2"/>
  <c r="E88" i="2"/>
  <c r="C88" i="2"/>
  <c r="E87" i="2"/>
  <c r="C87" i="2"/>
  <c r="E86" i="2"/>
  <c r="C86" i="2"/>
  <c r="E85" i="2"/>
  <c r="C85" i="2"/>
  <c r="E84" i="2"/>
  <c r="C84" i="2"/>
  <c r="E83" i="2"/>
  <c r="C83" i="2"/>
  <c r="E82" i="2"/>
  <c r="C82" i="2"/>
  <c r="E81" i="2"/>
  <c r="C81" i="2"/>
  <c r="E80" i="2"/>
  <c r="C80" i="2"/>
  <c r="E79" i="2"/>
  <c r="C79" i="2"/>
  <c r="E78" i="2"/>
  <c r="C78" i="2"/>
  <c r="E77" i="2"/>
  <c r="C77" i="2"/>
  <c r="E76" i="2"/>
  <c r="C76" i="2"/>
  <c r="E75" i="2"/>
  <c r="C75" i="2"/>
  <c r="E74" i="2"/>
  <c r="C74" i="2"/>
  <c r="E73" i="2"/>
  <c r="C73" i="2"/>
  <c r="E72" i="2"/>
  <c r="C72" i="2"/>
  <c r="E71" i="2"/>
  <c r="C71" i="2"/>
  <c r="E70" i="2"/>
  <c r="C70" i="2"/>
  <c r="E69" i="2"/>
  <c r="C69" i="2"/>
  <c r="E68" i="2"/>
  <c r="C68" i="2"/>
  <c r="E67" i="2"/>
  <c r="C67" i="2"/>
  <c r="E66" i="2"/>
  <c r="C66" i="2"/>
  <c r="E65" i="2"/>
  <c r="C65" i="2"/>
  <c r="E64" i="2"/>
  <c r="C64" i="2"/>
  <c r="E63" i="2"/>
  <c r="C63" i="2"/>
  <c r="E62" i="2"/>
  <c r="C62" i="2"/>
  <c r="E61" i="2"/>
  <c r="C61" i="2"/>
  <c r="E60" i="2"/>
  <c r="C60" i="2"/>
  <c r="E59" i="2"/>
  <c r="C59" i="2"/>
  <c r="E58" i="2"/>
  <c r="C58" i="2"/>
  <c r="E57" i="2"/>
  <c r="C57" i="2"/>
  <c r="E56" i="2"/>
  <c r="C56" i="2"/>
  <c r="E55" i="2"/>
  <c r="C55" i="2"/>
  <c r="E54" i="2"/>
  <c r="C54" i="2"/>
  <c r="E53" i="2"/>
  <c r="C53" i="2"/>
  <c r="E52" i="2"/>
  <c r="C52" i="2"/>
  <c r="E51" i="2"/>
  <c r="C51" i="2"/>
  <c r="E50" i="2"/>
  <c r="C50" i="2"/>
  <c r="E49" i="2"/>
  <c r="C49" i="2"/>
  <c r="E48" i="2"/>
  <c r="C48" i="2"/>
  <c r="E47" i="2"/>
  <c r="C47" i="2"/>
  <c r="E46" i="2"/>
  <c r="C46" i="2"/>
  <c r="E45" i="2"/>
  <c r="C45" i="2"/>
  <c r="E44" i="2"/>
  <c r="C44" i="2"/>
  <c r="E43" i="2"/>
  <c r="C43" i="2"/>
  <c r="E42" i="2"/>
  <c r="C42" i="2"/>
  <c r="E41" i="2"/>
  <c r="C41" i="2"/>
  <c r="E40" i="2"/>
  <c r="C40" i="2"/>
  <c r="E39" i="2"/>
  <c r="C39" i="2"/>
  <c r="E38" i="2"/>
  <c r="C38" i="2"/>
  <c r="E37" i="2"/>
  <c r="C37" i="2"/>
  <c r="E36" i="2"/>
  <c r="C36" i="2"/>
  <c r="E35" i="2"/>
  <c r="C35" i="2"/>
  <c r="E34" i="2"/>
  <c r="C34" i="2"/>
  <c r="E33" i="2"/>
  <c r="C33" i="2"/>
  <c r="E32" i="2"/>
  <c r="C32" i="2"/>
  <c r="C31" i="2"/>
  <c r="E30" i="2"/>
  <c r="C30" i="2"/>
  <c r="E29" i="2"/>
  <c r="C29" i="2"/>
  <c r="E28" i="2"/>
  <c r="C28" i="2"/>
  <c r="E27" i="2"/>
  <c r="C27" i="2"/>
  <c r="E26" i="2"/>
  <c r="C26" i="2"/>
  <c r="E25" i="2"/>
  <c r="C25" i="2"/>
  <c r="E24" i="2"/>
  <c r="C24" i="2"/>
  <c r="E23" i="2"/>
  <c r="C23" i="2"/>
  <c r="E22" i="2"/>
  <c r="C22" i="2"/>
  <c r="E21" i="2"/>
  <c r="C21" i="2"/>
  <c r="E20" i="2"/>
  <c r="C20" i="2"/>
  <c r="E19" i="2"/>
  <c r="C19" i="2"/>
  <c r="E18" i="2"/>
  <c r="C18" i="2"/>
  <c r="E17" i="2"/>
  <c r="C17" i="2"/>
  <c r="E16" i="2"/>
  <c r="C16" i="2"/>
  <c r="E15" i="2"/>
  <c r="C15" i="2"/>
  <c r="E14" i="2"/>
  <c r="C14" i="2"/>
  <c r="E13" i="2"/>
  <c r="C13" i="2"/>
  <c r="E12" i="2"/>
  <c r="C12" i="2"/>
  <c r="E11" i="2"/>
  <c r="C11" i="2"/>
  <c r="E10" i="2"/>
  <c r="C10" i="2"/>
  <c r="E9" i="2"/>
  <c r="C9" i="2"/>
  <c r="E8" i="2"/>
  <c r="C8" i="2"/>
  <c r="E7" i="2"/>
  <c r="C7" i="2"/>
  <c r="E6" i="2"/>
  <c r="C6" i="2"/>
  <c r="E5" i="2"/>
  <c r="C5" i="2"/>
  <c r="E4" i="2"/>
  <c r="C4" i="2"/>
  <c r="E3" i="2"/>
  <c r="C3" i="2"/>
  <c r="E2" i="2"/>
  <c r="C2" i="2"/>
  <c r="E12" i="3"/>
  <c r="C12" i="3"/>
  <c r="E11" i="3"/>
  <c r="C11" i="3"/>
  <c r="E10" i="3"/>
  <c r="C10" i="3"/>
  <c r="E9" i="3"/>
  <c r="C9" i="3"/>
  <c r="E8" i="3"/>
  <c r="C8" i="3"/>
  <c r="E7" i="3"/>
  <c r="C7" i="3"/>
  <c r="E6" i="3"/>
  <c r="C6" i="3"/>
  <c r="E5" i="3"/>
  <c r="C5" i="3"/>
  <c r="E4" i="3"/>
  <c r="C4" i="3"/>
  <c r="E3" i="3"/>
  <c r="C3" i="3"/>
  <c r="E2" i="3"/>
  <c r="C2" i="3"/>
  <c r="E82" i="1"/>
  <c r="C82" i="1"/>
  <c r="A82" i="1"/>
  <c r="E81" i="1"/>
  <c r="C81" i="1"/>
  <c r="A81" i="1"/>
  <c r="E80" i="1"/>
  <c r="C80" i="1"/>
  <c r="A80" i="1"/>
  <c r="E79" i="1"/>
  <c r="C79" i="1"/>
  <c r="A79" i="1"/>
  <c r="E78" i="1"/>
  <c r="A78" i="1"/>
  <c r="E77" i="1"/>
  <c r="C77" i="1"/>
  <c r="A77" i="1"/>
  <c r="E76" i="1"/>
  <c r="C76" i="1"/>
  <c r="A76" i="1"/>
  <c r="E75" i="1"/>
  <c r="A75" i="1"/>
  <c r="E74" i="1"/>
  <c r="C74" i="1"/>
  <c r="A74" i="1"/>
  <c r="E73" i="1"/>
  <c r="A73" i="1"/>
  <c r="E72" i="1"/>
  <c r="C72" i="1"/>
  <c r="A72" i="1"/>
  <c r="E71" i="1"/>
  <c r="C71" i="1"/>
  <c r="A71" i="1"/>
  <c r="E70" i="1"/>
  <c r="C70" i="1"/>
  <c r="A70" i="1"/>
  <c r="E69" i="1"/>
  <c r="C69" i="1"/>
  <c r="A69" i="1"/>
  <c r="E68" i="1"/>
  <c r="C68" i="1"/>
  <c r="A68" i="1"/>
  <c r="E67" i="1"/>
  <c r="C67" i="1"/>
  <c r="A67" i="1"/>
  <c r="E66" i="1"/>
  <c r="C66" i="1"/>
  <c r="A66" i="1"/>
  <c r="E65" i="1"/>
  <c r="A65" i="1"/>
  <c r="E64" i="1"/>
  <c r="A64" i="1"/>
  <c r="E63" i="1"/>
  <c r="C63" i="1"/>
  <c r="A63" i="1"/>
  <c r="E62" i="1"/>
  <c r="A62" i="1"/>
  <c r="E61" i="1"/>
  <c r="C61" i="1"/>
  <c r="A61" i="1"/>
  <c r="E60" i="1"/>
  <c r="A60" i="1"/>
  <c r="E59" i="1"/>
  <c r="C59" i="1"/>
  <c r="A59" i="1"/>
  <c r="E58" i="1"/>
  <c r="C58" i="1"/>
  <c r="A58" i="1"/>
  <c r="E57" i="1"/>
  <c r="C57" i="1"/>
  <c r="A57" i="1"/>
  <c r="E56" i="1"/>
  <c r="C56" i="1"/>
  <c r="A56" i="1"/>
  <c r="E55" i="1"/>
  <c r="C55" i="1"/>
  <c r="A55" i="1"/>
  <c r="E54" i="1"/>
  <c r="A54" i="1"/>
  <c r="E53" i="1"/>
  <c r="A53" i="1"/>
  <c r="E52" i="1"/>
  <c r="C52" i="1"/>
  <c r="A52" i="1"/>
  <c r="E51" i="1"/>
  <c r="A51" i="1"/>
  <c r="E50" i="1"/>
  <c r="C50" i="1"/>
  <c r="A50" i="1"/>
  <c r="E49" i="1"/>
  <c r="C49" i="1"/>
  <c r="A49" i="1"/>
  <c r="E48" i="1"/>
  <c r="C48" i="1"/>
  <c r="A48" i="1"/>
  <c r="E47" i="1"/>
  <c r="C47" i="1"/>
  <c r="A47" i="1"/>
  <c r="E46" i="1"/>
  <c r="C46" i="1"/>
  <c r="A46" i="1"/>
  <c r="E45" i="1"/>
  <c r="C45" i="1"/>
  <c r="A45" i="1"/>
  <c r="E44" i="1"/>
  <c r="C44" i="1"/>
  <c r="A44" i="1"/>
  <c r="E43" i="1"/>
  <c r="C43" i="1"/>
  <c r="A43" i="1"/>
  <c r="A42" i="1"/>
  <c r="E41" i="1"/>
  <c r="C41" i="1"/>
  <c r="A41" i="1"/>
  <c r="E40" i="1"/>
  <c r="C40" i="1"/>
  <c r="A40" i="1"/>
  <c r="E39" i="1"/>
  <c r="C39" i="1"/>
  <c r="A39" i="1"/>
  <c r="E38" i="1"/>
  <c r="C38" i="1"/>
  <c r="A38" i="1"/>
  <c r="E37" i="1"/>
  <c r="C37" i="1"/>
  <c r="A37" i="1"/>
  <c r="E36" i="1"/>
  <c r="C36" i="1"/>
  <c r="A36" i="1"/>
  <c r="E35" i="1"/>
  <c r="C35" i="1"/>
  <c r="A35" i="1"/>
  <c r="E34" i="1"/>
  <c r="C34" i="1"/>
  <c r="A34" i="1"/>
  <c r="E33" i="1"/>
  <c r="C33" i="1"/>
  <c r="A33" i="1"/>
  <c r="E32" i="1"/>
  <c r="C32" i="1"/>
  <c r="A32" i="1"/>
  <c r="E31" i="1"/>
  <c r="C31" i="1"/>
  <c r="A31" i="1"/>
  <c r="E30" i="1"/>
  <c r="C30" i="1"/>
  <c r="A30" i="1"/>
  <c r="E29" i="1"/>
  <c r="C29" i="1"/>
  <c r="A29" i="1"/>
  <c r="E28" i="1"/>
  <c r="C28" i="1"/>
  <c r="A28" i="1"/>
  <c r="E27" i="1"/>
  <c r="C27" i="1"/>
  <c r="A27" i="1"/>
  <c r="E26" i="1"/>
  <c r="C26" i="1"/>
  <c r="A26" i="1"/>
  <c r="E25" i="1"/>
  <c r="C25" i="1"/>
  <c r="A25" i="1"/>
  <c r="E24" i="1"/>
  <c r="C24" i="1"/>
  <c r="A24" i="1"/>
  <c r="E23" i="1"/>
  <c r="C23" i="1"/>
  <c r="A23" i="1"/>
  <c r="E22" i="1"/>
  <c r="C22" i="1"/>
  <c r="A22" i="1"/>
  <c r="E21" i="1"/>
  <c r="C21" i="1"/>
  <c r="A21" i="1"/>
  <c r="E20" i="1"/>
  <c r="C20" i="1"/>
  <c r="A20" i="1"/>
  <c r="E19" i="1"/>
  <c r="C19" i="1"/>
  <c r="A19" i="1"/>
  <c r="E18" i="1"/>
  <c r="C18" i="1"/>
  <c r="A18" i="1"/>
  <c r="E17" i="1"/>
  <c r="C17" i="1"/>
  <c r="A17" i="1"/>
  <c r="E16" i="1"/>
  <c r="C16" i="1"/>
  <c r="A16" i="1"/>
  <c r="A15" i="1"/>
  <c r="E14" i="1"/>
  <c r="C14" i="1"/>
  <c r="A14" i="1"/>
  <c r="E13" i="1"/>
  <c r="C13" i="1"/>
  <c r="A13" i="1"/>
  <c r="E12" i="1"/>
  <c r="C12" i="1"/>
  <c r="A12" i="1"/>
  <c r="C11" i="1"/>
  <c r="A11" i="1"/>
  <c r="E10" i="1"/>
  <c r="C10" i="1"/>
  <c r="A10" i="1"/>
  <c r="E9" i="1"/>
  <c r="C9" i="1"/>
  <c r="A9" i="1"/>
  <c r="E8" i="1"/>
  <c r="C8" i="1"/>
  <c r="A8" i="1"/>
  <c r="E7" i="1"/>
  <c r="C7" i="1"/>
  <c r="A7" i="1"/>
  <c r="E6" i="1"/>
  <c r="A6" i="1"/>
  <c r="C5" i="1"/>
  <c r="A5" i="1"/>
  <c r="E4" i="1"/>
  <c r="C4" i="1"/>
  <c r="A4" i="1"/>
  <c r="E3" i="1"/>
  <c r="C3" i="1"/>
  <c r="A3" i="1"/>
  <c r="E2" i="1"/>
  <c r="C2" i="1"/>
  <c r="A2" i="1"/>
</calcChain>
</file>

<file path=xl/sharedStrings.xml><?xml version="1.0" encoding="utf-8"?>
<sst xmlns="http://schemas.openxmlformats.org/spreadsheetml/2006/main" count="247" uniqueCount="11">
  <si>
    <t>T/K</t>
  </si>
  <si>
    <t>P/Mpa</t>
  </si>
  <si>
    <t>x1</t>
  </si>
  <si>
    <t>x2</t>
  </si>
  <si>
    <t>y1</t>
  </si>
  <si>
    <t>y2</t>
  </si>
  <si>
    <t>Source</t>
  </si>
  <si>
    <t>Verschoyle et al. 1931</t>
  </si>
  <si>
    <t>source</t>
  </si>
  <si>
    <t>Akers et al. 1957</t>
  </si>
  <si>
    <t>Tsang et al. 1981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</si>
</sst>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2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165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2"/>
  <sheetViews>
    <sheetView workbookViewId="0">
      <selection sqref="A1:F1"/>
    </sheetView>
  </sheetViews>
  <sheetFormatPr defaultRowHeight="15" x14ac:dyDescent="0.25"/>
  <cols>
    <col min="7" max="7" width="23.5703125" customWidth="1"/>
    <col min="8" max="8" width="17.28515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f>-185+273.15</f>
        <v>88.149999999999977</v>
      </c>
      <c r="B2" s="3">
        <v>18.370222500000001</v>
      </c>
      <c r="C2" s="4">
        <f>1-D2</f>
        <v>0.54600000000000004</v>
      </c>
      <c r="D2" s="4">
        <v>0.45400000000000001</v>
      </c>
      <c r="E2" s="4">
        <f>1-F2</f>
        <v>0.29600000000000004</v>
      </c>
      <c r="F2" s="4">
        <v>0.70399999999999996</v>
      </c>
      <c r="G2" t="s">
        <v>7</v>
      </c>
    </row>
    <row r="3" spans="1:7" x14ac:dyDescent="0.25">
      <c r="A3" s="2">
        <f>-185.01+273.15</f>
        <v>88.139999999999986</v>
      </c>
      <c r="B3" s="3">
        <v>16.890877499999998</v>
      </c>
      <c r="C3" s="4">
        <f t="shared" ref="C3:C66" si="0">1-D3</f>
        <v>0.59000000000000008</v>
      </c>
      <c r="D3" s="4">
        <v>0.41</v>
      </c>
      <c r="E3" s="4">
        <f t="shared" ref="E3:E66" si="1">1-F3</f>
        <v>0.22899999999999998</v>
      </c>
      <c r="F3" s="4">
        <v>0.77100000000000002</v>
      </c>
      <c r="G3" t="s">
        <v>7</v>
      </c>
    </row>
    <row r="4" spans="1:7" x14ac:dyDescent="0.25">
      <c r="A4" s="2">
        <f>-185.03+273.15</f>
        <v>88.119999999999976</v>
      </c>
      <c r="B4" s="3">
        <v>12.989864999999998</v>
      </c>
      <c r="C4" s="4">
        <f t="shared" si="0"/>
        <v>0.69700000000000006</v>
      </c>
      <c r="D4" s="4">
        <v>0.30299999999999999</v>
      </c>
      <c r="E4" s="4">
        <f t="shared" si="1"/>
        <v>0.15200000000000002</v>
      </c>
      <c r="F4" s="4">
        <v>0.84799999999999998</v>
      </c>
      <c r="G4" t="s">
        <v>7</v>
      </c>
    </row>
    <row r="5" spans="1:7" x14ac:dyDescent="0.25">
      <c r="A5" s="2">
        <f>-184.99+273.15</f>
        <v>88.159999999999968</v>
      </c>
      <c r="B5" s="3">
        <v>12.979732500000001</v>
      </c>
      <c r="C5" s="4">
        <f t="shared" si="0"/>
        <v>0.69599999999999995</v>
      </c>
      <c r="D5" s="4">
        <v>0.30399999999999999</v>
      </c>
      <c r="E5" s="4"/>
      <c r="F5" s="4"/>
      <c r="G5" t="s">
        <v>7</v>
      </c>
    </row>
    <row r="6" spans="1:7" x14ac:dyDescent="0.25">
      <c r="A6" s="2">
        <f>-185+273.15</f>
        <v>88.149999999999977</v>
      </c>
      <c r="B6" s="3">
        <v>12.9696</v>
      </c>
      <c r="C6" s="4"/>
      <c r="D6" s="4"/>
      <c r="E6" s="4">
        <f t="shared" si="1"/>
        <v>0.13300000000000001</v>
      </c>
      <c r="F6" s="4">
        <v>0.86699999999999999</v>
      </c>
      <c r="G6" t="s">
        <v>7</v>
      </c>
    </row>
    <row r="7" spans="1:7" x14ac:dyDescent="0.25">
      <c r="A7" s="2">
        <f>-185.02+273.15</f>
        <v>88.129999999999967</v>
      </c>
      <c r="B7" s="3">
        <v>9.0787200000000006</v>
      </c>
      <c r="C7" s="4">
        <f t="shared" si="0"/>
        <v>0.78300000000000003</v>
      </c>
      <c r="D7" s="4">
        <v>0.217</v>
      </c>
      <c r="E7" s="4">
        <f t="shared" si="1"/>
        <v>0.11299999999999999</v>
      </c>
      <c r="F7" s="4">
        <v>0.88700000000000001</v>
      </c>
      <c r="G7" t="s">
        <v>7</v>
      </c>
    </row>
    <row r="8" spans="1:7" x14ac:dyDescent="0.25">
      <c r="A8" s="2">
        <f>-184.99+273.15</f>
        <v>88.159999999999968</v>
      </c>
      <c r="B8" s="3">
        <v>9.0483224999999994</v>
      </c>
      <c r="C8" s="4">
        <f t="shared" si="0"/>
        <v>0.79699999999999993</v>
      </c>
      <c r="D8" s="4">
        <v>0.20300000000000001</v>
      </c>
      <c r="E8" s="4">
        <f t="shared" si="1"/>
        <v>0.11199999999999999</v>
      </c>
      <c r="F8" s="4">
        <v>0.88800000000000001</v>
      </c>
      <c r="G8" t="s">
        <v>7</v>
      </c>
    </row>
    <row r="9" spans="1:7" x14ac:dyDescent="0.25">
      <c r="A9" s="2">
        <f>-185.01+273.15</f>
        <v>88.139999999999986</v>
      </c>
      <c r="B9" s="3">
        <v>5.6640674999999998</v>
      </c>
      <c r="C9" s="4">
        <f t="shared" si="0"/>
        <v>0.86599999999999999</v>
      </c>
      <c r="D9" s="4">
        <v>0.13400000000000001</v>
      </c>
      <c r="E9" s="4">
        <f t="shared" si="1"/>
        <v>9.7999999999999976E-2</v>
      </c>
      <c r="F9" s="4">
        <v>0.90200000000000002</v>
      </c>
      <c r="G9" t="s">
        <v>7</v>
      </c>
    </row>
    <row r="10" spans="1:7" x14ac:dyDescent="0.25">
      <c r="A10" s="2">
        <f>-185+273.15</f>
        <v>88.149999999999977</v>
      </c>
      <c r="B10" s="3">
        <v>5.6539349999999997</v>
      </c>
      <c r="C10" s="4">
        <f t="shared" si="0"/>
        <v>0.871</v>
      </c>
      <c r="D10" s="4">
        <v>0.129</v>
      </c>
      <c r="E10" s="4">
        <f t="shared" si="1"/>
        <v>0.10699999999999998</v>
      </c>
      <c r="F10" s="4">
        <v>0.89300000000000002</v>
      </c>
      <c r="G10" t="s">
        <v>7</v>
      </c>
    </row>
    <row r="11" spans="1:7" x14ac:dyDescent="0.25">
      <c r="A11" s="2">
        <f>-185+273.15</f>
        <v>88.149999999999977</v>
      </c>
      <c r="B11" s="3">
        <v>5.6134050000000002</v>
      </c>
      <c r="C11" s="4">
        <f t="shared" si="0"/>
        <v>0.874</v>
      </c>
      <c r="D11" s="4">
        <v>0.126</v>
      </c>
      <c r="E11" s="4"/>
      <c r="F11" s="4"/>
      <c r="G11" t="s">
        <v>7</v>
      </c>
    </row>
    <row r="12" spans="1:7" x14ac:dyDescent="0.25">
      <c r="A12" s="2">
        <f>-185+273.15</f>
        <v>88.149999999999977</v>
      </c>
      <c r="B12" s="3">
        <v>3.1816049999999998</v>
      </c>
      <c r="C12" s="4">
        <f t="shared" si="0"/>
        <v>0.92900000000000005</v>
      </c>
      <c r="D12" s="4">
        <v>7.0999999999999994E-2</v>
      </c>
      <c r="E12" s="4">
        <f t="shared" si="1"/>
        <v>0.11199999999999999</v>
      </c>
      <c r="F12" s="4">
        <v>0.88800000000000001</v>
      </c>
      <c r="G12" t="s">
        <v>7</v>
      </c>
    </row>
    <row r="13" spans="1:7" x14ac:dyDescent="0.25">
      <c r="A13" s="2">
        <f>-185+273.15</f>
        <v>88.149999999999977</v>
      </c>
      <c r="B13" s="3">
        <v>2.2392824999999998</v>
      </c>
      <c r="C13" s="4">
        <f t="shared" si="0"/>
        <v>0.94799999999999995</v>
      </c>
      <c r="D13" s="4">
        <v>5.1999999999999998E-2</v>
      </c>
      <c r="E13" s="4">
        <f t="shared" si="1"/>
        <v>0.13400000000000001</v>
      </c>
      <c r="F13" s="4">
        <v>0.86599999999999999</v>
      </c>
      <c r="G13" t="s">
        <v>7</v>
      </c>
    </row>
    <row r="14" spans="1:7" x14ac:dyDescent="0.25">
      <c r="A14" s="2">
        <f>-185.02+273.15</f>
        <v>88.129999999999967</v>
      </c>
      <c r="B14" s="3">
        <v>1.7427900000000001</v>
      </c>
      <c r="C14" s="4">
        <f t="shared" si="0"/>
        <v>0.96399999999999997</v>
      </c>
      <c r="D14" s="4">
        <v>3.5999999999999997E-2</v>
      </c>
      <c r="E14" s="4">
        <f t="shared" si="1"/>
        <v>0.16000000000000003</v>
      </c>
      <c r="F14" s="4">
        <v>0.84</v>
      </c>
      <c r="G14" t="s">
        <v>7</v>
      </c>
    </row>
    <row r="15" spans="1:7" x14ac:dyDescent="0.25">
      <c r="A15" s="2">
        <f>-185+273.15</f>
        <v>88.149999999999977</v>
      </c>
      <c r="B15" s="3">
        <v>0.22088850000000002</v>
      </c>
      <c r="C15" s="4"/>
      <c r="D15" s="4"/>
      <c r="E15" s="4"/>
      <c r="F15" s="4"/>
      <c r="G15" t="s">
        <v>7</v>
      </c>
    </row>
    <row r="16" spans="1:7" x14ac:dyDescent="0.25">
      <c r="A16" s="2">
        <f>-190.02+273.15</f>
        <v>83.129999999999967</v>
      </c>
      <c r="B16" s="3">
        <v>22.77786</v>
      </c>
      <c r="C16" s="4">
        <f t="shared" si="0"/>
        <v>0.45899999999999996</v>
      </c>
      <c r="D16" s="4">
        <v>0.54100000000000004</v>
      </c>
      <c r="E16" s="4">
        <f t="shared" si="1"/>
        <v>0.33699999999999997</v>
      </c>
      <c r="F16" s="4">
        <v>0.66300000000000003</v>
      </c>
      <c r="G16" t="s">
        <v>7</v>
      </c>
    </row>
    <row r="17" spans="1:7" x14ac:dyDescent="0.25">
      <c r="A17" s="2">
        <f>-190.03+273.15</f>
        <v>83.119999999999976</v>
      </c>
      <c r="B17" s="3">
        <v>22.382692500000001</v>
      </c>
      <c r="C17" s="4">
        <f t="shared" si="0"/>
        <v>0.51400000000000001</v>
      </c>
      <c r="D17" s="4">
        <v>0.48599999999999999</v>
      </c>
      <c r="E17" s="4">
        <f t="shared" si="1"/>
        <v>0.30600000000000005</v>
      </c>
      <c r="F17" s="4">
        <v>0.69399999999999995</v>
      </c>
      <c r="G17" t="s">
        <v>7</v>
      </c>
    </row>
    <row r="18" spans="1:7" x14ac:dyDescent="0.25">
      <c r="A18" s="2">
        <f>-190+273.15</f>
        <v>83.149999999999977</v>
      </c>
      <c r="B18" s="3">
        <v>21.805140000000002</v>
      </c>
      <c r="C18" s="4">
        <f t="shared" si="0"/>
        <v>0.61099999999999999</v>
      </c>
      <c r="D18" s="4">
        <v>0.38900000000000001</v>
      </c>
      <c r="E18" s="4">
        <f t="shared" si="1"/>
        <v>0.27500000000000002</v>
      </c>
      <c r="F18" s="4">
        <v>0.72499999999999998</v>
      </c>
      <c r="G18" t="s">
        <v>7</v>
      </c>
    </row>
    <row r="19" spans="1:7" x14ac:dyDescent="0.25">
      <c r="A19" s="2">
        <f>-190.04+273.15</f>
        <v>83.109999999999985</v>
      </c>
      <c r="B19" s="3">
        <v>21.795007500000001</v>
      </c>
      <c r="C19" s="4">
        <f t="shared" si="0"/>
        <v>0.53</v>
      </c>
      <c r="D19" s="4">
        <v>0.47</v>
      </c>
      <c r="E19" s="4">
        <f t="shared" si="1"/>
        <v>0.26300000000000001</v>
      </c>
      <c r="F19" s="4">
        <v>0.73699999999999999</v>
      </c>
      <c r="G19" t="s">
        <v>7</v>
      </c>
    </row>
    <row r="20" spans="1:7" x14ac:dyDescent="0.25">
      <c r="A20" s="2">
        <f>-189.98+273.15</f>
        <v>83.169999999999987</v>
      </c>
      <c r="B20" s="3">
        <v>21.31878</v>
      </c>
      <c r="C20" s="4">
        <f t="shared" si="0"/>
        <v>0.55200000000000005</v>
      </c>
      <c r="D20" s="4">
        <v>0.44800000000000001</v>
      </c>
      <c r="E20" s="4">
        <f t="shared" si="1"/>
        <v>0.24099999999999999</v>
      </c>
      <c r="F20" s="4">
        <v>0.75900000000000001</v>
      </c>
      <c r="G20" t="s">
        <v>7</v>
      </c>
    </row>
    <row r="21" spans="1:7" x14ac:dyDescent="0.25">
      <c r="A21" s="2">
        <f>-190.02+273.15</f>
        <v>83.129999999999967</v>
      </c>
      <c r="B21" s="3">
        <v>20.812155000000001</v>
      </c>
      <c r="C21" s="4">
        <f t="shared" si="0"/>
        <v>0.57800000000000007</v>
      </c>
      <c r="D21" s="4">
        <v>0.42199999999999999</v>
      </c>
      <c r="E21" s="4">
        <f t="shared" si="1"/>
        <v>0.26500000000000001</v>
      </c>
      <c r="F21" s="4">
        <v>0.73499999999999999</v>
      </c>
      <c r="G21" t="s">
        <v>7</v>
      </c>
    </row>
    <row r="22" spans="1:7" x14ac:dyDescent="0.25">
      <c r="A22" s="2">
        <f>-190.04+273.15</f>
        <v>83.109999999999985</v>
      </c>
      <c r="B22" s="3">
        <v>20.812155000000001</v>
      </c>
      <c r="C22" s="4">
        <f t="shared" si="0"/>
        <v>0.57000000000000006</v>
      </c>
      <c r="D22" s="4">
        <v>0.43</v>
      </c>
      <c r="E22" s="4">
        <f t="shared" si="1"/>
        <v>0.19999999999999996</v>
      </c>
      <c r="F22" s="4">
        <v>0.8</v>
      </c>
      <c r="G22" t="s">
        <v>7</v>
      </c>
    </row>
    <row r="23" spans="1:7" x14ac:dyDescent="0.25">
      <c r="A23" s="2">
        <f>-190+273.15</f>
        <v>83.149999999999977</v>
      </c>
      <c r="B23" s="3">
        <v>20.812155000000001</v>
      </c>
      <c r="C23" s="4">
        <f t="shared" si="0"/>
        <v>0.56499999999999995</v>
      </c>
      <c r="D23" s="4">
        <v>0.435</v>
      </c>
      <c r="E23" s="4">
        <f t="shared" si="1"/>
        <v>0.23399999999999999</v>
      </c>
      <c r="F23" s="4">
        <v>0.76600000000000001</v>
      </c>
      <c r="G23" t="s">
        <v>7</v>
      </c>
    </row>
    <row r="24" spans="1:7" x14ac:dyDescent="0.25">
      <c r="A24" s="2">
        <f>-190.01+273.15</f>
        <v>83.139999999999986</v>
      </c>
      <c r="B24" s="3">
        <v>20.325794999999999</v>
      </c>
      <c r="C24" s="4">
        <f t="shared" si="0"/>
        <v>0.58899999999999997</v>
      </c>
      <c r="D24" s="4">
        <v>0.41099999999999998</v>
      </c>
      <c r="E24" s="4">
        <f t="shared" si="1"/>
        <v>0.23299999999999998</v>
      </c>
      <c r="F24" s="4">
        <v>0.76700000000000002</v>
      </c>
      <c r="G24" t="s">
        <v>7</v>
      </c>
    </row>
    <row r="25" spans="1:7" x14ac:dyDescent="0.25">
      <c r="A25" s="2">
        <f>-190.02+273.15</f>
        <v>83.129999999999967</v>
      </c>
      <c r="B25" s="3">
        <v>20.2953975</v>
      </c>
      <c r="C25" s="4">
        <f t="shared" si="0"/>
        <v>0.58499999999999996</v>
      </c>
      <c r="D25" s="4">
        <v>0.41499999999999998</v>
      </c>
      <c r="E25" s="4">
        <f t="shared" si="1"/>
        <v>0.22299999999999998</v>
      </c>
      <c r="F25" s="4">
        <v>0.77700000000000002</v>
      </c>
      <c r="G25" t="s">
        <v>7</v>
      </c>
    </row>
    <row r="26" spans="1:7" x14ac:dyDescent="0.25">
      <c r="A26" s="2">
        <f>-190+273.15</f>
        <v>83.149999999999977</v>
      </c>
      <c r="B26" s="3">
        <v>19.839435000000002</v>
      </c>
      <c r="C26" s="4">
        <f t="shared" si="0"/>
        <v>0.59899999999999998</v>
      </c>
      <c r="D26" s="4">
        <v>0.40100000000000002</v>
      </c>
      <c r="E26" s="4">
        <f t="shared" si="1"/>
        <v>0.20499999999999996</v>
      </c>
      <c r="F26" s="4">
        <v>0.79500000000000004</v>
      </c>
      <c r="G26" t="s">
        <v>7</v>
      </c>
    </row>
    <row r="27" spans="1:7" x14ac:dyDescent="0.25">
      <c r="A27" s="2">
        <f>-190.01+273.15</f>
        <v>83.139999999999986</v>
      </c>
      <c r="B27" s="3">
        <v>19.342942499999999</v>
      </c>
      <c r="C27" s="4">
        <f t="shared" si="0"/>
        <v>0.61899999999999999</v>
      </c>
      <c r="D27" s="4">
        <v>0.38100000000000001</v>
      </c>
      <c r="E27" s="4">
        <f t="shared" si="1"/>
        <v>0.19499999999999995</v>
      </c>
      <c r="F27" s="4">
        <v>0.80500000000000005</v>
      </c>
      <c r="G27" t="s">
        <v>7</v>
      </c>
    </row>
    <row r="28" spans="1:7" x14ac:dyDescent="0.25">
      <c r="A28" s="2">
        <f>-190.02+273.15</f>
        <v>83.129999999999967</v>
      </c>
      <c r="B28" s="3">
        <v>18.856582499999998</v>
      </c>
      <c r="C28" s="4">
        <f t="shared" si="0"/>
        <v>0.63200000000000001</v>
      </c>
      <c r="D28" s="4">
        <v>0.36799999999999999</v>
      </c>
      <c r="E28" s="4">
        <f t="shared" si="1"/>
        <v>0.19199999999999995</v>
      </c>
      <c r="F28" s="4">
        <v>0.80800000000000005</v>
      </c>
      <c r="G28" t="s">
        <v>7</v>
      </c>
    </row>
    <row r="29" spans="1:7" x14ac:dyDescent="0.25">
      <c r="A29" s="2">
        <f>-190+273.15</f>
        <v>83.149999999999977</v>
      </c>
      <c r="B29" s="3">
        <v>17.873729999999998</v>
      </c>
      <c r="C29" s="4">
        <f t="shared" si="0"/>
        <v>0.65600000000000003</v>
      </c>
      <c r="D29" s="4">
        <v>0.34399999999999997</v>
      </c>
      <c r="E29" s="4">
        <f t="shared" si="1"/>
        <v>0.16900000000000004</v>
      </c>
      <c r="F29" s="4">
        <v>0.83099999999999996</v>
      </c>
      <c r="G29" t="s">
        <v>7</v>
      </c>
    </row>
    <row r="30" spans="1:7" x14ac:dyDescent="0.25">
      <c r="A30" s="2">
        <f>-190.02+273.15</f>
        <v>83.129999999999967</v>
      </c>
      <c r="B30" s="3">
        <v>16.901009999999999</v>
      </c>
      <c r="C30" s="4">
        <f t="shared" si="0"/>
        <v>0.67100000000000004</v>
      </c>
      <c r="D30" s="4">
        <v>0.32900000000000001</v>
      </c>
      <c r="E30" s="4">
        <f t="shared" si="1"/>
        <v>0.15700000000000003</v>
      </c>
      <c r="F30" s="4">
        <v>0.84299999999999997</v>
      </c>
      <c r="G30" t="s">
        <v>7</v>
      </c>
    </row>
    <row r="31" spans="1:7" x14ac:dyDescent="0.25">
      <c r="A31" s="2">
        <f>-189.97+273.15</f>
        <v>83.179999999999978</v>
      </c>
      <c r="B31" s="3">
        <v>16.890877499999998</v>
      </c>
      <c r="C31" s="4">
        <f t="shared" si="0"/>
        <v>0.70799999999999996</v>
      </c>
      <c r="D31" s="4">
        <v>0.29199999999999998</v>
      </c>
      <c r="E31" s="4">
        <f t="shared" si="1"/>
        <v>0.16000000000000003</v>
      </c>
      <c r="F31" s="4">
        <v>0.84</v>
      </c>
      <c r="G31" t="s">
        <v>7</v>
      </c>
    </row>
    <row r="32" spans="1:7" x14ac:dyDescent="0.25">
      <c r="A32" s="2">
        <f>-190.02+273.15</f>
        <v>83.129999999999967</v>
      </c>
      <c r="B32" s="3">
        <v>12.979732500000001</v>
      </c>
      <c r="C32" s="4">
        <f t="shared" si="0"/>
        <v>0.751</v>
      </c>
      <c r="D32" s="4">
        <v>0.249</v>
      </c>
      <c r="E32" s="4">
        <f t="shared" si="1"/>
        <v>0.11099999999999999</v>
      </c>
      <c r="F32" s="4">
        <v>0.88900000000000001</v>
      </c>
      <c r="G32" t="s">
        <v>7</v>
      </c>
    </row>
    <row r="33" spans="1:7" x14ac:dyDescent="0.25">
      <c r="A33" s="2">
        <f>-190+273.15</f>
        <v>83.149999999999977</v>
      </c>
      <c r="B33" s="3">
        <v>12.979732500000001</v>
      </c>
      <c r="C33" s="4">
        <f t="shared" si="0"/>
        <v>0.746</v>
      </c>
      <c r="D33" s="4">
        <v>0.254</v>
      </c>
      <c r="E33" s="4">
        <f t="shared" si="1"/>
        <v>0.11199999999999999</v>
      </c>
      <c r="F33" s="4">
        <v>0.88800000000000001</v>
      </c>
      <c r="G33" t="s">
        <v>7</v>
      </c>
    </row>
    <row r="34" spans="1:7" x14ac:dyDescent="0.25">
      <c r="A34" s="2">
        <f>-190.02+273.15</f>
        <v>83.129999999999967</v>
      </c>
      <c r="B34" s="3">
        <v>11.125484999999999</v>
      </c>
      <c r="C34" s="4">
        <f t="shared" si="0"/>
        <v>0.77200000000000002</v>
      </c>
      <c r="D34" s="4">
        <v>0.22800000000000001</v>
      </c>
      <c r="E34" s="4">
        <f t="shared" si="1"/>
        <v>9.5999999999999974E-2</v>
      </c>
      <c r="F34" s="4">
        <v>0.90400000000000003</v>
      </c>
      <c r="G34" t="s">
        <v>7</v>
      </c>
    </row>
    <row r="35" spans="1:7" x14ac:dyDescent="0.25">
      <c r="A35" s="2">
        <f>-190.02+273.15</f>
        <v>83.129999999999967</v>
      </c>
      <c r="B35" s="3">
        <v>11.125484999999999</v>
      </c>
      <c r="C35" s="4">
        <f t="shared" si="0"/>
        <v>0.79</v>
      </c>
      <c r="D35" s="4">
        <v>0.21</v>
      </c>
      <c r="E35" s="4">
        <f t="shared" si="1"/>
        <v>9.2999999999999972E-2</v>
      </c>
      <c r="F35" s="4">
        <v>0.90700000000000003</v>
      </c>
      <c r="G35" t="s">
        <v>7</v>
      </c>
    </row>
    <row r="36" spans="1:7" x14ac:dyDescent="0.25">
      <c r="A36" s="2">
        <f>-190.02+273.15</f>
        <v>83.129999999999967</v>
      </c>
      <c r="B36" s="3">
        <v>11.105219999999999</v>
      </c>
      <c r="C36" s="4">
        <f t="shared" si="0"/>
        <v>0.79400000000000004</v>
      </c>
      <c r="D36" s="4">
        <v>0.20599999999999999</v>
      </c>
      <c r="E36" s="4">
        <f t="shared" si="1"/>
        <v>9.3999999999999972E-2</v>
      </c>
      <c r="F36" s="4">
        <v>0.90600000000000003</v>
      </c>
      <c r="G36" t="s">
        <v>7</v>
      </c>
    </row>
    <row r="37" spans="1:7" x14ac:dyDescent="0.25">
      <c r="A37" s="2">
        <f>-189.99+273.15</f>
        <v>83.159999999999968</v>
      </c>
      <c r="B37" s="3">
        <v>9.0483224999999994</v>
      </c>
      <c r="C37" s="4">
        <f t="shared" si="0"/>
        <v>0.83</v>
      </c>
      <c r="D37" s="4">
        <v>0.17</v>
      </c>
      <c r="E37" s="4">
        <f t="shared" si="1"/>
        <v>7.999999999999996E-2</v>
      </c>
      <c r="F37" s="4">
        <v>0.92</v>
      </c>
      <c r="G37" t="s">
        <v>7</v>
      </c>
    </row>
    <row r="38" spans="1:7" x14ac:dyDescent="0.25">
      <c r="A38" s="2">
        <f>-190.01+273.15</f>
        <v>83.139999999999986</v>
      </c>
      <c r="B38" s="3">
        <v>9.0685874999999996</v>
      </c>
      <c r="C38" s="4">
        <f t="shared" si="0"/>
        <v>0.80499999999999994</v>
      </c>
      <c r="D38" s="4">
        <v>0.19500000000000001</v>
      </c>
      <c r="E38" s="4">
        <f t="shared" si="1"/>
        <v>8.1999999999999962E-2</v>
      </c>
      <c r="F38" s="4">
        <v>0.91800000000000004</v>
      </c>
      <c r="G38" t="s">
        <v>7</v>
      </c>
    </row>
    <row r="39" spans="1:7" x14ac:dyDescent="0.25">
      <c r="A39" s="2">
        <f>-190.01+273.15</f>
        <v>83.139999999999986</v>
      </c>
      <c r="B39" s="3">
        <v>5.1878399999999996</v>
      </c>
      <c r="C39" s="4">
        <f t="shared" si="0"/>
        <v>0.875</v>
      </c>
      <c r="D39" s="4">
        <v>0.125</v>
      </c>
      <c r="E39" s="4">
        <f t="shared" si="1"/>
        <v>6.7999999999999949E-2</v>
      </c>
      <c r="F39" s="4">
        <v>0.93200000000000005</v>
      </c>
      <c r="G39" t="s">
        <v>7</v>
      </c>
    </row>
    <row r="40" spans="1:7" x14ac:dyDescent="0.25">
      <c r="A40" s="2">
        <f>-190.02+273.15</f>
        <v>83.129999999999967</v>
      </c>
      <c r="B40" s="3">
        <v>5.1878399999999996</v>
      </c>
      <c r="C40" s="4">
        <f t="shared" si="0"/>
        <v>0.89800000000000002</v>
      </c>
      <c r="D40" s="4">
        <v>0.10199999999999999</v>
      </c>
      <c r="E40" s="4">
        <f t="shared" si="1"/>
        <v>6.899999999999995E-2</v>
      </c>
      <c r="F40" s="4">
        <v>0.93100000000000005</v>
      </c>
      <c r="G40" t="s">
        <v>7</v>
      </c>
    </row>
    <row r="41" spans="1:7" x14ac:dyDescent="0.25">
      <c r="A41" s="2">
        <f>-190.02+273.15</f>
        <v>83.129999999999967</v>
      </c>
      <c r="B41" s="3">
        <v>1.7427900000000001</v>
      </c>
      <c r="C41" s="4">
        <f t="shared" si="0"/>
        <v>0.97299999999999998</v>
      </c>
      <c r="D41" s="4">
        <v>2.7E-2</v>
      </c>
      <c r="E41" s="4">
        <f t="shared" si="1"/>
        <v>0.10099999999999998</v>
      </c>
      <c r="F41" s="4">
        <v>0.89900000000000002</v>
      </c>
      <c r="G41" t="s">
        <v>7</v>
      </c>
    </row>
    <row r="42" spans="1:7" x14ac:dyDescent="0.25">
      <c r="A42" s="2">
        <f>-190+273.15</f>
        <v>83.149999999999977</v>
      </c>
      <c r="B42" s="3">
        <v>0.1195635</v>
      </c>
      <c r="C42" s="4"/>
      <c r="D42" s="4"/>
      <c r="E42" s="4"/>
      <c r="F42" s="4"/>
      <c r="G42" t="s">
        <v>7</v>
      </c>
    </row>
    <row r="43" spans="1:7" x14ac:dyDescent="0.25">
      <c r="A43" s="5">
        <f>-199.99+273.15</f>
        <v>73.159999999999968</v>
      </c>
      <c r="B43" s="3">
        <v>22.787992500000001</v>
      </c>
      <c r="C43" s="4">
        <f t="shared" si="0"/>
        <v>0.72499999999999998</v>
      </c>
      <c r="D43" s="4">
        <v>0.27500000000000002</v>
      </c>
      <c r="E43" s="4">
        <f t="shared" si="1"/>
        <v>0.10999999999999999</v>
      </c>
      <c r="F43" s="4">
        <v>0.89</v>
      </c>
      <c r="G43" t="s">
        <v>7</v>
      </c>
    </row>
    <row r="44" spans="1:7" x14ac:dyDescent="0.25">
      <c r="A44" s="5">
        <f>-200+273.15</f>
        <v>73.149999999999977</v>
      </c>
      <c r="B44" s="3">
        <v>22.77786</v>
      </c>
      <c r="C44" s="4">
        <f t="shared" si="0"/>
        <v>0.73499999999999999</v>
      </c>
      <c r="D44" s="4">
        <v>0.26500000000000001</v>
      </c>
      <c r="E44" s="4">
        <f t="shared" si="1"/>
        <v>0.10699999999999998</v>
      </c>
      <c r="F44" s="4">
        <v>0.89300000000000002</v>
      </c>
      <c r="G44" t="s">
        <v>7</v>
      </c>
    </row>
    <row r="45" spans="1:7" x14ac:dyDescent="0.25">
      <c r="A45" s="5">
        <f>-200.03+273.15</f>
        <v>73.119999999999976</v>
      </c>
      <c r="B45" s="3">
        <v>20.832419999999999</v>
      </c>
      <c r="C45" s="4">
        <f t="shared" si="0"/>
        <v>0.75</v>
      </c>
      <c r="D45" s="4">
        <v>0.25</v>
      </c>
      <c r="E45" s="4">
        <f t="shared" si="1"/>
        <v>8.7999999999999967E-2</v>
      </c>
      <c r="F45" s="4">
        <v>0.91200000000000003</v>
      </c>
      <c r="G45" t="s">
        <v>7</v>
      </c>
    </row>
    <row r="46" spans="1:7" x14ac:dyDescent="0.25">
      <c r="A46" s="5">
        <f>-200.03+273.15</f>
        <v>73.119999999999976</v>
      </c>
      <c r="B46" s="3">
        <v>20.812155000000001</v>
      </c>
      <c r="C46" s="4">
        <f t="shared" si="0"/>
        <v>0.74299999999999999</v>
      </c>
      <c r="D46" s="4">
        <v>0.25700000000000001</v>
      </c>
      <c r="E46" s="4">
        <f t="shared" si="1"/>
        <v>9.7999999999999976E-2</v>
      </c>
      <c r="F46" s="4">
        <v>0.90200000000000002</v>
      </c>
      <c r="G46" t="s">
        <v>7</v>
      </c>
    </row>
    <row r="47" spans="1:7" x14ac:dyDescent="0.25">
      <c r="A47" s="5">
        <f>-200+273.15</f>
        <v>73.149999999999977</v>
      </c>
      <c r="B47" s="3">
        <v>18.866714999999999</v>
      </c>
      <c r="C47" s="4">
        <f t="shared" si="0"/>
        <v>0.77100000000000002</v>
      </c>
      <c r="D47" s="4">
        <v>0.22900000000000001</v>
      </c>
      <c r="E47" s="4">
        <f t="shared" si="1"/>
        <v>8.3999999999999964E-2</v>
      </c>
      <c r="F47" s="4">
        <v>0.91600000000000004</v>
      </c>
      <c r="G47" t="s">
        <v>7</v>
      </c>
    </row>
    <row r="48" spans="1:7" x14ac:dyDescent="0.25">
      <c r="A48" s="5">
        <f>-200.03+273.15</f>
        <v>73.119999999999976</v>
      </c>
      <c r="B48" s="3">
        <v>18.866714999999999</v>
      </c>
      <c r="C48" s="4">
        <f t="shared" si="0"/>
        <v>0.76400000000000001</v>
      </c>
      <c r="D48" s="4">
        <v>0.23599999999999999</v>
      </c>
      <c r="E48" s="4">
        <f t="shared" si="1"/>
        <v>8.5999999999999965E-2</v>
      </c>
      <c r="F48" s="4">
        <v>0.91400000000000003</v>
      </c>
      <c r="G48" t="s">
        <v>7</v>
      </c>
    </row>
    <row r="49" spans="1:7" x14ac:dyDescent="0.25">
      <c r="A49" s="5">
        <f>-200.01+273.15</f>
        <v>73.139999999999986</v>
      </c>
      <c r="B49" s="3">
        <v>17.873729999999998</v>
      </c>
      <c r="C49" s="4">
        <f t="shared" si="0"/>
        <v>0.77</v>
      </c>
      <c r="D49" s="4">
        <v>0.23</v>
      </c>
      <c r="E49" s="4">
        <f t="shared" si="1"/>
        <v>7.999999999999996E-2</v>
      </c>
      <c r="F49" s="4">
        <v>0.92</v>
      </c>
      <c r="G49" t="s">
        <v>7</v>
      </c>
    </row>
    <row r="50" spans="1:7" x14ac:dyDescent="0.25">
      <c r="A50" s="5">
        <f>-199.96+273.15</f>
        <v>73.189999999999969</v>
      </c>
      <c r="B50" s="3">
        <v>17.873729999999998</v>
      </c>
      <c r="C50" s="4">
        <f t="shared" si="0"/>
        <v>0.78200000000000003</v>
      </c>
      <c r="D50" s="4">
        <v>0.218</v>
      </c>
      <c r="E50" s="4">
        <f t="shared" si="1"/>
        <v>8.2999999999999963E-2</v>
      </c>
      <c r="F50" s="4">
        <v>0.91700000000000004</v>
      </c>
      <c r="G50" t="s">
        <v>7</v>
      </c>
    </row>
    <row r="51" spans="1:7" x14ac:dyDescent="0.25">
      <c r="A51" s="5">
        <f>-200+273.15</f>
        <v>73.149999999999977</v>
      </c>
      <c r="B51" s="3">
        <v>15.441929999999999</v>
      </c>
      <c r="C51" s="4"/>
      <c r="D51" s="4"/>
      <c r="E51" s="4">
        <f t="shared" si="1"/>
        <v>6.899999999999995E-2</v>
      </c>
      <c r="F51" s="4">
        <v>0.93100000000000005</v>
      </c>
      <c r="G51" t="s">
        <v>7</v>
      </c>
    </row>
    <row r="52" spans="1:7" x14ac:dyDescent="0.25">
      <c r="A52" s="5">
        <f>-200.03+273.15</f>
        <v>73.119999999999976</v>
      </c>
      <c r="B52" s="3">
        <v>15.441929999999999</v>
      </c>
      <c r="C52" s="4">
        <f t="shared" si="0"/>
        <v>0.79400000000000004</v>
      </c>
      <c r="D52" s="4">
        <v>0.20599999999999999</v>
      </c>
      <c r="E52" s="4">
        <f t="shared" si="1"/>
        <v>6.9999999999999951E-2</v>
      </c>
      <c r="F52" s="4">
        <v>0.93</v>
      </c>
      <c r="G52" t="s">
        <v>7</v>
      </c>
    </row>
    <row r="53" spans="1:7" x14ac:dyDescent="0.25">
      <c r="A53" s="5">
        <f>-199.99+273.15</f>
        <v>73.159999999999968</v>
      </c>
      <c r="B53" s="3">
        <v>14.438812499999999</v>
      </c>
      <c r="C53" s="4"/>
      <c r="D53" s="4"/>
      <c r="E53" s="4">
        <f t="shared" si="1"/>
        <v>6.4999999999999947E-2</v>
      </c>
      <c r="F53" s="4">
        <v>0.93500000000000005</v>
      </c>
      <c r="G53" t="s">
        <v>7</v>
      </c>
    </row>
    <row r="54" spans="1:7" x14ac:dyDescent="0.25">
      <c r="A54" s="5">
        <f>-200.01+273.15</f>
        <v>73.139999999999986</v>
      </c>
      <c r="B54" s="3">
        <v>12.9696</v>
      </c>
      <c r="C54" s="4"/>
      <c r="D54" s="4"/>
      <c r="E54" s="4">
        <f t="shared" si="1"/>
        <v>5.8000000000000052E-2</v>
      </c>
      <c r="F54" s="4">
        <v>0.94199999999999995</v>
      </c>
      <c r="G54" t="s">
        <v>7</v>
      </c>
    </row>
    <row r="55" spans="1:7" x14ac:dyDescent="0.25">
      <c r="A55" s="5">
        <f>-200.01+273.15</f>
        <v>73.139999999999986</v>
      </c>
      <c r="B55" s="3">
        <v>11.540917500000001</v>
      </c>
      <c r="C55" s="4">
        <f t="shared" si="0"/>
        <v>0.83399999999999996</v>
      </c>
      <c r="D55" s="4">
        <v>0.16600000000000001</v>
      </c>
      <c r="E55" s="4">
        <f t="shared" si="1"/>
        <v>4.9000000000000044E-2</v>
      </c>
      <c r="F55" s="4">
        <v>0.95099999999999996</v>
      </c>
      <c r="G55" t="s">
        <v>7</v>
      </c>
    </row>
    <row r="56" spans="1:7" x14ac:dyDescent="0.25">
      <c r="A56" s="5">
        <f>-200+273.15</f>
        <v>73.149999999999977</v>
      </c>
      <c r="B56" s="3">
        <v>11.530785</v>
      </c>
      <c r="C56" s="4">
        <f t="shared" si="0"/>
        <v>0.84599999999999997</v>
      </c>
      <c r="D56" s="4">
        <v>0.154</v>
      </c>
      <c r="E56" s="4">
        <f t="shared" si="1"/>
        <v>4.500000000000004E-2</v>
      </c>
      <c r="F56" s="4">
        <v>0.95499999999999996</v>
      </c>
      <c r="G56" t="s">
        <v>7</v>
      </c>
    </row>
    <row r="57" spans="1:7" x14ac:dyDescent="0.25">
      <c r="A57" s="5">
        <f>-199.98+273.15</f>
        <v>73.169999999999987</v>
      </c>
      <c r="B57" s="3">
        <v>11.520652500000001</v>
      </c>
      <c r="C57" s="4">
        <f t="shared" si="0"/>
        <v>0.83499999999999996</v>
      </c>
      <c r="D57" s="4">
        <v>0.16500000000000001</v>
      </c>
      <c r="E57" s="4">
        <f t="shared" si="1"/>
        <v>5.2000000000000046E-2</v>
      </c>
      <c r="F57" s="4">
        <v>0.94799999999999995</v>
      </c>
      <c r="G57" t="s">
        <v>7</v>
      </c>
    </row>
    <row r="58" spans="1:7" x14ac:dyDescent="0.25">
      <c r="A58" s="5">
        <f>-200+273.15</f>
        <v>73.149999999999977</v>
      </c>
      <c r="B58" s="3">
        <v>8.1262650000000001</v>
      </c>
      <c r="C58" s="4">
        <f t="shared" si="0"/>
        <v>0.873</v>
      </c>
      <c r="D58" s="4">
        <v>0.127</v>
      </c>
      <c r="E58" s="4">
        <f t="shared" si="1"/>
        <v>4.1000000000000036E-2</v>
      </c>
      <c r="F58" s="4">
        <v>0.95899999999999996</v>
      </c>
      <c r="G58" t="s">
        <v>7</v>
      </c>
    </row>
    <row r="59" spans="1:7" x14ac:dyDescent="0.25">
      <c r="A59" s="5">
        <f>-200.01+273.15</f>
        <v>73.139999999999986</v>
      </c>
      <c r="B59" s="3">
        <v>8.1161324999999991</v>
      </c>
      <c r="C59" s="4">
        <f t="shared" si="0"/>
        <v>0.88</v>
      </c>
      <c r="D59" s="4">
        <v>0.12</v>
      </c>
      <c r="E59" s="4">
        <f t="shared" si="1"/>
        <v>3.6000000000000032E-2</v>
      </c>
      <c r="F59" s="4">
        <v>0.96399999999999997</v>
      </c>
      <c r="G59" t="s">
        <v>7</v>
      </c>
    </row>
    <row r="60" spans="1:7" x14ac:dyDescent="0.25">
      <c r="A60" s="5">
        <f>-199.98+273.15</f>
        <v>73.169999999999987</v>
      </c>
      <c r="B60" s="3">
        <v>8.0756025000000005</v>
      </c>
      <c r="C60" s="4"/>
      <c r="D60" s="4"/>
      <c r="E60" s="4">
        <f t="shared" si="1"/>
        <v>3.7000000000000033E-2</v>
      </c>
      <c r="F60" s="4">
        <v>0.96299999999999997</v>
      </c>
      <c r="G60" t="s">
        <v>7</v>
      </c>
    </row>
    <row r="61" spans="1:7" x14ac:dyDescent="0.25">
      <c r="A61" s="5">
        <f>-200.01+273.15</f>
        <v>73.139999999999986</v>
      </c>
      <c r="B61" s="3">
        <v>5.1675750000000003</v>
      </c>
      <c r="C61" s="4">
        <f t="shared" si="0"/>
        <v>0.91600000000000004</v>
      </c>
      <c r="D61" s="4">
        <v>8.4000000000000005E-2</v>
      </c>
      <c r="E61" s="4">
        <f t="shared" si="1"/>
        <v>3.3000000000000029E-2</v>
      </c>
      <c r="F61" s="4">
        <v>0.96699999999999997</v>
      </c>
      <c r="G61" t="s">
        <v>7</v>
      </c>
    </row>
    <row r="62" spans="1:7" x14ac:dyDescent="0.25">
      <c r="A62" s="5">
        <f>-200+273.15</f>
        <v>73.149999999999977</v>
      </c>
      <c r="B62" s="3">
        <v>5.1574425000000002</v>
      </c>
      <c r="C62" s="4"/>
      <c r="D62" s="4"/>
      <c r="E62" s="4">
        <f t="shared" si="1"/>
        <v>3.0000000000000027E-2</v>
      </c>
      <c r="F62" s="4">
        <v>0.97</v>
      </c>
      <c r="G62" t="s">
        <v>7</v>
      </c>
    </row>
    <row r="63" spans="1:7" x14ac:dyDescent="0.25">
      <c r="A63" s="5">
        <f>-200.01+273.15</f>
        <v>73.139999999999986</v>
      </c>
      <c r="B63" s="3">
        <v>3.2221350000000002</v>
      </c>
      <c r="C63" s="4">
        <f t="shared" si="0"/>
        <v>0.94399999999999995</v>
      </c>
      <c r="D63" s="4">
        <v>5.6000000000000001E-2</v>
      </c>
      <c r="E63" s="4">
        <f t="shared" si="1"/>
        <v>2.5000000000000022E-2</v>
      </c>
      <c r="F63" s="4">
        <v>0.97499999999999998</v>
      </c>
      <c r="G63" t="s">
        <v>7</v>
      </c>
    </row>
    <row r="64" spans="1:7" x14ac:dyDescent="0.25">
      <c r="A64" s="5">
        <f>-200.01+273.15</f>
        <v>73.139999999999986</v>
      </c>
      <c r="B64" s="3">
        <v>3.1917374999999999</v>
      </c>
      <c r="C64" s="4"/>
      <c r="D64" s="4"/>
      <c r="E64" s="4">
        <f t="shared" si="1"/>
        <v>3.6000000000000032E-2</v>
      </c>
      <c r="F64" s="4">
        <v>0.96399999999999997</v>
      </c>
      <c r="G64" t="s">
        <v>7</v>
      </c>
    </row>
    <row r="65" spans="1:7" x14ac:dyDescent="0.25">
      <c r="A65" s="5">
        <f>-200.01+273.15</f>
        <v>73.139999999999986</v>
      </c>
      <c r="B65" s="3">
        <v>2.2494149999999999</v>
      </c>
      <c r="C65" s="4"/>
      <c r="D65" s="4"/>
      <c r="E65" s="4">
        <f t="shared" si="1"/>
        <v>4.6000000000000041E-2</v>
      </c>
      <c r="F65" s="4">
        <v>0.95399999999999996</v>
      </c>
      <c r="G65" t="s">
        <v>7</v>
      </c>
    </row>
    <row r="66" spans="1:7" x14ac:dyDescent="0.25">
      <c r="A66" s="5">
        <f>-199.98+273.15</f>
        <v>73.169999999999987</v>
      </c>
      <c r="B66" s="3">
        <v>1.7529224999999999</v>
      </c>
      <c r="C66" s="4">
        <f t="shared" si="0"/>
        <v>0.96699999999999997</v>
      </c>
      <c r="D66" s="4">
        <v>3.3000000000000002E-2</v>
      </c>
      <c r="E66" s="4">
        <f t="shared" si="1"/>
        <v>3.3000000000000029E-2</v>
      </c>
      <c r="F66" s="4">
        <v>0.96699999999999997</v>
      </c>
      <c r="G66" t="s">
        <v>7</v>
      </c>
    </row>
    <row r="67" spans="1:7" x14ac:dyDescent="0.25">
      <c r="A67" s="5">
        <f>-200+273.15</f>
        <v>73.149999999999977</v>
      </c>
      <c r="B67" s="3">
        <v>3.3437250000000002E-2</v>
      </c>
      <c r="C67" s="6">
        <f t="shared" ref="C67:C82" si="2">1-D67</f>
        <v>1</v>
      </c>
      <c r="D67" s="6">
        <v>0</v>
      </c>
      <c r="E67" s="6">
        <f t="shared" ref="E67:E82" si="3">1-F67</f>
        <v>1</v>
      </c>
      <c r="F67" s="6">
        <v>0</v>
      </c>
      <c r="G67" t="s">
        <v>7</v>
      </c>
    </row>
    <row r="68" spans="1:7" x14ac:dyDescent="0.25">
      <c r="A68" s="5">
        <f>-205.01+273.15</f>
        <v>68.139999999999986</v>
      </c>
      <c r="B68" s="3">
        <v>21.801086999999999</v>
      </c>
      <c r="C68" s="4">
        <f t="shared" si="2"/>
        <v>0.79800000000000004</v>
      </c>
      <c r="D68" s="4">
        <v>0.20200000000000001</v>
      </c>
      <c r="E68" s="4">
        <f t="shared" si="3"/>
        <v>6.5999999999999948E-2</v>
      </c>
      <c r="F68" s="4">
        <v>0.93400000000000005</v>
      </c>
      <c r="G68" t="s">
        <v>7</v>
      </c>
    </row>
    <row r="69" spans="1:7" x14ac:dyDescent="0.25">
      <c r="A69" s="5">
        <f>-205+273.15</f>
        <v>68.149999999999977</v>
      </c>
      <c r="B69" s="3">
        <v>19.350035250000001</v>
      </c>
      <c r="C69" s="4">
        <f t="shared" si="2"/>
        <v>0.81200000000000006</v>
      </c>
      <c r="D69" s="4">
        <v>0.188</v>
      </c>
      <c r="E69" s="4">
        <f t="shared" si="3"/>
        <v>6.1000000000000054E-2</v>
      </c>
      <c r="F69" s="4">
        <v>0.93899999999999995</v>
      </c>
      <c r="G69" t="s">
        <v>7</v>
      </c>
    </row>
    <row r="70" spans="1:7" x14ac:dyDescent="0.25">
      <c r="A70" s="5">
        <f>-205+273.15</f>
        <v>68.149999999999977</v>
      </c>
      <c r="B70" s="3">
        <v>15.434837250000001</v>
      </c>
      <c r="C70" s="4">
        <f t="shared" si="2"/>
        <v>0.83699999999999997</v>
      </c>
      <c r="D70" s="4">
        <v>0.16300000000000001</v>
      </c>
      <c r="E70" s="4">
        <f t="shared" si="3"/>
        <v>5.4000000000000048E-2</v>
      </c>
      <c r="F70" s="4">
        <v>0.94599999999999995</v>
      </c>
      <c r="G70" t="s">
        <v>7</v>
      </c>
    </row>
    <row r="71" spans="1:7" x14ac:dyDescent="0.25">
      <c r="A71" s="5">
        <f>-205+273.15</f>
        <v>68.149999999999977</v>
      </c>
      <c r="B71" s="3">
        <v>15.418625249999998</v>
      </c>
      <c r="C71" s="4">
        <f t="shared" si="2"/>
        <v>0.84199999999999997</v>
      </c>
      <c r="D71" s="4">
        <v>0.158</v>
      </c>
      <c r="E71" s="4">
        <f t="shared" si="3"/>
        <v>3.2000000000000028E-2</v>
      </c>
      <c r="F71" s="4">
        <v>0.96799999999999997</v>
      </c>
      <c r="G71" t="s">
        <v>7</v>
      </c>
    </row>
    <row r="72" spans="1:7" x14ac:dyDescent="0.25">
      <c r="A72" s="5">
        <f>-205+273.15</f>
        <v>68.149999999999977</v>
      </c>
      <c r="B72" s="3">
        <v>11.9948535</v>
      </c>
      <c r="C72" s="4">
        <f t="shared" si="2"/>
        <v>0.86199999999999999</v>
      </c>
      <c r="D72" s="4">
        <v>0.13800000000000001</v>
      </c>
      <c r="E72" s="4">
        <f t="shared" si="3"/>
        <v>3.5000000000000031E-2</v>
      </c>
      <c r="F72" s="4">
        <v>0.96499999999999997</v>
      </c>
      <c r="G72" t="s">
        <v>7</v>
      </c>
    </row>
    <row r="73" spans="1:7" x14ac:dyDescent="0.25">
      <c r="A73" s="5">
        <f>-204.99+273.15</f>
        <v>68.159999999999968</v>
      </c>
      <c r="B73" s="3">
        <v>11.98573425</v>
      </c>
      <c r="C73" s="4"/>
      <c r="D73" s="4"/>
      <c r="E73" s="4">
        <f t="shared" si="3"/>
        <v>3.8000000000000034E-2</v>
      </c>
      <c r="F73" s="4">
        <v>0.96199999999999997</v>
      </c>
      <c r="G73" t="s">
        <v>7</v>
      </c>
    </row>
    <row r="74" spans="1:7" x14ac:dyDescent="0.25">
      <c r="A74" s="5">
        <f>-205.01+273.15</f>
        <v>68.139999999999986</v>
      </c>
      <c r="B74" s="3">
        <v>8.0948542499999991</v>
      </c>
      <c r="C74" s="4">
        <f t="shared" si="2"/>
        <v>0.89800000000000002</v>
      </c>
      <c r="D74" s="4">
        <v>0.10199999999999999</v>
      </c>
      <c r="E74" s="4">
        <f t="shared" si="3"/>
        <v>2.300000000000002E-2</v>
      </c>
      <c r="F74" s="4">
        <v>0.97699999999999998</v>
      </c>
      <c r="G74" t="s">
        <v>7</v>
      </c>
    </row>
    <row r="75" spans="1:7" x14ac:dyDescent="0.25">
      <c r="A75" s="5">
        <f>-205.01+273.15</f>
        <v>68.139999999999986</v>
      </c>
      <c r="B75" s="3">
        <v>8.0918144999999999</v>
      </c>
      <c r="C75" s="4"/>
      <c r="D75" s="4"/>
      <c r="E75" s="4">
        <f t="shared" si="3"/>
        <v>2.300000000000002E-2</v>
      </c>
      <c r="F75" s="4">
        <v>0.97699999999999998</v>
      </c>
      <c r="G75" t="s">
        <v>7</v>
      </c>
    </row>
    <row r="76" spans="1:7" x14ac:dyDescent="0.25">
      <c r="A76" s="5">
        <f>-205+273.15</f>
        <v>68.149999999999977</v>
      </c>
      <c r="B76" s="3">
        <v>4.1999212500000001</v>
      </c>
      <c r="C76" s="4">
        <f t="shared" si="2"/>
        <v>0.93700000000000006</v>
      </c>
      <c r="D76" s="4">
        <v>6.3E-2</v>
      </c>
      <c r="E76" s="4">
        <f t="shared" si="3"/>
        <v>2.5000000000000022E-2</v>
      </c>
      <c r="F76" s="4">
        <v>0.97499999999999998</v>
      </c>
      <c r="G76" t="s">
        <v>7</v>
      </c>
    </row>
    <row r="77" spans="1:7" x14ac:dyDescent="0.25">
      <c r="A77" s="5">
        <f>-205+273.15</f>
        <v>68.149999999999977</v>
      </c>
      <c r="B77" s="3">
        <v>4.1958682500000002</v>
      </c>
      <c r="C77" s="4">
        <f t="shared" si="2"/>
        <v>0.93799999999999994</v>
      </c>
      <c r="D77" s="4">
        <v>6.2E-2</v>
      </c>
      <c r="E77" s="4">
        <f t="shared" si="3"/>
        <v>1.5000000000000013E-2</v>
      </c>
      <c r="F77" s="4">
        <v>0.98499999999999999</v>
      </c>
      <c r="G77" t="s">
        <v>7</v>
      </c>
    </row>
    <row r="78" spans="1:7" x14ac:dyDescent="0.25">
      <c r="A78" s="5">
        <f>-205.04+273.15</f>
        <v>68.109999999999985</v>
      </c>
      <c r="B78" s="3">
        <v>4.1806694999999996</v>
      </c>
      <c r="C78" s="4"/>
      <c r="D78" s="4"/>
      <c r="E78" s="4">
        <f t="shared" si="3"/>
        <v>1.3000000000000012E-2</v>
      </c>
      <c r="F78" s="4">
        <v>0.98699999999999999</v>
      </c>
      <c r="G78" t="s">
        <v>7</v>
      </c>
    </row>
    <row r="79" spans="1:7" x14ac:dyDescent="0.25">
      <c r="A79" s="5">
        <f>-205+273.15</f>
        <v>68.149999999999977</v>
      </c>
      <c r="B79" s="3">
        <v>3.20896275</v>
      </c>
      <c r="C79" s="4">
        <f t="shared" si="2"/>
        <v>0.95099999999999996</v>
      </c>
      <c r="D79" s="4">
        <v>4.9000000000000002E-2</v>
      </c>
      <c r="E79" s="4">
        <f t="shared" si="3"/>
        <v>1.4000000000000012E-2</v>
      </c>
      <c r="F79" s="4">
        <v>0.98599999999999999</v>
      </c>
      <c r="G79" t="s">
        <v>7</v>
      </c>
    </row>
    <row r="80" spans="1:7" x14ac:dyDescent="0.25">
      <c r="A80" s="5">
        <f>-205+273.15</f>
        <v>68.149999999999977</v>
      </c>
      <c r="B80" s="3">
        <v>2.6962582500000001</v>
      </c>
      <c r="C80" s="4">
        <f t="shared" si="2"/>
        <v>0.95799999999999996</v>
      </c>
      <c r="D80" s="4">
        <v>4.2000000000000003E-2</v>
      </c>
      <c r="E80" s="4">
        <f t="shared" si="3"/>
        <v>2.4000000000000021E-2</v>
      </c>
      <c r="F80" s="4">
        <v>0.97599999999999998</v>
      </c>
      <c r="G80" t="s">
        <v>7</v>
      </c>
    </row>
    <row r="81" spans="1:7" x14ac:dyDescent="0.25">
      <c r="A81" s="5">
        <f>-204.98+273.15</f>
        <v>68.169999999999987</v>
      </c>
      <c r="B81" s="3">
        <v>2.1977392500000001</v>
      </c>
      <c r="C81" s="4">
        <f t="shared" si="2"/>
        <v>0.96699999999999997</v>
      </c>
      <c r="D81" s="4">
        <v>3.3000000000000002E-2</v>
      </c>
      <c r="E81" s="4">
        <f t="shared" si="3"/>
        <v>1.8000000000000016E-2</v>
      </c>
      <c r="F81" s="4">
        <v>0.98199999999999998</v>
      </c>
      <c r="G81" t="s">
        <v>7</v>
      </c>
    </row>
    <row r="82" spans="1:7" x14ac:dyDescent="0.25">
      <c r="A82" s="5">
        <f>-204.96+273.15</f>
        <v>68.189999999999969</v>
      </c>
      <c r="B82" s="3">
        <v>1.7245515</v>
      </c>
      <c r="C82" s="4">
        <f t="shared" si="2"/>
        <v>0.97</v>
      </c>
      <c r="D82" s="4">
        <v>0.03</v>
      </c>
      <c r="E82" s="4">
        <f t="shared" si="3"/>
        <v>2.1000000000000019E-2</v>
      </c>
      <c r="F82" s="4">
        <v>0.97899999999999998</v>
      </c>
      <c r="G82" t="s">
        <v>7</v>
      </c>
    </row>
  </sheetData>
  <phoneticPr fontId="2" type="noConversion"/>
  <pageMargins left="0.7" right="0.7" top="0.75" bottom="0.75" header="0.3" footer="0.3"/>
  <ignoredErrors>
    <ignoredError sqref="A62 A60 A57 A31 A14 A29 A47 A33 A7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1692E-5DF2-406F-BCB0-BF701DD3144C}">
  <dimension ref="A1:G12"/>
  <sheetViews>
    <sheetView workbookViewId="0">
      <selection sqref="A1:G1"/>
    </sheetView>
  </sheetViews>
  <sheetFormatPr defaultRowHeight="15" x14ac:dyDescent="0.25"/>
  <cols>
    <col min="7" max="7" width="27.1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</row>
    <row r="2" spans="1:7" x14ac:dyDescent="0.25">
      <c r="A2" s="2">
        <v>83.15</v>
      </c>
      <c r="B2" s="3">
        <v>2.1718446200306123</v>
      </c>
      <c r="C2" s="4">
        <f>1-D2</f>
        <v>0.96019999999999994</v>
      </c>
      <c r="D2" s="4">
        <v>3.9800000000000002E-2</v>
      </c>
      <c r="E2" s="4">
        <f>1-F2</f>
        <v>9.1600000000000015E-2</v>
      </c>
      <c r="F2" s="4">
        <v>0.90839999999999999</v>
      </c>
      <c r="G2" t="s">
        <v>9</v>
      </c>
    </row>
    <row r="3" spans="1:7" x14ac:dyDescent="0.25">
      <c r="A3" s="2">
        <v>83.15</v>
      </c>
      <c r="B3" s="3">
        <v>3.4473724127470038</v>
      </c>
      <c r="C3" s="4">
        <f t="shared" ref="C3:C12" si="0">1-D3</f>
        <v>0.93910000000000005</v>
      </c>
      <c r="D3" s="4">
        <v>6.0900000000000003E-2</v>
      </c>
      <c r="E3" s="4">
        <f>1-F3</f>
        <v>6.7999999999999949E-2</v>
      </c>
      <c r="F3" s="4">
        <v>0.93200000000000005</v>
      </c>
      <c r="G3" t="s">
        <v>9</v>
      </c>
    </row>
    <row r="4" spans="1:7" x14ac:dyDescent="0.25">
      <c r="A4" s="2">
        <v>83.15</v>
      </c>
      <c r="B4" s="3">
        <v>9.6526427556916108</v>
      </c>
      <c r="C4" s="4">
        <f t="shared" si="0"/>
        <v>0.82550000000000001</v>
      </c>
      <c r="D4" s="4">
        <v>0.17449999999999999</v>
      </c>
      <c r="E4" s="4">
        <f t="shared" ref="E4:E12" si="1">1-F4</f>
        <v>8.5699999999999998E-2</v>
      </c>
      <c r="F4" s="4">
        <v>0.9143</v>
      </c>
      <c r="G4" t="s">
        <v>9</v>
      </c>
    </row>
    <row r="5" spans="1:7" x14ac:dyDescent="0.25">
      <c r="A5" s="2">
        <v>83.15</v>
      </c>
      <c r="B5" s="3">
        <v>13.789489650988015</v>
      </c>
      <c r="C5" s="4">
        <f t="shared" si="0"/>
        <v>0.751</v>
      </c>
      <c r="D5" s="4">
        <v>0.249</v>
      </c>
      <c r="E5" s="4">
        <f t="shared" si="1"/>
        <v>0.121</v>
      </c>
      <c r="F5" s="4">
        <v>0.879</v>
      </c>
      <c r="G5" t="s">
        <v>9</v>
      </c>
    </row>
    <row r="6" spans="1:7" x14ac:dyDescent="0.25">
      <c r="A6" s="2">
        <v>99.816699999999997</v>
      </c>
      <c r="B6" s="3">
        <v>2.1718446200306123</v>
      </c>
      <c r="C6" s="4">
        <f t="shared" si="0"/>
        <v>0.96109999999999995</v>
      </c>
      <c r="D6" s="4">
        <v>3.8899999999999997E-2</v>
      </c>
      <c r="E6" s="4">
        <f t="shared" si="1"/>
        <v>0.31969999999999998</v>
      </c>
      <c r="F6" s="4">
        <v>0.68030000000000002</v>
      </c>
      <c r="G6" t="s">
        <v>9</v>
      </c>
    </row>
    <row r="7" spans="1:7" x14ac:dyDescent="0.25">
      <c r="A7" s="2">
        <v>99.816699999999997</v>
      </c>
      <c r="B7" s="3">
        <v>3.4473724127470038</v>
      </c>
      <c r="C7" s="4">
        <f t="shared" si="0"/>
        <v>0.93259999999999998</v>
      </c>
      <c r="D7" s="4">
        <v>6.7400000000000002E-2</v>
      </c>
      <c r="E7" s="4">
        <f t="shared" si="1"/>
        <v>0.23809999999999998</v>
      </c>
      <c r="F7" s="4">
        <v>0.76190000000000002</v>
      </c>
      <c r="G7" t="s">
        <v>9</v>
      </c>
    </row>
    <row r="8" spans="1:7" x14ac:dyDescent="0.25">
      <c r="A8" s="2">
        <v>99.816699999999997</v>
      </c>
      <c r="B8" s="3">
        <v>5.5157958603952064</v>
      </c>
      <c r="C8" s="4">
        <f t="shared" si="0"/>
        <v>0.88370000000000004</v>
      </c>
      <c r="D8" s="4">
        <v>0.1163</v>
      </c>
      <c r="E8" s="4">
        <f t="shared" si="1"/>
        <v>0.21560000000000001</v>
      </c>
      <c r="F8" s="4">
        <v>0.78439999999999999</v>
      </c>
      <c r="G8" t="s">
        <v>9</v>
      </c>
    </row>
    <row r="9" spans="1:7" x14ac:dyDescent="0.25">
      <c r="A9" s="2">
        <v>99.816699999999997</v>
      </c>
      <c r="B9" s="3">
        <v>7.5842193080434086</v>
      </c>
      <c r="C9" s="4">
        <f t="shared" si="0"/>
        <v>0.82730000000000004</v>
      </c>
      <c r="D9" s="4">
        <v>0.17269999999999999</v>
      </c>
      <c r="E9" s="4">
        <f t="shared" si="1"/>
        <v>0.21519999999999995</v>
      </c>
      <c r="F9" s="4">
        <v>0.78480000000000005</v>
      </c>
      <c r="G9" t="s">
        <v>9</v>
      </c>
    </row>
    <row r="10" spans="1:7" x14ac:dyDescent="0.25">
      <c r="A10" s="2">
        <v>99.816699999999997</v>
      </c>
      <c r="B10" s="3">
        <v>9.6526427556916108</v>
      </c>
      <c r="C10" s="4">
        <f t="shared" si="0"/>
        <v>0.7601</v>
      </c>
      <c r="D10" s="4">
        <v>0.2399</v>
      </c>
      <c r="E10" s="4">
        <f t="shared" si="1"/>
        <v>0.22609999999999997</v>
      </c>
      <c r="F10" s="4">
        <v>0.77390000000000003</v>
      </c>
      <c r="G10" t="s">
        <v>9</v>
      </c>
    </row>
    <row r="11" spans="1:7" x14ac:dyDescent="0.25">
      <c r="A11" s="2">
        <v>122.039</v>
      </c>
      <c r="B11" s="3">
        <v>3.4473724127470038</v>
      </c>
      <c r="C11" s="4">
        <f t="shared" si="0"/>
        <v>0.95509999999999995</v>
      </c>
      <c r="D11" s="4">
        <v>4.4900000000000002E-2</v>
      </c>
      <c r="E11" s="4">
        <f t="shared" si="1"/>
        <v>0.77400000000000002</v>
      </c>
      <c r="F11" s="4">
        <v>0.22600000000000001</v>
      </c>
      <c r="G11" t="s">
        <v>9</v>
      </c>
    </row>
    <row r="12" spans="1:7" x14ac:dyDescent="0.25">
      <c r="A12" s="7">
        <v>122.039</v>
      </c>
      <c r="B12" s="8">
        <v>5.5157958603952064</v>
      </c>
      <c r="C12" s="9">
        <f t="shared" si="0"/>
        <v>0.86180000000000001</v>
      </c>
      <c r="D12" s="9">
        <v>0.13819999999999999</v>
      </c>
      <c r="E12" s="9">
        <f t="shared" si="1"/>
        <v>0.66510000000000002</v>
      </c>
      <c r="F12" s="9">
        <v>0.33489999999999998</v>
      </c>
      <c r="G12" t="s">
        <v>9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62DAC-5BD2-48FA-BFF6-E27C396DD6BD}">
  <dimension ref="A1:G135"/>
  <sheetViews>
    <sheetView tabSelected="1" topLeftCell="A117" workbookViewId="0">
      <selection activeCell="J118" sqref="J118"/>
    </sheetView>
  </sheetViews>
  <sheetFormatPr defaultRowHeight="15" x14ac:dyDescent="0.25"/>
  <cols>
    <col min="7" max="7" width="18.85546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</row>
    <row r="2" spans="1:7" x14ac:dyDescent="0.25">
      <c r="A2" s="5">
        <v>70</v>
      </c>
      <c r="B2" s="3">
        <v>0.49</v>
      </c>
      <c r="C2" s="4">
        <f>1-D2</f>
        <v>0.98899999999999999</v>
      </c>
      <c r="D2" s="4">
        <v>1.0999999999999999E-2</v>
      </c>
      <c r="E2" s="4">
        <f>1-F2</f>
        <v>5.0000000000000044E-2</v>
      </c>
      <c r="F2" s="4">
        <v>0.95</v>
      </c>
      <c r="G2" t="s">
        <v>10</v>
      </c>
    </row>
    <row r="3" spans="1:7" x14ac:dyDescent="0.25">
      <c r="A3" s="5">
        <v>70</v>
      </c>
      <c r="B3" s="3">
        <v>0.79</v>
      </c>
      <c r="C3" s="4">
        <f t="shared" ref="C3:C66" si="0">1-D3</f>
        <v>0.98480000000000001</v>
      </c>
      <c r="D3" s="4">
        <v>1.52E-2</v>
      </c>
      <c r="E3" s="4">
        <f t="shared" ref="E3:E66" si="1">1-F3</f>
        <v>3.0399999999999983E-2</v>
      </c>
      <c r="F3" s="4">
        <v>0.96960000000000002</v>
      </c>
      <c r="G3" t="s">
        <v>10</v>
      </c>
    </row>
    <row r="4" spans="1:7" x14ac:dyDescent="0.25">
      <c r="A4" s="5">
        <v>70</v>
      </c>
      <c r="B4" s="3">
        <v>1.46</v>
      </c>
      <c r="C4" s="4">
        <f t="shared" si="0"/>
        <v>0.97399999999999998</v>
      </c>
      <c r="D4" s="4">
        <v>2.5999999999999999E-2</v>
      </c>
      <c r="E4" s="4">
        <f t="shared" si="1"/>
        <v>1.9599999999999951E-2</v>
      </c>
      <c r="F4" s="4">
        <v>0.98040000000000005</v>
      </c>
      <c r="G4" t="s">
        <v>10</v>
      </c>
    </row>
    <row r="5" spans="1:7" x14ac:dyDescent="0.25">
      <c r="A5" s="5">
        <v>70</v>
      </c>
      <c r="B5" s="3">
        <v>2.15</v>
      </c>
      <c r="C5" s="4">
        <f t="shared" si="0"/>
        <v>0.96509999999999996</v>
      </c>
      <c r="D5" s="4">
        <v>3.49E-2</v>
      </c>
      <c r="E5" s="4">
        <f t="shared" si="1"/>
        <v>1.3599999999999945E-2</v>
      </c>
      <c r="F5" s="4">
        <v>0.98640000000000005</v>
      </c>
      <c r="G5" t="s">
        <v>10</v>
      </c>
    </row>
    <row r="6" spans="1:7" x14ac:dyDescent="0.25">
      <c r="A6" s="5">
        <v>70</v>
      </c>
      <c r="B6" s="3">
        <v>3.49</v>
      </c>
      <c r="C6" s="4">
        <f t="shared" si="0"/>
        <v>0.94540000000000002</v>
      </c>
      <c r="D6" s="4">
        <v>5.4600000000000003E-2</v>
      </c>
      <c r="E6" s="4">
        <f t="shared" si="1"/>
        <v>9.9000000000000199E-3</v>
      </c>
      <c r="F6" s="4">
        <v>0.99009999999999998</v>
      </c>
      <c r="G6" t="s">
        <v>10</v>
      </c>
    </row>
    <row r="7" spans="1:7" x14ac:dyDescent="0.25">
      <c r="A7" s="5">
        <v>70</v>
      </c>
      <c r="B7" s="3">
        <v>4.9000000000000004</v>
      </c>
      <c r="C7" s="4">
        <f t="shared" si="0"/>
        <v>0.92959999999999998</v>
      </c>
      <c r="D7" s="4">
        <v>7.0400000000000004E-2</v>
      </c>
      <c r="E7" s="4">
        <f t="shared" si="1"/>
        <v>1.2199999999999989E-2</v>
      </c>
      <c r="F7" s="4">
        <v>0.98780000000000001</v>
      </c>
      <c r="G7" t="s">
        <v>10</v>
      </c>
    </row>
    <row r="8" spans="1:7" x14ac:dyDescent="0.25">
      <c r="A8" s="5">
        <v>70</v>
      </c>
      <c r="B8" s="3">
        <v>6.28</v>
      </c>
      <c r="C8" s="4">
        <f t="shared" si="0"/>
        <v>0.91290000000000004</v>
      </c>
      <c r="D8" s="4">
        <v>8.7099999999999997E-2</v>
      </c>
      <c r="E8" s="4">
        <f t="shared" si="1"/>
        <v>1.3599999999999945E-2</v>
      </c>
      <c r="F8" s="4">
        <v>0.98640000000000005</v>
      </c>
      <c r="G8" t="s">
        <v>10</v>
      </c>
    </row>
    <row r="9" spans="1:7" x14ac:dyDescent="0.25">
      <c r="A9" s="5">
        <v>70</v>
      </c>
      <c r="B9" s="3">
        <v>7.59</v>
      </c>
      <c r="C9" s="4">
        <f t="shared" si="0"/>
        <v>0.89880000000000004</v>
      </c>
      <c r="D9" s="4">
        <v>0.1012</v>
      </c>
      <c r="E9" s="4">
        <f t="shared" si="1"/>
        <v>1.8199999999999994E-2</v>
      </c>
      <c r="F9" s="4">
        <v>0.98180000000000001</v>
      </c>
      <c r="G9" t="s">
        <v>10</v>
      </c>
    </row>
    <row r="10" spans="1:7" x14ac:dyDescent="0.25">
      <c r="A10" s="5">
        <v>70</v>
      </c>
      <c r="B10" s="3">
        <v>9.8000000000000007</v>
      </c>
      <c r="C10" s="4">
        <f t="shared" si="0"/>
        <v>0.87570000000000003</v>
      </c>
      <c r="D10" s="4">
        <v>0.12429999999999999</v>
      </c>
      <c r="E10" s="4">
        <f t="shared" si="1"/>
        <v>3.4599999999999964E-2</v>
      </c>
      <c r="F10" s="4">
        <v>0.96540000000000004</v>
      </c>
      <c r="G10" t="s">
        <v>10</v>
      </c>
    </row>
    <row r="11" spans="1:7" x14ac:dyDescent="0.25">
      <c r="A11" s="5">
        <v>70</v>
      </c>
      <c r="B11" s="3">
        <v>10.78</v>
      </c>
      <c r="C11" s="4">
        <f t="shared" si="0"/>
        <v>0.86729999999999996</v>
      </c>
      <c r="D11" s="4">
        <v>0.13270000000000001</v>
      </c>
      <c r="E11" s="4">
        <f t="shared" si="1"/>
        <v>3.8799999999999946E-2</v>
      </c>
      <c r="F11" s="4">
        <v>0.96120000000000005</v>
      </c>
      <c r="G11" t="s">
        <v>10</v>
      </c>
    </row>
    <row r="12" spans="1:7" x14ac:dyDescent="0.25">
      <c r="A12" s="5">
        <v>70</v>
      </c>
      <c r="B12" s="3">
        <v>11.86</v>
      </c>
      <c r="C12" s="4">
        <f t="shared" si="0"/>
        <v>0.85670000000000002</v>
      </c>
      <c r="D12" s="4">
        <v>0.14330000000000001</v>
      </c>
      <c r="E12" s="4">
        <f t="shared" si="1"/>
        <v>4.2300000000000004E-2</v>
      </c>
      <c r="F12" s="4">
        <v>0.9577</v>
      </c>
      <c r="G12" t="s">
        <v>10</v>
      </c>
    </row>
    <row r="13" spans="1:7" x14ac:dyDescent="0.25">
      <c r="A13" s="5">
        <v>70</v>
      </c>
      <c r="B13" s="3">
        <v>13.98</v>
      </c>
      <c r="C13" s="4">
        <f t="shared" si="0"/>
        <v>0.83760000000000001</v>
      </c>
      <c r="D13" s="4">
        <v>0.16239999999999999</v>
      </c>
      <c r="E13" s="4">
        <f t="shared" si="1"/>
        <v>5.0899999999999945E-2</v>
      </c>
      <c r="F13" s="4">
        <v>0.94910000000000005</v>
      </c>
      <c r="G13" t="s">
        <v>10</v>
      </c>
    </row>
    <row r="14" spans="1:7" x14ac:dyDescent="0.25">
      <c r="A14" s="5">
        <v>70</v>
      </c>
      <c r="B14" s="3">
        <v>15.78</v>
      </c>
      <c r="C14" s="4">
        <f t="shared" si="0"/>
        <v>0.8236</v>
      </c>
      <c r="D14" s="4">
        <v>0.1764</v>
      </c>
      <c r="E14" s="4">
        <f t="shared" si="1"/>
        <v>5.9400000000000008E-2</v>
      </c>
      <c r="F14" s="4">
        <v>0.94059999999999999</v>
      </c>
      <c r="G14" t="s">
        <v>10</v>
      </c>
    </row>
    <row r="15" spans="1:7" x14ac:dyDescent="0.25">
      <c r="A15" s="5">
        <v>70</v>
      </c>
      <c r="B15" s="3">
        <v>19.18</v>
      </c>
      <c r="C15" s="4">
        <f t="shared" si="0"/>
        <v>0.79699999999999993</v>
      </c>
      <c r="D15" s="4">
        <v>0.20300000000000001</v>
      </c>
      <c r="E15" s="4">
        <f t="shared" si="1"/>
        <v>6.9899999999999962E-2</v>
      </c>
      <c r="F15" s="4">
        <v>0.93010000000000004</v>
      </c>
      <c r="G15" t="s">
        <v>10</v>
      </c>
    </row>
    <row r="16" spans="1:7" x14ac:dyDescent="0.25">
      <c r="A16" s="5">
        <v>70</v>
      </c>
      <c r="B16" s="3">
        <v>22.38</v>
      </c>
      <c r="C16" s="4">
        <f t="shared" si="0"/>
        <v>0.77300000000000002</v>
      </c>
      <c r="D16" s="4">
        <v>0.22700000000000001</v>
      </c>
      <c r="E16" s="4">
        <f t="shared" si="1"/>
        <v>8.450000000000002E-2</v>
      </c>
      <c r="F16" s="4">
        <v>0.91549999999999998</v>
      </c>
      <c r="G16" t="s">
        <v>10</v>
      </c>
    </row>
    <row r="17" spans="1:7" x14ac:dyDescent="0.25">
      <c r="A17" s="5">
        <v>70</v>
      </c>
      <c r="B17" s="3">
        <v>25.02</v>
      </c>
      <c r="C17" s="4">
        <f t="shared" si="0"/>
        <v>0.75319999999999998</v>
      </c>
      <c r="D17" s="4">
        <v>0.24679999999999999</v>
      </c>
      <c r="E17" s="4">
        <f t="shared" si="1"/>
        <v>9.8199999999999954E-2</v>
      </c>
      <c r="F17" s="4">
        <v>0.90180000000000005</v>
      </c>
      <c r="G17" t="s">
        <v>10</v>
      </c>
    </row>
    <row r="18" spans="1:7" x14ac:dyDescent="0.25">
      <c r="A18" s="5">
        <v>70</v>
      </c>
      <c r="B18" s="3">
        <v>28.09</v>
      </c>
      <c r="C18" s="4">
        <f t="shared" si="0"/>
        <v>0.72839999999999994</v>
      </c>
      <c r="D18" s="4">
        <v>0.27160000000000001</v>
      </c>
      <c r="E18" s="4">
        <f t="shared" si="1"/>
        <v>0.1119</v>
      </c>
      <c r="F18" s="4">
        <v>0.8881</v>
      </c>
      <c r="G18" t="s">
        <v>10</v>
      </c>
    </row>
    <row r="19" spans="1:7" x14ac:dyDescent="0.25">
      <c r="A19" s="5">
        <v>70</v>
      </c>
      <c r="B19" s="3">
        <v>30.58</v>
      </c>
      <c r="C19" s="4">
        <f t="shared" si="0"/>
        <v>0.71</v>
      </c>
      <c r="D19" s="4">
        <v>0.28999999999999998</v>
      </c>
      <c r="E19" s="4">
        <f t="shared" si="1"/>
        <v>0.12019999999999997</v>
      </c>
      <c r="F19" s="4">
        <v>0.87980000000000003</v>
      </c>
      <c r="G19" t="s">
        <v>10</v>
      </c>
    </row>
    <row r="20" spans="1:7" x14ac:dyDescent="0.25">
      <c r="A20" s="5">
        <v>70</v>
      </c>
      <c r="B20" s="3">
        <v>32.630000000000003</v>
      </c>
      <c r="C20" s="4">
        <f t="shared" si="0"/>
        <v>0.69469999999999998</v>
      </c>
      <c r="D20" s="4">
        <v>0.30530000000000002</v>
      </c>
      <c r="E20" s="4">
        <f t="shared" si="1"/>
        <v>0.13339999999999996</v>
      </c>
      <c r="F20" s="4">
        <v>0.86660000000000004</v>
      </c>
      <c r="G20" t="s">
        <v>10</v>
      </c>
    </row>
    <row r="21" spans="1:7" x14ac:dyDescent="0.25">
      <c r="A21" s="5">
        <v>70</v>
      </c>
      <c r="B21" s="3">
        <v>33.44</v>
      </c>
      <c r="C21" s="4">
        <f t="shared" si="0"/>
        <v>0.68880000000000008</v>
      </c>
      <c r="D21" s="4">
        <v>0.31119999999999998</v>
      </c>
      <c r="E21" s="4">
        <f t="shared" si="1"/>
        <v>0.13980000000000004</v>
      </c>
      <c r="F21" s="4">
        <v>0.86019999999999996</v>
      </c>
      <c r="G21" t="s">
        <v>10</v>
      </c>
    </row>
    <row r="22" spans="1:7" x14ac:dyDescent="0.25">
      <c r="A22" s="5">
        <v>70</v>
      </c>
      <c r="B22" s="3">
        <v>34.89</v>
      </c>
      <c r="C22" s="4">
        <f t="shared" si="0"/>
        <v>0.67779999999999996</v>
      </c>
      <c r="D22" s="4">
        <v>0.32219999999999999</v>
      </c>
      <c r="E22" s="4">
        <f t="shared" si="1"/>
        <v>0.14529999999999998</v>
      </c>
      <c r="F22" s="4">
        <v>0.85470000000000002</v>
      </c>
      <c r="G22" t="s">
        <v>10</v>
      </c>
    </row>
    <row r="23" spans="1:7" x14ac:dyDescent="0.25">
      <c r="A23" s="5">
        <v>70</v>
      </c>
      <c r="B23" s="3">
        <v>35.74</v>
      </c>
      <c r="C23" s="4">
        <f t="shared" si="0"/>
        <v>0.66860000000000008</v>
      </c>
      <c r="D23" s="4">
        <v>0.33139999999999997</v>
      </c>
      <c r="E23" s="4">
        <f t="shared" si="1"/>
        <v>0.15180000000000005</v>
      </c>
      <c r="F23" s="4">
        <v>0.84819999999999995</v>
      </c>
      <c r="G23" t="s">
        <v>10</v>
      </c>
    </row>
    <row r="24" spans="1:7" x14ac:dyDescent="0.25">
      <c r="A24" s="5">
        <v>70</v>
      </c>
      <c r="B24" s="3">
        <v>37.94</v>
      </c>
      <c r="C24" s="4">
        <f t="shared" si="0"/>
        <v>0.64979999999999993</v>
      </c>
      <c r="D24" s="4">
        <v>0.35020000000000001</v>
      </c>
      <c r="E24" s="4">
        <f t="shared" si="1"/>
        <v>0.16649999999999998</v>
      </c>
      <c r="F24" s="4">
        <v>0.83350000000000002</v>
      </c>
      <c r="G24" t="s">
        <v>10</v>
      </c>
    </row>
    <row r="25" spans="1:7" x14ac:dyDescent="0.25">
      <c r="A25" s="5">
        <v>70</v>
      </c>
      <c r="B25" s="3">
        <v>40.44</v>
      </c>
      <c r="C25" s="4">
        <f t="shared" si="0"/>
        <v>0.62739999999999996</v>
      </c>
      <c r="D25" s="4">
        <v>0.37259999999999999</v>
      </c>
      <c r="E25" s="4">
        <f t="shared" si="1"/>
        <v>0.17249999999999999</v>
      </c>
      <c r="F25" s="4">
        <v>0.82750000000000001</v>
      </c>
      <c r="G25" t="s">
        <v>10</v>
      </c>
    </row>
    <row r="26" spans="1:7" x14ac:dyDescent="0.25">
      <c r="A26" s="5">
        <v>70</v>
      </c>
      <c r="B26" s="3">
        <v>42.01</v>
      </c>
      <c r="C26" s="4">
        <f t="shared" si="0"/>
        <v>0.61099999999999999</v>
      </c>
      <c r="D26" s="4">
        <v>0.38900000000000001</v>
      </c>
      <c r="E26" s="4">
        <f t="shared" si="1"/>
        <v>0.18269999999999997</v>
      </c>
      <c r="F26" s="4">
        <v>0.81730000000000003</v>
      </c>
      <c r="G26" t="s">
        <v>10</v>
      </c>
    </row>
    <row r="27" spans="1:7" x14ac:dyDescent="0.25">
      <c r="A27" s="5">
        <v>70</v>
      </c>
      <c r="B27" s="3">
        <v>44.23</v>
      </c>
      <c r="C27" s="4">
        <f t="shared" si="0"/>
        <v>0.58699999999999997</v>
      </c>
      <c r="D27" s="4">
        <v>0.41299999999999998</v>
      </c>
      <c r="E27" s="4">
        <f t="shared" si="1"/>
        <v>0.19299999999999995</v>
      </c>
      <c r="F27" s="4">
        <v>0.80700000000000005</v>
      </c>
      <c r="G27" t="s">
        <v>10</v>
      </c>
    </row>
    <row r="28" spans="1:7" x14ac:dyDescent="0.25">
      <c r="A28" s="5">
        <v>70</v>
      </c>
      <c r="B28" s="3">
        <v>46.91</v>
      </c>
      <c r="C28" s="4">
        <f t="shared" si="0"/>
        <v>0.55699999999999994</v>
      </c>
      <c r="D28" s="4">
        <v>0.443</v>
      </c>
      <c r="E28" s="4">
        <f t="shared" si="1"/>
        <v>0.20740000000000003</v>
      </c>
      <c r="F28" s="4">
        <v>0.79259999999999997</v>
      </c>
      <c r="G28" t="s">
        <v>10</v>
      </c>
    </row>
    <row r="29" spans="1:7" x14ac:dyDescent="0.25">
      <c r="A29" s="5">
        <v>70</v>
      </c>
      <c r="B29" s="3">
        <v>49.75</v>
      </c>
      <c r="C29" s="4">
        <f t="shared" si="0"/>
        <v>0.52500000000000002</v>
      </c>
      <c r="D29" s="4">
        <v>0.47499999999999998</v>
      </c>
      <c r="E29" s="4">
        <f t="shared" si="1"/>
        <v>0.24</v>
      </c>
      <c r="F29" s="4">
        <v>0.76</v>
      </c>
      <c r="G29" t="s">
        <v>10</v>
      </c>
    </row>
    <row r="30" spans="1:7" x14ac:dyDescent="0.25">
      <c r="A30" s="5">
        <v>70</v>
      </c>
      <c r="B30" s="3">
        <v>50.93</v>
      </c>
      <c r="C30" s="4">
        <f t="shared" si="0"/>
        <v>0.50249999999999995</v>
      </c>
      <c r="D30" s="4">
        <v>0.4975</v>
      </c>
      <c r="E30" s="4">
        <f t="shared" si="1"/>
        <v>0.26129999999999998</v>
      </c>
      <c r="F30" s="4">
        <v>0.73870000000000002</v>
      </c>
      <c r="G30" t="s">
        <v>10</v>
      </c>
    </row>
    <row r="31" spans="1:7" x14ac:dyDescent="0.25">
      <c r="A31" s="5">
        <v>70</v>
      </c>
      <c r="B31" s="3">
        <v>51.64</v>
      </c>
      <c r="C31" s="4">
        <f t="shared" si="0"/>
        <v>0.48829999999999996</v>
      </c>
      <c r="D31" s="4">
        <v>0.51170000000000004</v>
      </c>
      <c r="E31" s="4"/>
      <c r="F31" s="4"/>
      <c r="G31" t="s">
        <v>10</v>
      </c>
    </row>
    <row r="32" spans="1:7" x14ac:dyDescent="0.25">
      <c r="A32" s="5">
        <v>70</v>
      </c>
      <c r="B32" s="3">
        <v>52.61</v>
      </c>
      <c r="C32" s="4">
        <f t="shared" si="0"/>
        <v>0.46299999999999997</v>
      </c>
      <c r="D32" s="4">
        <v>0.53700000000000003</v>
      </c>
      <c r="E32" s="4">
        <f t="shared" si="1"/>
        <v>0.30500000000000005</v>
      </c>
      <c r="F32" s="4">
        <v>0.69499999999999995</v>
      </c>
      <c r="G32" t="s">
        <v>10</v>
      </c>
    </row>
    <row r="33" spans="1:7" x14ac:dyDescent="0.25">
      <c r="A33" s="5">
        <v>70</v>
      </c>
      <c r="B33" s="3">
        <v>52.94</v>
      </c>
      <c r="C33" s="4">
        <f t="shared" si="0"/>
        <v>0.44399999999999995</v>
      </c>
      <c r="D33" s="4">
        <v>0.55600000000000005</v>
      </c>
      <c r="E33" s="4">
        <f t="shared" si="1"/>
        <v>0.32499999999999996</v>
      </c>
      <c r="F33" s="4">
        <v>0.67500000000000004</v>
      </c>
      <c r="G33" t="s">
        <v>10</v>
      </c>
    </row>
    <row r="34" spans="1:7" x14ac:dyDescent="0.25">
      <c r="A34" s="5">
        <v>77.3</v>
      </c>
      <c r="B34" s="3">
        <v>0.65</v>
      </c>
      <c r="C34" s="4">
        <f t="shared" si="0"/>
        <v>0.98640000000000005</v>
      </c>
      <c r="D34" s="4">
        <v>1.3599999999999999E-2</v>
      </c>
      <c r="E34" s="4">
        <f t="shared" si="1"/>
        <v>0.10260000000000002</v>
      </c>
      <c r="F34" s="4">
        <v>0.89739999999999998</v>
      </c>
      <c r="G34" t="s">
        <v>10</v>
      </c>
    </row>
    <row r="35" spans="1:7" x14ac:dyDescent="0.25">
      <c r="A35" s="5">
        <v>77.3</v>
      </c>
      <c r="B35" s="3">
        <v>1.51</v>
      </c>
      <c r="C35" s="4">
        <f t="shared" si="0"/>
        <v>0.9708</v>
      </c>
      <c r="D35" s="4">
        <v>2.92E-2</v>
      </c>
      <c r="E35" s="4">
        <f t="shared" si="1"/>
        <v>5.6300000000000017E-2</v>
      </c>
      <c r="F35" s="4">
        <v>0.94369999999999998</v>
      </c>
      <c r="G35" t="s">
        <v>10</v>
      </c>
    </row>
    <row r="36" spans="1:7" x14ac:dyDescent="0.25">
      <c r="A36" s="5">
        <v>77.3</v>
      </c>
      <c r="B36" s="3">
        <v>2.1</v>
      </c>
      <c r="C36" s="4">
        <f t="shared" si="0"/>
        <v>0.96309999999999996</v>
      </c>
      <c r="D36" s="4">
        <v>3.6900000000000002E-2</v>
      </c>
      <c r="E36" s="4">
        <f t="shared" si="1"/>
        <v>4.4599999999999973E-2</v>
      </c>
      <c r="F36" s="4">
        <v>0.95540000000000003</v>
      </c>
      <c r="G36" t="s">
        <v>10</v>
      </c>
    </row>
    <row r="37" spans="1:7" x14ac:dyDescent="0.25">
      <c r="A37" s="5">
        <v>77.3</v>
      </c>
      <c r="B37" s="3">
        <v>2.86</v>
      </c>
      <c r="C37" s="4">
        <f t="shared" si="0"/>
        <v>0.95020000000000004</v>
      </c>
      <c r="D37" s="4">
        <v>4.9799999999999997E-2</v>
      </c>
      <c r="E37" s="4">
        <f t="shared" si="1"/>
        <v>3.9799999999999947E-2</v>
      </c>
      <c r="F37" s="4">
        <v>0.96020000000000005</v>
      </c>
      <c r="G37" t="s">
        <v>10</v>
      </c>
    </row>
    <row r="38" spans="1:7" x14ac:dyDescent="0.25">
      <c r="A38" s="5">
        <v>77.3</v>
      </c>
      <c r="B38" s="3">
        <v>3.6</v>
      </c>
      <c r="C38" s="4">
        <f t="shared" si="0"/>
        <v>0.93810000000000004</v>
      </c>
      <c r="D38" s="4">
        <v>6.1899999999999997E-2</v>
      </c>
      <c r="E38" s="4">
        <f t="shared" si="1"/>
        <v>3.8499999999999979E-2</v>
      </c>
      <c r="F38" s="4">
        <v>0.96150000000000002</v>
      </c>
      <c r="G38" t="s">
        <v>10</v>
      </c>
    </row>
    <row r="39" spans="1:7" x14ac:dyDescent="0.25">
      <c r="A39" s="5">
        <v>77.3</v>
      </c>
      <c r="B39" s="3">
        <v>4.2699999999999996</v>
      </c>
      <c r="C39" s="4">
        <f t="shared" si="0"/>
        <v>0.92679999999999996</v>
      </c>
      <c r="D39" s="4">
        <v>7.3200000000000001E-2</v>
      </c>
      <c r="E39" s="4">
        <f t="shared" si="1"/>
        <v>3.7200000000000011E-2</v>
      </c>
      <c r="F39" s="4">
        <v>0.96279999999999999</v>
      </c>
      <c r="G39" t="s">
        <v>10</v>
      </c>
    </row>
    <row r="40" spans="1:7" x14ac:dyDescent="0.25">
      <c r="A40" s="5">
        <v>77.3</v>
      </c>
      <c r="B40" s="3">
        <v>4.95</v>
      </c>
      <c r="C40" s="4">
        <f t="shared" si="0"/>
        <v>0.9153</v>
      </c>
      <c r="D40" s="4">
        <v>8.4699999999999998E-2</v>
      </c>
      <c r="E40" s="4">
        <f t="shared" si="1"/>
        <v>3.7799999999999945E-2</v>
      </c>
      <c r="F40" s="4">
        <v>0.96220000000000006</v>
      </c>
      <c r="G40" t="s">
        <v>10</v>
      </c>
    </row>
    <row r="41" spans="1:7" x14ac:dyDescent="0.25">
      <c r="A41" s="5">
        <v>77.3</v>
      </c>
      <c r="B41" s="3">
        <v>5.64</v>
      </c>
      <c r="C41" s="4">
        <f t="shared" si="0"/>
        <v>0.9052</v>
      </c>
      <c r="D41" s="4">
        <v>9.4799999999999995E-2</v>
      </c>
      <c r="E41" s="4">
        <f t="shared" si="1"/>
        <v>3.5299999999999998E-2</v>
      </c>
      <c r="F41" s="4">
        <v>0.9647</v>
      </c>
      <c r="G41" t="s">
        <v>10</v>
      </c>
    </row>
    <row r="42" spans="1:7" x14ac:dyDescent="0.25">
      <c r="A42" s="5">
        <v>77.3</v>
      </c>
      <c r="B42" s="3">
        <v>6.36</v>
      </c>
      <c r="C42" s="4">
        <f t="shared" si="0"/>
        <v>0.89419999999999999</v>
      </c>
      <c r="D42" s="4">
        <v>0.10580000000000001</v>
      </c>
      <c r="E42" s="4">
        <f t="shared" si="1"/>
        <v>3.6599999999999966E-2</v>
      </c>
      <c r="F42" s="4">
        <v>0.96340000000000003</v>
      </c>
      <c r="G42" t="s">
        <v>10</v>
      </c>
    </row>
    <row r="43" spans="1:7" x14ac:dyDescent="0.25">
      <c r="A43" s="5">
        <v>77.3</v>
      </c>
      <c r="B43" s="3">
        <v>7.03</v>
      </c>
      <c r="C43" s="4">
        <f t="shared" si="0"/>
        <v>0.88349999999999995</v>
      </c>
      <c r="D43" s="4">
        <v>0.11650000000000001</v>
      </c>
      <c r="E43" s="4">
        <f t="shared" si="1"/>
        <v>3.5900000000000043E-2</v>
      </c>
      <c r="F43" s="4">
        <v>0.96409999999999996</v>
      </c>
      <c r="G43" t="s">
        <v>10</v>
      </c>
    </row>
    <row r="44" spans="1:7" x14ac:dyDescent="0.25">
      <c r="A44" s="5">
        <v>77.3</v>
      </c>
      <c r="B44" s="3">
        <v>7.66</v>
      </c>
      <c r="C44" s="4">
        <f t="shared" si="0"/>
        <v>0.87590000000000001</v>
      </c>
      <c r="D44" s="4">
        <v>0.1241</v>
      </c>
      <c r="E44" s="4">
        <f t="shared" si="1"/>
        <v>4.3000000000000038E-2</v>
      </c>
      <c r="F44" s="4">
        <v>0.95699999999999996</v>
      </c>
      <c r="G44" t="s">
        <v>10</v>
      </c>
    </row>
    <row r="45" spans="1:7" x14ac:dyDescent="0.25">
      <c r="A45" s="5">
        <v>77.3</v>
      </c>
      <c r="B45" s="3">
        <v>8.36</v>
      </c>
      <c r="C45" s="4">
        <f t="shared" si="0"/>
        <v>0.86450000000000005</v>
      </c>
      <c r="D45" s="4">
        <v>0.13550000000000001</v>
      </c>
      <c r="E45" s="4">
        <f t="shared" si="1"/>
        <v>4.6200000000000019E-2</v>
      </c>
      <c r="F45" s="4">
        <v>0.95379999999999998</v>
      </c>
      <c r="G45" t="s">
        <v>10</v>
      </c>
    </row>
    <row r="46" spans="1:7" x14ac:dyDescent="0.25">
      <c r="A46" s="5">
        <v>77.3</v>
      </c>
      <c r="B46" s="3">
        <v>10.47</v>
      </c>
      <c r="C46" s="4">
        <f t="shared" si="0"/>
        <v>0.83519999999999994</v>
      </c>
      <c r="D46" s="4">
        <v>0.1648</v>
      </c>
      <c r="E46" s="4">
        <f t="shared" si="1"/>
        <v>5.8200000000000029E-2</v>
      </c>
      <c r="F46" s="4">
        <v>0.94179999999999997</v>
      </c>
      <c r="G46" t="s">
        <v>10</v>
      </c>
    </row>
    <row r="47" spans="1:7" x14ac:dyDescent="0.25">
      <c r="A47" s="5">
        <v>77.3</v>
      </c>
      <c r="B47" s="3">
        <v>11.13</v>
      </c>
      <c r="C47" s="4">
        <f t="shared" si="0"/>
        <v>0.82569999999999999</v>
      </c>
      <c r="D47" s="4">
        <v>0.17430000000000001</v>
      </c>
      <c r="E47" s="4">
        <f t="shared" si="1"/>
        <v>6.3799999999999968E-2</v>
      </c>
      <c r="F47" s="4">
        <v>0.93620000000000003</v>
      </c>
      <c r="G47" t="s">
        <v>10</v>
      </c>
    </row>
    <row r="48" spans="1:7" x14ac:dyDescent="0.25">
      <c r="A48" s="5">
        <v>77.3</v>
      </c>
      <c r="B48" s="3">
        <v>12.31</v>
      </c>
      <c r="C48" s="4">
        <f t="shared" si="0"/>
        <v>0.80859999999999999</v>
      </c>
      <c r="D48" s="4">
        <v>0.19139999999999999</v>
      </c>
      <c r="E48" s="4">
        <f t="shared" si="1"/>
        <v>6.8699999999999983E-2</v>
      </c>
      <c r="F48" s="4">
        <v>0.93130000000000002</v>
      </c>
      <c r="G48" t="s">
        <v>10</v>
      </c>
    </row>
    <row r="49" spans="1:7" x14ac:dyDescent="0.25">
      <c r="A49" s="5">
        <v>77.3</v>
      </c>
      <c r="B49" s="3">
        <v>13.94</v>
      </c>
      <c r="C49" s="4">
        <f t="shared" si="0"/>
        <v>0.78449999999999998</v>
      </c>
      <c r="D49" s="4">
        <v>0.2155</v>
      </c>
      <c r="E49" s="4">
        <f t="shared" si="1"/>
        <v>7.999999999999996E-2</v>
      </c>
      <c r="F49" s="4">
        <v>0.92</v>
      </c>
      <c r="G49" t="s">
        <v>10</v>
      </c>
    </row>
    <row r="50" spans="1:7" x14ac:dyDescent="0.25">
      <c r="A50" s="5">
        <v>77.3</v>
      </c>
      <c r="B50" s="3">
        <v>15.99</v>
      </c>
      <c r="C50" s="4">
        <f t="shared" si="0"/>
        <v>0.75900000000000001</v>
      </c>
      <c r="D50" s="4">
        <v>0.24099999999999999</v>
      </c>
      <c r="E50" s="4">
        <f t="shared" si="1"/>
        <v>9.4700000000000006E-2</v>
      </c>
      <c r="F50" s="4">
        <v>0.90529999999999999</v>
      </c>
      <c r="G50" t="s">
        <v>10</v>
      </c>
    </row>
    <row r="51" spans="1:7" x14ac:dyDescent="0.25">
      <c r="A51" s="5">
        <v>77.3</v>
      </c>
      <c r="B51" s="3">
        <v>18.899999999999999</v>
      </c>
      <c r="C51" s="4">
        <f t="shared" si="0"/>
        <v>0.71489999999999998</v>
      </c>
      <c r="D51" s="4">
        <v>0.28510000000000002</v>
      </c>
      <c r="E51" s="4">
        <f t="shared" si="1"/>
        <v>0.11960000000000004</v>
      </c>
      <c r="F51" s="4">
        <v>0.88039999999999996</v>
      </c>
      <c r="G51" t="s">
        <v>10</v>
      </c>
    </row>
    <row r="52" spans="1:7" x14ac:dyDescent="0.25">
      <c r="A52" s="5">
        <v>77.3</v>
      </c>
      <c r="B52" s="3">
        <v>22.15</v>
      </c>
      <c r="C52" s="4">
        <f t="shared" si="0"/>
        <v>0.66660000000000008</v>
      </c>
      <c r="D52" s="4">
        <v>0.33339999999999997</v>
      </c>
      <c r="E52" s="4">
        <f t="shared" si="1"/>
        <v>0.14800000000000002</v>
      </c>
      <c r="F52" s="4">
        <v>0.85199999999999998</v>
      </c>
      <c r="G52" t="s">
        <v>10</v>
      </c>
    </row>
    <row r="53" spans="1:7" x14ac:dyDescent="0.25">
      <c r="A53" s="5">
        <v>77.3</v>
      </c>
      <c r="B53" s="3">
        <v>24.9</v>
      </c>
      <c r="C53" s="4">
        <f t="shared" si="0"/>
        <v>0.61860000000000004</v>
      </c>
      <c r="D53" s="4">
        <v>0.38140000000000002</v>
      </c>
      <c r="E53" s="4">
        <f t="shared" si="1"/>
        <v>0.18220000000000003</v>
      </c>
      <c r="F53" s="4">
        <v>0.81779999999999997</v>
      </c>
      <c r="G53" t="s">
        <v>10</v>
      </c>
    </row>
    <row r="54" spans="1:7" x14ac:dyDescent="0.25">
      <c r="A54" s="5">
        <v>77.3</v>
      </c>
      <c r="B54" s="3">
        <v>26.99</v>
      </c>
      <c r="C54" s="4">
        <f t="shared" si="0"/>
        <v>0.57299999999999995</v>
      </c>
      <c r="D54" s="4">
        <v>0.42699999999999999</v>
      </c>
      <c r="E54" s="4">
        <f t="shared" si="1"/>
        <v>0.21230000000000004</v>
      </c>
      <c r="F54" s="4">
        <v>0.78769999999999996</v>
      </c>
      <c r="G54" t="s">
        <v>10</v>
      </c>
    </row>
    <row r="55" spans="1:7" x14ac:dyDescent="0.25">
      <c r="A55" s="5">
        <v>77.3</v>
      </c>
      <c r="B55" s="3">
        <v>29.13</v>
      </c>
      <c r="C55" s="4">
        <f t="shared" si="0"/>
        <v>0.50900000000000001</v>
      </c>
      <c r="D55" s="4">
        <v>0.49099999999999999</v>
      </c>
      <c r="E55" s="4">
        <f t="shared" si="1"/>
        <v>0.26200000000000001</v>
      </c>
      <c r="F55" s="4">
        <v>0.73799999999999999</v>
      </c>
      <c r="G55" t="s">
        <v>10</v>
      </c>
    </row>
    <row r="56" spans="1:7" x14ac:dyDescent="0.25">
      <c r="A56" s="5">
        <v>77.3</v>
      </c>
      <c r="B56" s="3">
        <v>29.67</v>
      </c>
      <c r="C56" s="4">
        <f t="shared" si="0"/>
        <v>0.48299999999999998</v>
      </c>
      <c r="D56" s="4">
        <v>0.51700000000000002</v>
      </c>
      <c r="E56" s="4">
        <f t="shared" si="1"/>
        <v>0.27800000000000002</v>
      </c>
      <c r="F56" s="4">
        <v>0.72199999999999998</v>
      </c>
      <c r="G56" t="s">
        <v>10</v>
      </c>
    </row>
    <row r="57" spans="1:7" x14ac:dyDescent="0.25">
      <c r="A57" s="5">
        <v>77.3</v>
      </c>
      <c r="B57" s="3">
        <v>30.14</v>
      </c>
      <c r="C57" s="4">
        <f t="shared" si="0"/>
        <v>0.45399999999999996</v>
      </c>
      <c r="D57" s="4">
        <v>0.54600000000000004</v>
      </c>
      <c r="E57" s="4">
        <f t="shared" si="1"/>
        <v>0.30200000000000005</v>
      </c>
      <c r="F57" s="4">
        <v>0.69799999999999995</v>
      </c>
      <c r="G57" t="s">
        <v>10</v>
      </c>
    </row>
    <row r="58" spans="1:7" x14ac:dyDescent="0.25">
      <c r="A58" s="5">
        <v>85</v>
      </c>
      <c r="B58" s="3">
        <v>0.52</v>
      </c>
      <c r="C58" s="4">
        <f t="shared" si="0"/>
        <v>0.99099999999999999</v>
      </c>
      <c r="D58" s="4">
        <v>8.9999999999999993E-3</v>
      </c>
      <c r="E58" s="4">
        <f t="shared" si="1"/>
        <v>0.30300000000000005</v>
      </c>
      <c r="F58" s="4">
        <v>0.69699999999999995</v>
      </c>
      <c r="G58" t="s">
        <v>10</v>
      </c>
    </row>
    <row r="59" spans="1:7" x14ac:dyDescent="0.25">
      <c r="A59" s="5">
        <v>85</v>
      </c>
      <c r="B59" s="3">
        <v>0.78</v>
      </c>
      <c r="C59" s="4">
        <f t="shared" si="0"/>
        <v>0.98580000000000001</v>
      </c>
      <c r="D59" s="4">
        <v>1.4200000000000001E-2</v>
      </c>
      <c r="E59" s="4">
        <f t="shared" si="1"/>
        <v>0.18189999999999995</v>
      </c>
      <c r="F59" s="4">
        <v>0.81810000000000005</v>
      </c>
      <c r="G59" t="s">
        <v>10</v>
      </c>
    </row>
    <row r="60" spans="1:7" x14ac:dyDescent="0.25">
      <c r="A60" s="5">
        <v>85</v>
      </c>
      <c r="B60" s="3">
        <v>1.45</v>
      </c>
      <c r="C60" s="4">
        <f t="shared" si="0"/>
        <v>0.97340000000000004</v>
      </c>
      <c r="D60" s="4">
        <v>2.6599999999999999E-2</v>
      </c>
      <c r="E60" s="4">
        <f t="shared" si="1"/>
        <v>0.127</v>
      </c>
      <c r="F60" s="4">
        <v>0.873</v>
      </c>
      <c r="G60" t="s">
        <v>10</v>
      </c>
    </row>
    <row r="61" spans="1:7" x14ac:dyDescent="0.25">
      <c r="A61" s="5">
        <v>85</v>
      </c>
      <c r="B61" s="3">
        <v>2.86</v>
      </c>
      <c r="C61" s="4">
        <f t="shared" si="0"/>
        <v>0.94569999999999999</v>
      </c>
      <c r="D61" s="4">
        <v>5.4300000000000001E-2</v>
      </c>
      <c r="E61" s="4">
        <f t="shared" si="1"/>
        <v>8.8999999999999968E-2</v>
      </c>
      <c r="F61" s="4">
        <v>0.91100000000000003</v>
      </c>
      <c r="G61" t="s">
        <v>10</v>
      </c>
    </row>
    <row r="62" spans="1:7" x14ac:dyDescent="0.25">
      <c r="A62" s="5">
        <v>85</v>
      </c>
      <c r="B62" s="3">
        <v>4.2</v>
      </c>
      <c r="C62" s="4">
        <f t="shared" si="0"/>
        <v>0.91859999999999997</v>
      </c>
      <c r="D62" s="4">
        <v>8.14E-2</v>
      </c>
      <c r="E62" s="4">
        <f t="shared" si="1"/>
        <v>7.8200000000000047E-2</v>
      </c>
      <c r="F62" s="4">
        <v>0.92179999999999995</v>
      </c>
      <c r="G62" t="s">
        <v>10</v>
      </c>
    </row>
    <row r="63" spans="1:7" x14ac:dyDescent="0.25">
      <c r="A63" s="5">
        <v>85</v>
      </c>
      <c r="B63" s="3">
        <v>4.9400000000000004</v>
      </c>
      <c r="C63" s="4">
        <f t="shared" si="0"/>
        <v>0.90429999999999999</v>
      </c>
      <c r="D63" s="4">
        <v>9.5699999999999993E-2</v>
      </c>
      <c r="E63" s="4">
        <f t="shared" si="1"/>
        <v>7.6999999999999957E-2</v>
      </c>
      <c r="F63" s="4">
        <v>0.92300000000000004</v>
      </c>
      <c r="G63" t="s">
        <v>10</v>
      </c>
    </row>
    <row r="64" spans="1:7" x14ac:dyDescent="0.25">
      <c r="A64" s="5">
        <v>85</v>
      </c>
      <c r="B64" s="3">
        <v>5.63</v>
      </c>
      <c r="C64" s="4">
        <f t="shared" si="0"/>
        <v>0.89159999999999995</v>
      </c>
      <c r="D64" s="4">
        <v>0.1084</v>
      </c>
      <c r="E64" s="4">
        <f t="shared" si="1"/>
        <v>7.669999999999999E-2</v>
      </c>
      <c r="F64" s="4">
        <v>0.92330000000000001</v>
      </c>
      <c r="G64" t="s">
        <v>10</v>
      </c>
    </row>
    <row r="65" spans="1:7" x14ac:dyDescent="0.25">
      <c r="A65" s="5">
        <v>85</v>
      </c>
      <c r="B65" s="3">
        <v>7.01</v>
      </c>
      <c r="C65" s="4">
        <f t="shared" si="0"/>
        <v>0.86360000000000003</v>
      </c>
      <c r="D65" s="4">
        <v>0.13639999999999999</v>
      </c>
      <c r="E65" s="4">
        <f t="shared" si="1"/>
        <v>8.0600000000000005E-2</v>
      </c>
      <c r="F65" s="4">
        <v>0.9194</v>
      </c>
      <c r="G65" t="s">
        <v>10</v>
      </c>
    </row>
    <row r="66" spans="1:7" x14ac:dyDescent="0.25">
      <c r="A66" s="5">
        <v>85</v>
      </c>
      <c r="B66" s="3">
        <v>8.3800000000000008</v>
      </c>
      <c r="C66" s="4">
        <f t="shared" si="0"/>
        <v>0.83599999999999997</v>
      </c>
      <c r="D66" s="4">
        <v>0.16400000000000001</v>
      </c>
      <c r="E66" s="4">
        <f t="shared" si="1"/>
        <v>8.3300000000000041E-2</v>
      </c>
      <c r="F66" s="4">
        <v>0.91669999999999996</v>
      </c>
      <c r="G66" t="s">
        <v>10</v>
      </c>
    </row>
    <row r="67" spans="1:7" x14ac:dyDescent="0.25">
      <c r="A67" s="5">
        <v>85</v>
      </c>
      <c r="B67" s="3">
        <v>10.1</v>
      </c>
      <c r="C67" s="4">
        <f t="shared" ref="C67:C130" si="2">1-D67</f>
        <v>0.80230000000000001</v>
      </c>
      <c r="D67" s="4">
        <v>0.19769999999999999</v>
      </c>
      <c r="E67" s="4">
        <f t="shared" ref="E67:E130" si="3">1-F67</f>
        <v>9.4700000000000006E-2</v>
      </c>
      <c r="F67" s="4">
        <v>0.90529999999999999</v>
      </c>
      <c r="G67" t="s">
        <v>10</v>
      </c>
    </row>
    <row r="68" spans="1:7" x14ac:dyDescent="0.25">
      <c r="A68" s="5">
        <v>85</v>
      </c>
      <c r="B68" s="3">
        <v>11.84</v>
      </c>
      <c r="C68" s="4">
        <f t="shared" si="2"/>
        <v>0.76790000000000003</v>
      </c>
      <c r="D68" s="4">
        <v>0.2321</v>
      </c>
      <c r="E68" s="4">
        <f t="shared" si="3"/>
        <v>0.10809999999999997</v>
      </c>
      <c r="F68" s="4">
        <v>0.89190000000000003</v>
      </c>
      <c r="G68" t="s">
        <v>10</v>
      </c>
    </row>
    <row r="69" spans="1:7" x14ac:dyDescent="0.25">
      <c r="A69" s="5">
        <v>85</v>
      </c>
      <c r="B69" s="3">
        <v>13.86</v>
      </c>
      <c r="C69" s="4">
        <f t="shared" si="2"/>
        <v>0.72399999999999998</v>
      </c>
      <c r="D69" s="4">
        <v>0.27600000000000002</v>
      </c>
      <c r="E69" s="4">
        <f t="shared" si="3"/>
        <v>0.12980000000000003</v>
      </c>
      <c r="F69" s="4">
        <v>0.87019999999999997</v>
      </c>
      <c r="G69" t="s">
        <v>10</v>
      </c>
    </row>
    <row r="70" spans="1:7" x14ac:dyDescent="0.25">
      <c r="A70" s="5">
        <v>85</v>
      </c>
      <c r="B70" s="3">
        <v>15.42</v>
      </c>
      <c r="C70" s="4">
        <f t="shared" si="2"/>
        <v>0.68779999999999997</v>
      </c>
      <c r="D70" s="4">
        <v>0.31219999999999998</v>
      </c>
      <c r="E70" s="4">
        <f t="shared" si="3"/>
        <v>0.14939999999999998</v>
      </c>
      <c r="F70" s="4">
        <v>0.85060000000000002</v>
      </c>
      <c r="G70" t="s">
        <v>10</v>
      </c>
    </row>
    <row r="71" spans="1:7" x14ac:dyDescent="0.25">
      <c r="A71" s="5">
        <v>85</v>
      </c>
      <c r="B71" s="3">
        <v>17.02</v>
      </c>
      <c r="C71" s="4">
        <f t="shared" si="2"/>
        <v>0.64629999999999999</v>
      </c>
      <c r="D71" s="4">
        <v>0.35370000000000001</v>
      </c>
      <c r="E71" s="4">
        <f t="shared" si="3"/>
        <v>0.17310000000000003</v>
      </c>
      <c r="F71" s="4">
        <v>0.82689999999999997</v>
      </c>
      <c r="G71" t="s">
        <v>10</v>
      </c>
    </row>
    <row r="72" spans="1:7" x14ac:dyDescent="0.25">
      <c r="A72" s="5">
        <v>85</v>
      </c>
      <c r="B72" s="3">
        <v>18.41</v>
      </c>
      <c r="C72" s="4">
        <f t="shared" si="2"/>
        <v>0.60640000000000005</v>
      </c>
      <c r="D72" s="4">
        <v>0.39360000000000001</v>
      </c>
      <c r="E72" s="4">
        <f t="shared" si="3"/>
        <v>0.20589999999999997</v>
      </c>
      <c r="F72" s="4">
        <v>0.79410000000000003</v>
      </c>
      <c r="G72" t="s">
        <v>10</v>
      </c>
    </row>
    <row r="73" spans="1:7" x14ac:dyDescent="0.25">
      <c r="A73" s="5">
        <v>85</v>
      </c>
      <c r="B73" s="3">
        <v>19.440000000000001</v>
      </c>
      <c r="C73" s="4">
        <f t="shared" si="2"/>
        <v>0.56879999999999997</v>
      </c>
      <c r="D73" s="4">
        <v>0.43120000000000003</v>
      </c>
      <c r="E73" s="4">
        <f t="shared" si="3"/>
        <v>0.23060000000000003</v>
      </c>
      <c r="F73" s="4">
        <v>0.76939999999999997</v>
      </c>
      <c r="G73" t="s">
        <v>10</v>
      </c>
    </row>
    <row r="74" spans="1:7" x14ac:dyDescent="0.25">
      <c r="A74" s="5">
        <v>85</v>
      </c>
      <c r="B74" s="3">
        <v>20.09</v>
      </c>
      <c r="C74" s="4">
        <f t="shared" si="2"/>
        <v>0.53899999999999992</v>
      </c>
      <c r="D74" s="4">
        <v>0.46100000000000002</v>
      </c>
      <c r="E74" s="4">
        <f t="shared" si="3"/>
        <v>0.25480000000000003</v>
      </c>
      <c r="F74" s="4">
        <v>0.74519999999999997</v>
      </c>
      <c r="G74" t="s">
        <v>10</v>
      </c>
    </row>
    <row r="75" spans="1:7" x14ac:dyDescent="0.25">
      <c r="A75" s="5">
        <v>85</v>
      </c>
      <c r="B75" s="3">
        <v>20.79</v>
      </c>
      <c r="C75" s="4">
        <f t="shared" si="2"/>
        <v>0.49</v>
      </c>
      <c r="D75" s="4">
        <v>0.51</v>
      </c>
      <c r="E75" s="4">
        <f t="shared" si="3"/>
        <v>0.29400000000000004</v>
      </c>
      <c r="F75" s="4">
        <v>0.70599999999999996</v>
      </c>
      <c r="G75" t="s">
        <v>10</v>
      </c>
    </row>
    <row r="76" spans="1:7" x14ac:dyDescent="0.25">
      <c r="A76" s="5">
        <v>85</v>
      </c>
      <c r="B76" s="3">
        <v>21.07</v>
      </c>
      <c r="C76" s="4">
        <f t="shared" si="2"/>
        <v>0.46399999999999997</v>
      </c>
      <c r="D76" s="4">
        <v>0.53600000000000003</v>
      </c>
      <c r="E76" s="4">
        <f t="shared" si="3"/>
        <v>0.30700000000000005</v>
      </c>
      <c r="F76" s="4">
        <v>0.69299999999999995</v>
      </c>
      <c r="G76" t="s">
        <v>10</v>
      </c>
    </row>
    <row r="77" spans="1:7" x14ac:dyDescent="0.25">
      <c r="A77" s="5">
        <v>95</v>
      </c>
      <c r="B77" s="3">
        <v>0.91</v>
      </c>
      <c r="C77" s="4">
        <f t="shared" si="2"/>
        <v>0.98799999999999999</v>
      </c>
      <c r="D77" s="4">
        <v>1.2E-2</v>
      </c>
      <c r="E77" s="4">
        <f t="shared" si="3"/>
        <v>0.41059999999999997</v>
      </c>
      <c r="F77" s="4">
        <v>0.58940000000000003</v>
      </c>
      <c r="G77" t="s">
        <v>10</v>
      </c>
    </row>
    <row r="78" spans="1:7" x14ac:dyDescent="0.25">
      <c r="A78" s="5">
        <v>95</v>
      </c>
      <c r="B78" s="3">
        <v>1.47</v>
      </c>
      <c r="C78" s="4">
        <f t="shared" si="2"/>
        <v>0.97599999999999998</v>
      </c>
      <c r="D78" s="4">
        <v>2.4E-2</v>
      </c>
      <c r="E78" s="4">
        <f t="shared" si="3"/>
        <v>0.27690000000000003</v>
      </c>
      <c r="F78" s="4">
        <v>0.72309999999999997</v>
      </c>
      <c r="G78" t="s">
        <v>10</v>
      </c>
    </row>
    <row r="79" spans="1:7" x14ac:dyDescent="0.25">
      <c r="A79" s="5">
        <v>95</v>
      </c>
      <c r="B79" s="3">
        <v>2.83</v>
      </c>
      <c r="C79" s="4">
        <f t="shared" si="2"/>
        <v>0.94569999999999999</v>
      </c>
      <c r="D79" s="4">
        <v>5.4300000000000001E-2</v>
      </c>
      <c r="E79" s="4">
        <f t="shared" si="3"/>
        <v>0.19140000000000001</v>
      </c>
      <c r="F79" s="4">
        <v>0.80859999999999999</v>
      </c>
      <c r="G79" t="s">
        <v>10</v>
      </c>
    </row>
    <row r="80" spans="1:7" x14ac:dyDescent="0.25">
      <c r="A80" s="5">
        <v>95</v>
      </c>
      <c r="B80" s="3">
        <v>4.22</v>
      </c>
      <c r="C80" s="4">
        <f t="shared" si="2"/>
        <v>0.91190000000000004</v>
      </c>
      <c r="D80" s="4">
        <v>8.8099999999999998E-2</v>
      </c>
      <c r="E80" s="4">
        <f t="shared" si="3"/>
        <v>0.16890000000000005</v>
      </c>
      <c r="F80" s="4">
        <v>0.83109999999999995</v>
      </c>
      <c r="G80" t="s">
        <v>10</v>
      </c>
    </row>
    <row r="81" spans="1:7" x14ac:dyDescent="0.25">
      <c r="A81" s="5">
        <v>95</v>
      </c>
      <c r="B81" s="3">
        <v>5.62</v>
      </c>
      <c r="C81" s="4">
        <f t="shared" si="2"/>
        <v>0.87790000000000001</v>
      </c>
      <c r="D81" s="4">
        <v>0.1221</v>
      </c>
      <c r="E81" s="4">
        <f t="shared" si="3"/>
        <v>0.16200000000000003</v>
      </c>
      <c r="F81" s="4">
        <v>0.83799999999999997</v>
      </c>
      <c r="G81" t="s">
        <v>10</v>
      </c>
    </row>
    <row r="82" spans="1:7" x14ac:dyDescent="0.25">
      <c r="A82" s="5">
        <v>95</v>
      </c>
      <c r="B82" s="3">
        <v>7.01</v>
      </c>
      <c r="C82" s="4">
        <f t="shared" si="2"/>
        <v>0.84399999999999997</v>
      </c>
      <c r="D82" s="4">
        <v>0.156</v>
      </c>
      <c r="E82" s="4">
        <f t="shared" si="3"/>
        <v>0.16310000000000002</v>
      </c>
      <c r="F82" s="4">
        <v>0.83689999999999998</v>
      </c>
      <c r="G82" t="s">
        <v>10</v>
      </c>
    </row>
    <row r="83" spans="1:7" x14ac:dyDescent="0.25">
      <c r="A83" s="5">
        <v>95</v>
      </c>
      <c r="B83" s="3">
        <v>8.4</v>
      </c>
      <c r="C83" s="4">
        <f t="shared" si="2"/>
        <v>0.80669999999999997</v>
      </c>
      <c r="D83" s="4">
        <v>0.1933</v>
      </c>
      <c r="E83" s="4">
        <f t="shared" si="3"/>
        <v>0.16910000000000003</v>
      </c>
      <c r="F83" s="4">
        <v>0.83089999999999997</v>
      </c>
      <c r="G83" t="s">
        <v>10</v>
      </c>
    </row>
    <row r="84" spans="1:7" x14ac:dyDescent="0.25">
      <c r="A84" s="5">
        <v>95</v>
      </c>
      <c r="B84" s="3">
        <v>9.5299999999999994</v>
      </c>
      <c r="C84" s="4">
        <f t="shared" si="2"/>
        <v>0.77449999999999997</v>
      </c>
      <c r="D84" s="4">
        <v>0.22550000000000001</v>
      </c>
      <c r="E84" s="4">
        <f t="shared" si="3"/>
        <v>0.17930000000000001</v>
      </c>
      <c r="F84" s="4">
        <v>0.82069999999999999</v>
      </c>
      <c r="G84" t="s">
        <v>10</v>
      </c>
    </row>
    <row r="85" spans="1:7" x14ac:dyDescent="0.25">
      <c r="A85" s="5">
        <v>95</v>
      </c>
      <c r="B85" s="3">
        <v>10.51</v>
      </c>
      <c r="C85" s="4">
        <f t="shared" si="2"/>
        <v>0.74780000000000002</v>
      </c>
      <c r="D85" s="4">
        <v>0.25219999999999998</v>
      </c>
      <c r="E85" s="4">
        <f t="shared" si="3"/>
        <v>0.19010000000000005</v>
      </c>
      <c r="F85" s="4">
        <v>0.80989999999999995</v>
      </c>
      <c r="G85" t="s">
        <v>10</v>
      </c>
    </row>
    <row r="86" spans="1:7" x14ac:dyDescent="0.25">
      <c r="A86" s="5">
        <v>95</v>
      </c>
      <c r="B86" s="3">
        <v>11.83</v>
      </c>
      <c r="C86" s="4">
        <f t="shared" si="2"/>
        <v>0.70279999999999998</v>
      </c>
      <c r="D86" s="4">
        <v>0.29720000000000002</v>
      </c>
      <c r="E86" s="4">
        <f t="shared" si="3"/>
        <v>0.21230000000000004</v>
      </c>
      <c r="F86" s="4">
        <v>0.78769999999999996</v>
      </c>
      <c r="G86" t="s">
        <v>10</v>
      </c>
    </row>
    <row r="87" spans="1:7" x14ac:dyDescent="0.25">
      <c r="A87" s="5">
        <v>95</v>
      </c>
      <c r="B87" s="3">
        <v>13.17</v>
      </c>
      <c r="C87" s="4">
        <f t="shared" si="2"/>
        <v>0.65359999999999996</v>
      </c>
      <c r="D87" s="4">
        <v>0.34639999999999999</v>
      </c>
      <c r="E87" s="4">
        <f t="shared" si="3"/>
        <v>0.24350000000000005</v>
      </c>
      <c r="F87" s="4">
        <v>0.75649999999999995</v>
      </c>
      <c r="G87" t="s">
        <v>10</v>
      </c>
    </row>
    <row r="88" spans="1:7" x14ac:dyDescent="0.25">
      <c r="A88" s="5">
        <v>95</v>
      </c>
      <c r="B88" s="3">
        <v>14.61</v>
      </c>
      <c r="C88" s="4">
        <f t="shared" si="2"/>
        <v>0.57400000000000007</v>
      </c>
      <c r="D88" s="4">
        <v>0.42599999999999999</v>
      </c>
      <c r="E88" s="4">
        <f t="shared" si="3"/>
        <v>0.29200000000000004</v>
      </c>
      <c r="F88" s="4">
        <v>0.70799999999999996</v>
      </c>
      <c r="G88" t="s">
        <v>10</v>
      </c>
    </row>
    <row r="89" spans="1:7" x14ac:dyDescent="0.25">
      <c r="A89" s="5">
        <v>95</v>
      </c>
      <c r="B89" s="3">
        <v>14.93</v>
      </c>
      <c r="C89" s="4">
        <f t="shared" si="2"/>
        <v>0.53699999999999992</v>
      </c>
      <c r="D89" s="4">
        <v>0.46300000000000002</v>
      </c>
      <c r="E89" s="4">
        <f t="shared" si="3"/>
        <v>0.32899999999999996</v>
      </c>
      <c r="F89" s="4">
        <v>0.67100000000000004</v>
      </c>
      <c r="G89" t="s">
        <v>10</v>
      </c>
    </row>
    <row r="90" spans="1:7" x14ac:dyDescent="0.25">
      <c r="A90" s="5">
        <v>105</v>
      </c>
      <c r="B90" s="3">
        <v>1.21</v>
      </c>
      <c r="C90" s="4">
        <f t="shared" si="2"/>
        <v>0.9879</v>
      </c>
      <c r="D90" s="4">
        <v>1.21E-2</v>
      </c>
      <c r="E90" s="4">
        <f t="shared" si="3"/>
        <v>0.69900000000000007</v>
      </c>
      <c r="F90" s="4">
        <v>0.30099999999999999</v>
      </c>
      <c r="G90" t="s">
        <v>10</v>
      </c>
    </row>
    <row r="91" spans="1:7" x14ac:dyDescent="0.25">
      <c r="A91" s="5">
        <v>105</v>
      </c>
      <c r="B91" s="3">
        <v>1.51</v>
      </c>
      <c r="C91" s="4">
        <f t="shared" si="2"/>
        <v>0.98029999999999995</v>
      </c>
      <c r="D91" s="4">
        <v>1.9699999999999999E-2</v>
      </c>
      <c r="E91" s="4">
        <f t="shared" si="3"/>
        <v>0.59440000000000004</v>
      </c>
      <c r="F91" s="4">
        <v>0.40560000000000002</v>
      </c>
      <c r="G91" t="s">
        <v>10</v>
      </c>
    </row>
    <row r="92" spans="1:7" x14ac:dyDescent="0.25">
      <c r="A92" s="5">
        <v>105</v>
      </c>
      <c r="B92" s="3">
        <v>1.9</v>
      </c>
      <c r="C92" s="4">
        <f t="shared" si="2"/>
        <v>0.97089999999999999</v>
      </c>
      <c r="D92" s="4">
        <v>2.9100000000000001E-2</v>
      </c>
      <c r="E92" s="4">
        <f t="shared" si="3"/>
        <v>0.50280000000000002</v>
      </c>
      <c r="F92" s="4">
        <v>0.49719999999999998</v>
      </c>
      <c r="G92" t="s">
        <v>10</v>
      </c>
    </row>
    <row r="93" spans="1:7" x14ac:dyDescent="0.25">
      <c r="A93" s="5">
        <v>105</v>
      </c>
      <c r="B93" s="3">
        <v>2.21</v>
      </c>
      <c r="C93" s="4">
        <f t="shared" si="2"/>
        <v>0.96360000000000001</v>
      </c>
      <c r="D93" s="4">
        <v>3.6400000000000002E-2</v>
      </c>
      <c r="E93" s="4">
        <f t="shared" si="3"/>
        <v>0.4496</v>
      </c>
      <c r="F93" s="4">
        <v>0.5504</v>
      </c>
      <c r="G93" t="s">
        <v>10</v>
      </c>
    </row>
    <row r="94" spans="1:7" x14ac:dyDescent="0.25">
      <c r="A94" s="5">
        <v>105</v>
      </c>
      <c r="B94" s="3">
        <v>2.81</v>
      </c>
      <c r="C94" s="4">
        <f t="shared" si="2"/>
        <v>0.94589999999999996</v>
      </c>
      <c r="D94" s="4">
        <v>5.4100000000000002E-2</v>
      </c>
      <c r="E94" s="4">
        <f t="shared" si="3"/>
        <v>0.38229999999999997</v>
      </c>
      <c r="F94" s="4">
        <v>0.61770000000000003</v>
      </c>
      <c r="G94" t="s">
        <v>10</v>
      </c>
    </row>
    <row r="95" spans="1:7" x14ac:dyDescent="0.25">
      <c r="A95" s="5">
        <v>105</v>
      </c>
      <c r="B95" s="3">
        <v>3.57</v>
      </c>
      <c r="C95" s="4">
        <f t="shared" si="2"/>
        <v>0.92690000000000006</v>
      </c>
      <c r="D95" s="4">
        <v>7.3099999999999998E-2</v>
      </c>
      <c r="E95" s="4">
        <f t="shared" si="3"/>
        <v>0.33720000000000006</v>
      </c>
      <c r="F95" s="4">
        <v>0.66279999999999994</v>
      </c>
      <c r="G95" t="s">
        <v>10</v>
      </c>
    </row>
    <row r="96" spans="1:7" x14ac:dyDescent="0.25">
      <c r="A96" s="5">
        <v>105</v>
      </c>
      <c r="B96" s="3">
        <v>4.62</v>
      </c>
      <c r="C96" s="4">
        <f t="shared" si="2"/>
        <v>0.89659999999999995</v>
      </c>
      <c r="D96" s="4">
        <v>0.10340000000000001</v>
      </c>
      <c r="E96" s="4">
        <f t="shared" si="3"/>
        <v>0.30469999999999997</v>
      </c>
      <c r="F96" s="4">
        <v>0.69530000000000003</v>
      </c>
      <c r="G96" t="s">
        <v>10</v>
      </c>
    </row>
    <row r="97" spans="1:7" x14ac:dyDescent="0.25">
      <c r="A97" s="5">
        <v>105</v>
      </c>
      <c r="B97" s="3">
        <v>5.62</v>
      </c>
      <c r="C97" s="4">
        <f t="shared" si="2"/>
        <v>0.86780000000000002</v>
      </c>
      <c r="D97" s="4">
        <v>0.13220000000000001</v>
      </c>
      <c r="E97" s="4">
        <f t="shared" si="3"/>
        <v>0.28990000000000005</v>
      </c>
      <c r="F97" s="4">
        <v>0.71009999999999995</v>
      </c>
      <c r="G97" t="s">
        <v>10</v>
      </c>
    </row>
    <row r="98" spans="1:7" x14ac:dyDescent="0.25">
      <c r="A98" s="5">
        <v>105</v>
      </c>
      <c r="B98" s="3">
        <v>6.64</v>
      </c>
      <c r="C98" s="4">
        <f t="shared" si="2"/>
        <v>0.83560000000000001</v>
      </c>
      <c r="D98" s="4">
        <v>0.16439999999999999</v>
      </c>
      <c r="E98" s="4">
        <f t="shared" si="3"/>
        <v>0.28620000000000001</v>
      </c>
      <c r="F98" s="4">
        <v>0.71379999999999999</v>
      </c>
      <c r="G98" t="s">
        <v>10</v>
      </c>
    </row>
    <row r="99" spans="1:7" x14ac:dyDescent="0.25">
      <c r="A99" s="5">
        <v>105</v>
      </c>
      <c r="B99" s="3">
        <v>7.73</v>
      </c>
      <c r="C99" s="4">
        <f t="shared" si="2"/>
        <v>0.79849999999999999</v>
      </c>
      <c r="D99" s="4">
        <v>0.20150000000000001</v>
      </c>
      <c r="E99" s="4">
        <f t="shared" si="3"/>
        <v>0.28449999999999998</v>
      </c>
      <c r="F99" s="4">
        <v>0.71550000000000002</v>
      </c>
      <c r="G99" t="s">
        <v>10</v>
      </c>
    </row>
    <row r="100" spans="1:7" x14ac:dyDescent="0.25">
      <c r="A100" s="5">
        <v>105</v>
      </c>
      <c r="B100" s="3">
        <v>8.58</v>
      </c>
      <c r="C100" s="4">
        <f t="shared" si="2"/>
        <v>0.7671</v>
      </c>
      <c r="D100" s="4">
        <v>0.2329</v>
      </c>
      <c r="E100" s="4">
        <f t="shared" si="3"/>
        <v>0.29520000000000002</v>
      </c>
      <c r="F100" s="4">
        <v>0.70479999999999998</v>
      </c>
      <c r="G100" t="s">
        <v>10</v>
      </c>
    </row>
    <row r="101" spans="1:7" x14ac:dyDescent="0.25">
      <c r="A101" s="5">
        <v>105</v>
      </c>
      <c r="B101" s="3">
        <v>9.15</v>
      </c>
      <c r="C101" s="4">
        <f t="shared" si="2"/>
        <v>0.74439999999999995</v>
      </c>
      <c r="D101" s="4">
        <v>0.25559999999999999</v>
      </c>
      <c r="E101" s="4">
        <f t="shared" si="3"/>
        <v>0.30359999999999998</v>
      </c>
      <c r="F101" s="4">
        <v>0.69640000000000002</v>
      </c>
      <c r="G101" t="s">
        <v>10</v>
      </c>
    </row>
    <row r="102" spans="1:7" x14ac:dyDescent="0.25">
      <c r="A102" s="5">
        <v>105</v>
      </c>
      <c r="B102" s="3">
        <v>9.75</v>
      </c>
      <c r="C102" s="4">
        <f t="shared" si="2"/>
        <v>0.71870000000000001</v>
      </c>
      <c r="D102" s="4">
        <v>0.28129999999999999</v>
      </c>
      <c r="E102" s="4">
        <f t="shared" si="3"/>
        <v>0.31599999999999995</v>
      </c>
      <c r="F102" s="4">
        <v>0.68400000000000005</v>
      </c>
      <c r="G102" t="s">
        <v>10</v>
      </c>
    </row>
    <row r="103" spans="1:7" x14ac:dyDescent="0.25">
      <c r="A103" s="5">
        <v>105</v>
      </c>
      <c r="B103" s="3">
        <v>10.56</v>
      </c>
      <c r="C103" s="4">
        <f t="shared" si="2"/>
        <v>0.67520000000000002</v>
      </c>
      <c r="D103" s="4">
        <v>0.32479999999999998</v>
      </c>
      <c r="E103" s="4">
        <f t="shared" si="3"/>
        <v>0.33879999999999999</v>
      </c>
      <c r="F103" s="4">
        <v>0.66120000000000001</v>
      </c>
      <c r="G103" t="s">
        <v>10</v>
      </c>
    </row>
    <row r="104" spans="1:7" x14ac:dyDescent="0.25">
      <c r="A104" s="5">
        <v>105</v>
      </c>
      <c r="B104" s="3">
        <v>11.22</v>
      </c>
      <c r="C104" s="4">
        <f t="shared" si="2"/>
        <v>0.63019999999999998</v>
      </c>
      <c r="D104" s="4">
        <v>0.36980000000000002</v>
      </c>
      <c r="E104" s="4">
        <f t="shared" si="3"/>
        <v>0.37380000000000002</v>
      </c>
      <c r="F104" s="4">
        <v>0.62619999999999998</v>
      </c>
      <c r="G104" t="s">
        <v>10</v>
      </c>
    </row>
    <row r="105" spans="1:7" x14ac:dyDescent="0.25">
      <c r="A105" s="5">
        <v>105</v>
      </c>
      <c r="B105" s="3">
        <v>11.56</v>
      </c>
      <c r="C105" s="4">
        <f t="shared" si="2"/>
        <v>0.59799999999999998</v>
      </c>
      <c r="D105" s="4">
        <v>0.40200000000000002</v>
      </c>
      <c r="E105" s="4">
        <f t="shared" si="3"/>
        <v>0.40400000000000003</v>
      </c>
      <c r="F105" s="4">
        <v>0.59599999999999997</v>
      </c>
      <c r="G105" t="s">
        <v>10</v>
      </c>
    </row>
    <row r="106" spans="1:7" x14ac:dyDescent="0.25">
      <c r="A106" s="5">
        <v>105</v>
      </c>
      <c r="B106" s="3">
        <v>11.73</v>
      </c>
      <c r="C106" s="4">
        <f t="shared" si="2"/>
        <v>0.56899999999999995</v>
      </c>
      <c r="D106" s="4">
        <v>0.43099999999999999</v>
      </c>
      <c r="E106" s="4">
        <f t="shared" si="3"/>
        <v>0.42800000000000005</v>
      </c>
      <c r="F106" s="4">
        <v>0.57199999999999995</v>
      </c>
      <c r="G106" t="s">
        <v>10</v>
      </c>
    </row>
    <row r="107" spans="1:7" x14ac:dyDescent="0.25">
      <c r="A107" s="5">
        <v>115</v>
      </c>
      <c r="B107" s="3">
        <v>1.71</v>
      </c>
      <c r="C107" s="4">
        <f t="shared" si="2"/>
        <v>0.99160000000000004</v>
      </c>
      <c r="D107" s="4">
        <v>8.3999999999999995E-3</v>
      </c>
      <c r="E107" s="4">
        <f t="shared" si="3"/>
        <v>0.89049999999999996</v>
      </c>
      <c r="F107" s="4">
        <v>0.1095</v>
      </c>
      <c r="G107" t="s">
        <v>10</v>
      </c>
    </row>
    <row r="108" spans="1:7" x14ac:dyDescent="0.25">
      <c r="A108" s="5">
        <v>115</v>
      </c>
      <c r="B108" s="3">
        <v>1.95</v>
      </c>
      <c r="C108" s="4">
        <f t="shared" si="2"/>
        <v>0.98409999999999997</v>
      </c>
      <c r="D108" s="4">
        <v>1.5900000000000001E-2</v>
      </c>
      <c r="E108" s="4">
        <f t="shared" si="3"/>
        <v>0.81620000000000004</v>
      </c>
      <c r="F108" s="4">
        <v>0.18379999999999999</v>
      </c>
      <c r="G108" t="s">
        <v>10</v>
      </c>
    </row>
    <row r="109" spans="1:7" x14ac:dyDescent="0.25">
      <c r="A109" s="5">
        <v>115</v>
      </c>
      <c r="B109" s="3">
        <v>2.2599999999999998</v>
      </c>
      <c r="C109" s="4">
        <f t="shared" si="2"/>
        <v>0.97509999999999997</v>
      </c>
      <c r="D109" s="4">
        <v>2.4899999999999999E-2</v>
      </c>
      <c r="E109" s="4">
        <f t="shared" si="3"/>
        <v>0.74039999999999995</v>
      </c>
      <c r="F109" s="4">
        <v>0.2596</v>
      </c>
      <c r="G109" t="s">
        <v>10</v>
      </c>
    </row>
    <row r="110" spans="1:7" x14ac:dyDescent="0.25">
      <c r="A110" s="5">
        <v>115</v>
      </c>
      <c r="B110" s="3">
        <v>2.92</v>
      </c>
      <c r="C110" s="4">
        <f t="shared" si="2"/>
        <v>0.9556</v>
      </c>
      <c r="D110" s="4">
        <v>4.4400000000000002E-2</v>
      </c>
      <c r="E110" s="4">
        <f t="shared" si="3"/>
        <v>0.63159999999999994</v>
      </c>
      <c r="F110" s="4">
        <v>0.36840000000000001</v>
      </c>
      <c r="G110" t="s">
        <v>10</v>
      </c>
    </row>
    <row r="111" spans="1:7" x14ac:dyDescent="0.25">
      <c r="A111" s="5">
        <v>115</v>
      </c>
      <c r="B111" s="3">
        <v>3.62</v>
      </c>
      <c r="C111" s="4">
        <f t="shared" si="2"/>
        <v>0.93369999999999997</v>
      </c>
      <c r="D111" s="4">
        <v>6.6299999999999998E-2</v>
      </c>
      <c r="E111" s="4">
        <f t="shared" si="3"/>
        <v>0.56069999999999998</v>
      </c>
      <c r="F111" s="4">
        <v>0.43930000000000002</v>
      </c>
      <c r="G111" t="s">
        <v>10</v>
      </c>
    </row>
    <row r="112" spans="1:7" x14ac:dyDescent="0.25">
      <c r="A112" s="5">
        <v>115</v>
      </c>
      <c r="B112" s="3">
        <v>4.2</v>
      </c>
      <c r="C112" s="4">
        <f t="shared" si="2"/>
        <v>0.91410000000000002</v>
      </c>
      <c r="D112" s="4">
        <v>8.5900000000000004E-2</v>
      </c>
      <c r="E112" s="4">
        <f t="shared" si="3"/>
        <v>0.52350000000000008</v>
      </c>
      <c r="F112" s="4">
        <v>0.47649999999999998</v>
      </c>
      <c r="G112" t="s">
        <v>10</v>
      </c>
    </row>
    <row r="113" spans="1:7" x14ac:dyDescent="0.25">
      <c r="A113" s="5">
        <v>115</v>
      </c>
      <c r="B113" s="3">
        <v>4.9800000000000004</v>
      </c>
      <c r="C113" s="4">
        <f t="shared" si="2"/>
        <v>0.88580000000000003</v>
      </c>
      <c r="D113" s="4">
        <v>0.1142</v>
      </c>
      <c r="E113" s="4">
        <f t="shared" si="3"/>
        <v>0.49129999999999996</v>
      </c>
      <c r="F113" s="4">
        <v>0.50870000000000004</v>
      </c>
      <c r="G113" t="s">
        <v>10</v>
      </c>
    </row>
    <row r="114" spans="1:7" x14ac:dyDescent="0.25">
      <c r="A114" s="5">
        <v>115</v>
      </c>
      <c r="B114" s="3">
        <v>5.8</v>
      </c>
      <c r="C114" s="4">
        <f t="shared" si="2"/>
        <v>0.85529999999999995</v>
      </c>
      <c r="D114" s="4">
        <v>0.1447</v>
      </c>
      <c r="E114" s="4">
        <f t="shared" si="3"/>
        <v>0.46809999999999996</v>
      </c>
      <c r="F114" s="4">
        <v>0.53190000000000004</v>
      </c>
      <c r="G114" t="s">
        <v>10</v>
      </c>
    </row>
    <row r="115" spans="1:7" x14ac:dyDescent="0.25">
      <c r="A115" s="5">
        <v>115</v>
      </c>
      <c r="B115" s="3">
        <v>6.36</v>
      </c>
      <c r="C115" s="4">
        <f t="shared" si="2"/>
        <v>0.83199999999999996</v>
      </c>
      <c r="D115" s="4">
        <v>0.16800000000000001</v>
      </c>
      <c r="E115" s="4">
        <f t="shared" si="3"/>
        <v>0.45999999999999996</v>
      </c>
      <c r="F115" s="4">
        <v>0.54</v>
      </c>
      <c r="G115" t="s">
        <v>10</v>
      </c>
    </row>
    <row r="116" spans="1:7" x14ac:dyDescent="0.25">
      <c r="A116" s="5">
        <v>115</v>
      </c>
      <c r="B116" s="3">
        <v>7.02</v>
      </c>
      <c r="C116" s="4">
        <f t="shared" si="2"/>
        <v>0.80359999999999998</v>
      </c>
      <c r="D116" s="4">
        <v>0.19639999999999999</v>
      </c>
      <c r="E116" s="4">
        <f t="shared" si="3"/>
        <v>0.46509999999999996</v>
      </c>
      <c r="F116" s="4">
        <v>0.53490000000000004</v>
      </c>
      <c r="G116" t="s">
        <v>10</v>
      </c>
    </row>
    <row r="117" spans="1:7" x14ac:dyDescent="0.25">
      <c r="A117" s="5">
        <v>115</v>
      </c>
      <c r="B117" s="3">
        <v>7.5</v>
      </c>
      <c r="C117" s="4">
        <f t="shared" si="2"/>
        <v>0.77729999999999999</v>
      </c>
      <c r="D117" s="4">
        <v>0.22270000000000001</v>
      </c>
      <c r="E117" s="4">
        <f t="shared" si="3"/>
        <v>0.47270000000000001</v>
      </c>
      <c r="F117" s="4">
        <v>0.52729999999999999</v>
      </c>
      <c r="G117" t="s">
        <v>10</v>
      </c>
    </row>
    <row r="118" spans="1:7" x14ac:dyDescent="0.25">
      <c r="A118" s="5">
        <v>115</v>
      </c>
      <c r="B118" s="3">
        <v>8.0399999999999991</v>
      </c>
      <c r="C118" s="4">
        <f t="shared" si="2"/>
        <v>0.74469999999999992</v>
      </c>
      <c r="D118" s="4">
        <v>0.25530000000000003</v>
      </c>
      <c r="E118" s="4">
        <f t="shared" si="3"/>
        <v>0.49519999999999997</v>
      </c>
      <c r="F118" s="4">
        <v>0.50480000000000003</v>
      </c>
      <c r="G118" t="s">
        <v>10</v>
      </c>
    </row>
    <row r="119" spans="1:7" x14ac:dyDescent="0.25">
      <c r="A119" s="5">
        <v>115</v>
      </c>
      <c r="B119" s="3">
        <v>8.5</v>
      </c>
      <c r="C119" s="4">
        <f t="shared" si="2"/>
        <v>0.70550000000000002</v>
      </c>
      <c r="D119" s="4">
        <v>0.29449999999999998</v>
      </c>
      <c r="E119" s="4">
        <f t="shared" si="3"/>
        <v>0.52160000000000006</v>
      </c>
      <c r="F119" s="4">
        <v>0.47839999999999999</v>
      </c>
      <c r="G119" t="s">
        <v>10</v>
      </c>
    </row>
    <row r="120" spans="1:7" x14ac:dyDescent="0.25">
      <c r="A120" s="5">
        <v>115</v>
      </c>
      <c r="B120" s="3">
        <v>8.59</v>
      </c>
      <c r="C120" s="4">
        <f t="shared" si="2"/>
        <v>0.69399999999999995</v>
      </c>
      <c r="D120" s="4">
        <v>0.30599999999999999</v>
      </c>
      <c r="E120" s="4">
        <f t="shared" si="3"/>
        <v>0.53499999999999992</v>
      </c>
      <c r="F120" s="4">
        <v>0.46500000000000002</v>
      </c>
      <c r="G120" t="s">
        <v>10</v>
      </c>
    </row>
    <row r="121" spans="1:7" x14ac:dyDescent="0.25">
      <c r="A121" s="5">
        <v>115</v>
      </c>
      <c r="B121" s="3">
        <v>8.68</v>
      </c>
      <c r="C121" s="4">
        <f t="shared" si="2"/>
        <v>0.68100000000000005</v>
      </c>
      <c r="D121" s="4">
        <v>0.31900000000000001</v>
      </c>
      <c r="E121" s="4">
        <f t="shared" si="3"/>
        <v>0.54499999999999993</v>
      </c>
      <c r="F121" s="4">
        <v>0.45500000000000002</v>
      </c>
      <c r="G121" t="s">
        <v>10</v>
      </c>
    </row>
    <row r="122" spans="1:7" x14ac:dyDescent="0.25">
      <c r="A122" s="5">
        <v>125</v>
      </c>
      <c r="B122" s="3">
        <v>2.98</v>
      </c>
      <c r="C122" s="4">
        <f t="shared" si="2"/>
        <v>0.97829999999999995</v>
      </c>
      <c r="D122" s="4">
        <v>2.1700000000000001E-2</v>
      </c>
      <c r="E122" s="4">
        <f t="shared" si="3"/>
        <v>0.89349999999999996</v>
      </c>
      <c r="F122" s="4">
        <v>0.1065</v>
      </c>
      <c r="G122" t="s">
        <v>10</v>
      </c>
    </row>
    <row r="123" spans="1:7" x14ac:dyDescent="0.25">
      <c r="A123" s="5">
        <v>125</v>
      </c>
      <c r="B123" s="3">
        <v>3.3</v>
      </c>
      <c r="C123" s="4">
        <f t="shared" si="2"/>
        <v>0.96699999999999997</v>
      </c>
      <c r="D123" s="4">
        <v>3.3000000000000002E-2</v>
      </c>
      <c r="E123" s="4">
        <f t="shared" si="3"/>
        <v>0.85129999999999995</v>
      </c>
      <c r="F123" s="4">
        <v>0.1487</v>
      </c>
      <c r="G123" t="s">
        <v>10</v>
      </c>
    </row>
    <row r="124" spans="1:7" x14ac:dyDescent="0.25">
      <c r="A124" s="5">
        <v>125</v>
      </c>
      <c r="B124" s="3">
        <v>3.63</v>
      </c>
      <c r="C124" s="4">
        <f t="shared" si="2"/>
        <v>0.95389999999999997</v>
      </c>
      <c r="D124" s="4">
        <v>4.6100000000000002E-2</v>
      </c>
      <c r="E124" s="4">
        <f t="shared" si="3"/>
        <v>0.81400000000000006</v>
      </c>
      <c r="F124" s="4">
        <v>0.186</v>
      </c>
      <c r="G124" t="s">
        <v>10</v>
      </c>
    </row>
    <row r="125" spans="1:7" x14ac:dyDescent="0.25">
      <c r="A125" s="5">
        <v>125</v>
      </c>
      <c r="B125" s="3">
        <v>3.95</v>
      </c>
      <c r="C125" s="4">
        <f t="shared" si="2"/>
        <v>0.94059999999999999</v>
      </c>
      <c r="D125" s="4">
        <v>5.9400000000000001E-2</v>
      </c>
      <c r="E125" s="4">
        <f t="shared" si="3"/>
        <v>0.78700000000000003</v>
      </c>
      <c r="F125" s="4">
        <v>0.21299999999999999</v>
      </c>
      <c r="G125" t="s">
        <v>10</v>
      </c>
    </row>
    <row r="126" spans="1:7" x14ac:dyDescent="0.25">
      <c r="A126" s="5">
        <v>125</v>
      </c>
      <c r="B126" s="3">
        <v>4.47</v>
      </c>
      <c r="C126" s="4">
        <f t="shared" si="2"/>
        <v>0.91800000000000004</v>
      </c>
      <c r="D126" s="4">
        <v>8.2000000000000003E-2</v>
      </c>
      <c r="E126" s="4">
        <f t="shared" si="3"/>
        <v>0.75539999999999996</v>
      </c>
      <c r="F126" s="4">
        <v>0.24460000000000001</v>
      </c>
      <c r="G126" t="s">
        <v>10</v>
      </c>
    </row>
    <row r="127" spans="1:7" x14ac:dyDescent="0.25">
      <c r="A127" s="5">
        <v>125</v>
      </c>
      <c r="B127" s="3">
        <v>4.71</v>
      </c>
      <c r="C127" s="4">
        <f t="shared" si="2"/>
        <v>0.90470000000000006</v>
      </c>
      <c r="D127" s="4">
        <v>9.5299999999999996E-2</v>
      </c>
      <c r="E127" s="4">
        <f t="shared" si="3"/>
        <v>0.74280000000000002</v>
      </c>
      <c r="F127" s="4">
        <v>0.25719999999999998</v>
      </c>
      <c r="G127" t="s">
        <v>10</v>
      </c>
    </row>
    <row r="128" spans="1:7" x14ac:dyDescent="0.25">
      <c r="A128" s="5">
        <v>125</v>
      </c>
      <c r="B128" s="3">
        <v>4.92</v>
      </c>
      <c r="C128" s="4">
        <f t="shared" si="2"/>
        <v>0.89500000000000002</v>
      </c>
      <c r="D128" s="4">
        <v>0.105</v>
      </c>
      <c r="E128" s="4">
        <f t="shared" si="3"/>
        <v>0.73829999999999996</v>
      </c>
      <c r="F128" s="4">
        <v>0.26169999999999999</v>
      </c>
      <c r="G128" t="s">
        <v>10</v>
      </c>
    </row>
    <row r="129" spans="1:7" x14ac:dyDescent="0.25">
      <c r="A129" s="5">
        <v>125</v>
      </c>
      <c r="B129" s="3">
        <v>5.07</v>
      </c>
      <c r="C129" s="4">
        <f t="shared" si="2"/>
        <v>0.88690000000000002</v>
      </c>
      <c r="D129" s="4">
        <v>0.11310000000000001</v>
      </c>
      <c r="E129" s="4">
        <f t="shared" si="3"/>
        <v>0.73499999999999999</v>
      </c>
      <c r="F129" s="4">
        <v>0.26500000000000001</v>
      </c>
      <c r="G129" t="s">
        <v>10</v>
      </c>
    </row>
    <row r="130" spans="1:7" x14ac:dyDescent="0.25">
      <c r="A130" s="5">
        <v>125</v>
      </c>
      <c r="B130" s="3">
        <v>5.19</v>
      </c>
      <c r="C130" s="4">
        <f t="shared" si="2"/>
        <v>0.87809999999999999</v>
      </c>
      <c r="D130" s="4">
        <v>0.12189999999999999</v>
      </c>
      <c r="E130" s="4">
        <f t="shared" si="3"/>
        <v>0.7339</v>
      </c>
      <c r="F130" s="4">
        <v>0.2661</v>
      </c>
      <c r="G130" t="s">
        <v>10</v>
      </c>
    </row>
    <row r="131" spans="1:7" x14ac:dyDescent="0.25">
      <c r="A131" s="5">
        <v>125</v>
      </c>
      <c r="B131" s="3">
        <v>5.32</v>
      </c>
      <c r="C131" s="4">
        <f t="shared" ref="C131:C135" si="4">1-D131</f>
        <v>0.86970000000000003</v>
      </c>
      <c r="D131" s="4">
        <v>0.1303</v>
      </c>
      <c r="E131" s="4">
        <f t="shared" ref="E131:E135" si="5">1-F131</f>
        <v>0.73259999999999992</v>
      </c>
      <c r="F131" s="4">
        <v>0.26740000000000003</v>
      </c>
      <c r="G131" t="s">
        <v>10</v>
      </c>
    </row>
    <row r="132" spans="1:7" x14ac:dyDescent="0.25">
      <c r="A132" s="5">
        <v>125</v>
      </c>
      <c r="B132" s="3">
        <v>5.45</v>
      </c>
      <c r="C132" s="4">
        <f t="shared" si="4"/>
        <v>0.85980000000000001</v>
      </c>
      <c r="D132" s="4">
        <v>0.14019999999999999</v>
      </c>
      <c r="E132" s="4">
        <f t="shared" si="5"/>
        <v>0.73550000000000004</v>
      </c>
      <c r="F132" s="4">
        <v>0.26450000000000001</v>
      </c>
      <c r="G132" t="s">
        <v>10</v>
      </c>
    </row>
    <row r="133" spans="1:7" x14ac:dyDescent="0.25">
      <c r="A133" s="5">
        <v>125</v>
      </c>
      <c r="B133" s="3">
        <v>5.51</v>
      </c>
      <c r="C133" s="4">
        <f t="shared" si="4"/>
        <v>0.85430000000000006</v>
      </c>
      <c r="D133" s="4">
        <v>0.1457</v>
      </c>
      <c r="E133" s="4">
        <f t="shared" si="5"/>
        <v>0.7389</v>
      </c>
      <c r="F133" s="4">
        <v>0.2611</v>
      </c>
      <c r="G133" t="s">
        <v>10</v>
      </c>
    </row>
    <row r="134" spans="1:7" x14ac:dyDescent="0.25">
      <c r="A134" s="5">
        <v>125</v>
      </c>
      <c r="B134" s="3">
        <v>5.61</v>
      </c>
      <c r="C134" s="4">
        <f t="shared" si="4"/>
        <v>0.84499999999999997</v>
      </c>
      <c r="D134" s="4">
        <v>0.155</v>
      </c>
      <c r="E134" s="4">
        <f t="shared" si="5"/>
        <v>0.74299999999999999</v>
      </c>
      <c r="F134" s="4">
        <v>0.25700000000000001</v>
      </c>
      <c r="G134" t="s">
        <v>10</v>
      </c>
    </row>
    <row r="135" spans="1:7" x14ac:dyDescent="0.25">
      <c r="A135" s="10">
        <v>125</v>
      </c>
      <c r="B135" s="8">
        <v>5.74</v>
      </c>
      <c r="C135" s="9">
        <f t="shared" si="4"/>
        <v>0.83199999999999996</v>
      </c>
      <c r="D135" s="9">
        <v>0.16800000000000001</v>
      </c>
      <c r="E135" s="9">
        <f t="shared" si="5"/>
        <v>0.747</v>
      </c>
      <c r="F135" s="9">
        <v>0.253</v>
      </c>
      <c r="G13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Verschoyle et al. 1931</vt:lpstr>
      <vt:lpstr>Akers et al. 1957</vt:lpstr>
      <vt:lpstr>Tsang et al. 1981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Raju</dc:creator>
  <cp:lastModifiedBy>Darshan Raju</cp:lastModifiedBy>
  <dcterms:created xsi:type="dcterms:W3CDTF">2015-06-05T18:17:20Z</dcterms:created>
  <dcterms:modified xsi:type="dcterms:W3CDTF">2026-02-09T12:29:35Z</dcterms:modified>
</cp:coreProperties>
</file>