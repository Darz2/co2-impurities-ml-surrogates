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CO2_H2\"/>
    </mc:Choice>
  </mc:AlternateContent>
  <xr:revisionPtr revIDLastSave="0" documentId="13_ncr:1_{41869F08-5427-4B54-8FDA-BD4BDCEFD507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Yorizane et al. 19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C12" i="1"/>
  <c r="A12" i="1"/>
  <c r="E11" i="1"/>
  <c r="C11" i="1"/>
  <c r="A11" i="1"/>
  <c r="E10" i="1"/>
  <c r="C10" i="1"/>
  <c r="A10" i="1"/>
  <c r="E9" i="1"/>
  <c r="C9" i="1"/>
  <c r="A9" i="1"/>
  <c r="E8" i="1"/>
  <c r="C8" i="1"/>
  <c r="A8" i="1"/>
  <c r="E7" i="1"/>
  <c r="C7" i="1"/>
  <c r="A7" i="1"/>
  <c r="E6" i="1"/>
  <c r="C6" i="1"/>
  <c r="A6" i="1"/>
  <c r="E5" i="1"/>
  <c r="C5" i="1"/>
  <c r="A5" i="1"/>
  <c r="E4" i="1"/>
  <c r="C4" i="1"/>
  <c r="A4" i="1"/>
  <c r="E3" i="1"/>
  <c r="C3" i="1"/>
  <c r="E2" i="1"/>
  <c r="C2" i="1"/>
</calcChain>
</file>

<file path=xl/sharedStrings.xml><?xml version="1.0" encoding="utf-8"?>
<sst xmlns="http://schemas.openxmlformats.org/spreadsheetml/2006/main" count="18" uniqueCount="8">
  <si>
    <t>T/K</t>
  </si>
  <si>
    <t>P/Mpa</t>
  </si>
  <si>
    <t>x1</t>
  </si>
  <si>
    <t>x2</t>
  </si>
  <si>
    <t>y1</t>
  </si>
  <si>
    <t>y2</t>
  </si>
  <si>
    <t>Source</t>
  </si>
  <si>
    <t>Yorizane et al. 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</si>
</sst>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22" sqref="G22"/>
    </sheetView>
  </sheetViews>
  <sheetFormatPr defaultRowHeight="15" x14ac:dyDescent="0.25"/>
  <cols>
    <col min="7" max="7" width="2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273.14999999999998</v>
      </c>
      <c r="B2" s="3">
        <v>3.0397500000000002</v>
      </c>
      <c r="C2" s="4">
        <f>1-D2</f>
        <v>0.98799999999999999</v>
      </c>
      <c r="D2" s="4">
        <v>1.2E-2</v>
      </c>
      <c r="E2" s="4">
        <f>1-F2</f>
        <v>0.41200000000000003</v>
      </c>
      <c r="F2" s="4">
        <v>0.58799999999999997</v>
      </c>
      <c r="G2" t="s">
        <v>7</v>
      </c>
    </row>
    <row r="3" spans="1:7" x14ac:dyDescent="0.25">
      <c r="A3" s="2">
        <v>273.14999999999998</v>
      </c>
      <c r="B3" s="3">
        <v>5.0662500000000001</v>
      </c>
      <c r="C3" s="4">
        <f t="shared" ref="C3:C12" si="0">1-D3</f>
        <v>0.98</v>
      </c>
      <c r="D3" s="4">
        <v>0.02</v>
      </c>
      <c r="E3" s="4">
        <f t="shared" ref="E3:E12" si="1">1-F3</f>
        <v>0.25900000000000001</v>
      </c>
      <c r="F3" s="4">
        <v>0.74099999999999999</v>
      </c>
      <c r="G3" t="s">
        <v>7</v>
      </c>
    </row>
    <row r="4" spans="1:7" x14ac:dyDescent="0.25">
      <c r="A4" s="2">
        <f>273.15-15</f>
        <v>258.14999999999998</v>
      </c>
      <c r="B4" s="3">
        <v>1.01325</v>
      </c>
      <c r="C4" s="4">
        <f t="shared" si="0"/>
        <v>0.997</v>
      </c>
      <c r="D4" s="4">
        <v>3.0000000000000001E-3</v>
      </c>
      <c r="E4" s="4">
        <f t="shared" si="1"/>
        <v>0.67799999999999994</v>
      </c>
      <c r="F4" s="4">
        <v>0.32200000000000001</v>
      </c>
      <c r="G4" t="s">
        <v>7</v>
      </c>
    </row>
    <row r="5" spans="1:7" x14ac:dyDescent="0.25">
      <c r="A5" s="2">
        <f t="shared" ref="A5:A7" si="2">273.15-15</f>
        <v>258.14999999999998</v>
      </c>
      <c r="B5" s="3">
        <v>2.0265</v>
      </c>
      <c r="C5" s="4">
        <f t="shared" si="0"/>
        <v>0.99399999999999999</v>
      </c>
      <c r="D5" s="4">
        <v>6.0000000000000001E-3</v>
      </c>
      <c r="E5" s="4">
        <f t="shared" si="1"/>
        <v>0.372</v>
      </c>
      <c r="F5" s="4">
        <v>0.628</v>
      </c>
      <c r="G5" t="s">
        <v>7</v>
      </c>
    </row>
    <row r="6" spans="1:7" x14ac:dyDescent="0.25">
      <c r="A6" s="2">
        <f t="shared" si="2"/>
        <v>258.14999999999998</v>
      </c>
      <c r="B6" s="3">
        <v>3.0397500000000002</v>
      </c>
      <c r="C6" s="4">
        <f t="shared" si="0"/>
        <v>0.99199999999999999</v>
      </c>
      <c r="D6" s="4">
        <v>8.0000000000000002E-3</v>
      </c>
      <c r="E6" s="4">
        <f t="shared" si="1"/>
        <v>0.23699999999999999</v>
      </c>
      <c r="F6" s="4">
        <v>0.76300000000000001</v>
      </c>
      <c r="G6" t="s">
        <v>7</v>
      </c>
    </row>
    <row r="7" spans="1:7" x14ac:dyDescent="0.25">
      <c r="A7" s="2">
        <f t="shared" si="2"/>
        <v>258.14999999999998</v>
      </c>
      <c r="B7" s="3">
        <v>5.0662500000000001</v>
      </c>
      <c r="C7" s="4">
        <f t="shared" si="0"/>
        <v>0.98399999999999999</v>
      </c>
      <c r="D7" s="4">
        <v>1.6E-2</v>
      </c>
      <c r="E7" s="4">
        <f t="shared" si="1"/>
        <v>0.14500000000000002</v>
      </c>
      <c r="F7" s="4">
        <v>0.85499999999999998</v>
      </c>
      <c r="G7" t="s">
        <v>7</v>
      </c>
    </row>
    <row r="8" spans="1:7" x14ac:dyDescent="0.25">
      <c r="A8" s="2">
        <f>273.15-30</f>
        <v>243.14999999999998</v>
      </c>
      <c r="B8" s="3">
        <v>1.01325</v>
      </c>
      <c r="C8" s="4">
        <f t="shared" si="0"/>
        <v>0.998</v>
      </c>
      <c r="D8" s="4">
        <v>2E-3</v>
      </c>
      <c r="E8" s="4">
        <f t="shared" si="1"/>
        <v>0.35299999999999998</v>
      </c>
      <c r="F8" s="4">
        <v>0.64700000000000002</v>
      </c>
      <c r="G8" t="s">
        <v>7</v>
      </c>
    </row>
    <row r="9" spans="1:7" x14ac:dyDescent="0.25">
      <c r="A9" s="2">
        <f t="shared" ref="A9:A12" si="3">273.15-30</f>
        <v>243.14999999999998</v>
      </c>
      <c r="B9" s="3">
        <v>2.0265</v>
      </c>
      <c r="C9" s="4">
        <f t="shared" si="0"/>
        <v>0.997</v>
      </c>
      <c r="D9" s="4">
        <v>3.0000000000000001E-3</v>
      </c>
      <c r="E9" s="4">
        <f t="shared" si="1"/>
        <v>0.128</v>
      </c>
      <c r="F9" s="4">
        <v>0.872</v>
      </c>
      <c r="G9" t="s">
        <v>7</v>
      </c>
    </row>
    <row r="10" spans="1:7" x14ac:dyDescent="0.25">
      <c r="A10" s="2">
        <f t="shared" si="3"/>
        <v>243.14999999999998</v>
      </c>
      <c r="B10" s="3">
        <v>3.0397500000000002</v>
      </c>
      <c r="C10" s="4">
        <f t="shared" si="0"/>
        <v>0.995</v>
      </c>
      <c r="D10" s="4">
        <v>5.0000000000000001E-3</v>
      </c>
      <c r="E10" s="4">
        <f t="shared" si="1"/>
        <v>0.13500000000000001</v>
      </c>
      <c r="F10" s="4">
        <v>0.86499999999999999</v>
      </c>
      <c r="G10" t="s">
        <v>7</v>
      </c>
    </row>
    <row r="11" spans="1:7" x14ac:dyDescent="0.25">
      <c r="A11" s="2">
        <f t="shared" si="3"/>
        <v>243.14999999999998</v>
      </c>
      <c r="B11" s="3">
        <v>4.0529999999999999</v>
      </c>
      <c r="C11" s="4">
        <f t="shared" si="0"/>
        <v>0.99199999999999999</v>
      </c>
      <c r="D11" s="4">
        <v>8.0000000000000002E-3</v>
      </c>
      <c r="E11" s="4">
        <f t="shared" si="1"/>
        <v>9.7999999999999976E-2</v>
      </c>
      <c r="F11" s="4">
        <v>0.90200000000000002</v>
      </c>
      <c r="G11" t="s">
        <v>7</v>
      </c>
    </row>
    <row r="12" spans="1:7" x14ac:dyDescent="0.25">
      <c r="A12" s="2">
        <f t="shared" si="3"/>
        <v>243.14999999999998</v>
      </c>
      <c r="B12" s="3">
        <v>5.0662500000000001</v>
      </c>
      <c r="C12" s="4">
        <f t="shared" si="0"/>
        <v>0.99</v>
      </c>
      <c r="D12" s="4">
        <v>0.01</v>
      </c>
      <c r="E12" s="4">
        <f t="shared" si="1"/>
        <v>9.099999999999997E-2</v>
      </c>
      <c r="F12" s="4">
        <v>0.90900000000000003</v>
      </c>
      <c r="G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Yorizane et al. 1969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2026-02-09T12:36:21Z</dcterms:modified>
</cp:coreProperties>
</file>