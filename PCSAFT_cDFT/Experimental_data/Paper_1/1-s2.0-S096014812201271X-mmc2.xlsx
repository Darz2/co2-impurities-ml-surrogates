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/>
  <xr:revisionPtr revIDLastSave="0" documentId="13_ncr:1_{FABFE159-5AB9-4032-9998-FF78719B45BA}" xr6:coauthVersionLast="47" xr6:coauthVersionMax="47" xr10:uidLastSave="{00000000-0000-0000-0000-000000000000}"/>
  <bookViews>
    <workbookView xWindow="-120" yWindow="-120" windowWidth="29040" windowHeight="15720" tabRatio="846" activeTab="11" xr2:uid="{00000000-000D-0000-FFFF-FFFF00000000}"/>
  </bookViews>
  <sheets>
    <sheet name="CH4+H2" sheetId="16" r:id="rId1"/>
    <sheet name="N2+H2" sheetId="14" r:id="rId2"/>
    <sheet name="CO2+H2" sheetId="10" r:id="rId3"/>
    <sheet name="C2H6+H2" sheetId="2" r:id="rId4"/>
    <sheet name="C3H8+H2" sheetId="3" r:id="rId5"/>
    <sheet name="C4H10+H2" sheetId="4" r:id="rId6"/>
    <sheet name="iC4H10+H2" sheetId="7" r:id="rId7"/>
    <sheet name="C5H12+H2" sheetId="5" r:id="rId8"/>
    <sheet name="iC5H12+H2" sheetId="6" r:id="rId9"/>
    <sheet name="C6H14+H2" sheetId="8" r:id="rId10"/>
    <sheet name="O2+H2" sheetId="15" r:id="rId11"/>
    <sheet name="CO+H2" sheetId="9" r:id="rId12"/>
    <sheet name="H2O+H2" sheetId="11" r:id="rId13"/>
    <sheet name="H2S+H2" sheetId="12" r:id="rId14"/>
    <sheet name="He+H2" sheetId="13" r:id="rId15"/>
    <sheet name="Ar+H2" sheetId="1" r:id="rId16"/>
    <sheet name="Ne+H2" sheetId="18" r:id="rId17"/>
    <sheet name="NH3+H2" sheetId="19" r:id="rId18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" i="9" l="1"/>
  <c r="F2" i="10"/>
  <c r="B2" i="10"/>
  <c r="B199" i="19"/>
  <c r="B198" i="19"/>
  <c r="B197" i="19"/>
  <c r="B196" i="19"/>
  <c r="B195" i="19"/>
  <c r="B194" i="19"/>
  <c r="B193" i="19"/>
  <c r="B192" i="19"/>
  <c r="B191" i="19"/>
  <c r="B190" i="19"/>
  <c r="B189" i="19"/>
  <c r="D190" i="19"/>
  <c r="D191" i="19"/>
  <c r="D192" i="19"/>
  <c r="D193" i="19"/>
  <c r="D194" i="19"/>
  <c r="D195" i="19"/>
  <c r="D196" i="19"/>
  <c r="D197" i="19"/>
  <c r="D198" i="19"/>
  <c r="D199" i="19"/>
  <c r="D189" i="19"/>
  <c r="F180" i="19"/>
  <c r="F181" i="19"/>
  <c r="F182" i="19"/>
  <c r="F183" i="19"/>
  <c r="F184" i="19"/>
  <c r="F185" i="19"/>
  <c r="F186" i="19"/>
  <c r="F187" i="19"/>
  <c r="F188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30" i="19"/>
  <c r="F131" i="19"/>
  <c r="F132" i="19"/>
  <c r="F133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85" i="19"/>
  <c r="B75" i="19"/>
  <c r="B76" i="19"/>
  <c r="B77" i="19"/>
  <c r="B78" i="19"/>
  <c r="B79" i="19"/>
  <c r="B80" i="19"/>
  <c r="B81" i="19"/>
  <c r="B82" i="19"/>
  <c r="B83" i="19"/>
  <c r="B84" i="19"/>
  <c r="B74" i="19"/>
  <c r="D76" i="19"/>
  <c r="D77" i="19"/>
  <c r="D78" i="19"/>
  <c r="D79" i="19"/>
  <c r="D80" i="19"/>
  <c r="D81" i="19"/>
  <c r="D82" i="19"/>
  <c r="D83" i="19"/>
  <c r="D84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74" i="19"/>
  <c r="D75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61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46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20" i="19"/>
  <c r="B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" i="19"/>
  <c r="D188" i="19"/>
  <c r="D187" i="19"/>
  <c r="D186" i="19"/>
  <c r="D185" i="19"/>
  <c r="D184" i="19"/>
  <c r="D183" i="19"/>
  <c r="D182" i="19"/>
  <c r="D181" i="19"/>
  <c r="D180" i="19"/>
  <c r="D179" i="19"/>
  <c r="D178" i="19"/>
  <c r="D177" i="19"/>
  <c r="D176" i="19"/>
  <c r="D175" i="19"/>
  <c r="D174" i="19"/>
  <c r="D173" i="19"/>
  <c r="D172" i="19"/>
  <c r="D171" i="19"/>
  <c r="D170" i="19"/>
  <c r="D169" i="19"/>
  <c r="D168" i="19"/>
  <c r="D167" i="19"/>
  <c r="D166" i="19"/>
  <c r="D165" i="19"/>
  <c r="D164" i="19"/>
  <c r="D163" i="19"/>
  <c r="D162" i="19"/>
  <c r="D161" i="19"/>
  <c r="D160" i="19"/>
  <c r="D159" i="19"/>
  <c r="D158" i="19"/>
  <c r="D157" i="19"/>
  <c r="D156" i="19"/>
  <c r="D73" i="19"/>
  <c r="D72" i="19"/>
  <c r="D71" i="19"/>
  <c r="D70" i="19"/>
  <c r="D69" i="19"/>
  <c r="D68" i="19"/>
  <c r="D67" i="19"/>
  <c r="D66" i="19"/>
  <c r="D65" i="19"/>
  <c r="D64" i="19"/>
  <c r="D63" i="19"/>
  <c r="D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8" i="19"/>
  <c r="D47" i="19"/>
  <c r="D46" i="19"/>
  <c r="D45" i="19"/>
  <c r="D44" i="19"/>
  <c r="D43" i="19"/>
  <c r="D42" i="19"/>
  <c r="D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4" i="19"/>
  <c r="D3" i="19"/>
  <c r="D2" i="19"/>
  <c r="D265" i="18"/>
  <c r="D266" i="18"/>
  <c r="D267" i="18"/>
  <c r="D268" i="18"/>
  <c r="D269" i="18"/>
  <c r="D270" i="18"/>
  <c r="D252" i="18"/>
  <c r="D253" i="18"/>
  <c r="D254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55" i="18"/>
  <c r="D256" i="18"/>
  <c r="D257" i="18"/>
  <c r="D258" i="18"/>
  <c r="D259" i="18"/>
  <c r="F97" i="18"/>
  <c r="F98" i="18"/>
  <c r="F99" i="18"/>
  <c r="F101" i="18"/>
  <c r="F106" i="18"/>
  <c r="F107" i="18"/>
  <c r="F108" i="18"/>
  <c r="F109" i="18"/>
  <c r="F110" i="18"/>
  <c r="F111" i="18"/>
  <c r="F112" i="18"/>
  <c r="F113" i="18"/>
  <c r="F114" i="18"/>
  <c r="F116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4" i="18"/>
  <c r="F136" i="18"/>
  <c r="F138" i="18"/>
  <c r="F140" i="18"/>
  <c r="F141" i="18"/>
  <c r="F142" i="18"/>
  <c r="F143" i="18"/>
  <c r="F144" i="18"/>
  <c r="F145" i="18"/>
  <c r="F147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7" i="18"/>
  <c r="F178" i="18"/>
  <c r="D2" i="18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2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D277" i="18"/>
  <c r="D276" i="18"/>
  <c r="D275" i="18"/>
  <c r="D274" i="18"/>
  <c r="D273" i="18"/>
  <c r="D272" i="18"/>
  <c r="D271" i="18"/>
  <c r="D264" i="18"/>
  <c r="D263" i="18"/>
  <c r="D262" i="18"/>
  <c r="D261" i="18"/>
  <c r="D260" i="18"/>
  <c r="D178" i="18"/>
  <c r="D177" i="18"/>
  <c r="D176" i="18"/>
  <c r="D174" i="18"/>
  <c r="D173" i="18"/>
  <c r="D172" i="18"/>
  <c r="D171" i="18"/>
  <c r="D170" i="18"/>
  <c r="D169" i="18"/>
  <c r="D168" i="18"/>
  <c r="D167" i="18"/>
  <c r="D166" i="18"/>
  <c r="D165" i="18"/>
  <c r="D162" i="18"/>
  <c r="D161" i="18"/>
  <c r="D160" i="18"/>
  <c r="D159" i="18"/>
  <c r="D157" i="18"/>
  <c r="D156" i="18"/>
  <c r="D155" i="18"/>
  <c r="D153" i="18"/>
  <c r="D151" i="18"/>
  <c r="D150" i="18"/>
  <c r="D148" i="18"/>
  <c r="D146" i="18"/>
  <c r="D145" i="18"/>
  <c r="D144" i="18"/>
  <c r="D143" i="18"/>
  <c r="D142" i="18"/>
  <c r="D141" i="18"/>
  <c r="D140" i="18"/>
  <c r="D139" i="18"/>
  <c r="D137" i="18"/>
  <c r="D135" i="18"/>
  <c r="D133" i="18"/>
  <c r="D131" i="18"/>
  <c r="D130" i="18"/>
  <c r="D126" i="18"/>
  <c r="D124" i="18"/>
  <c r="D123" i="18"/>
  <c r="D122" i="18"/>
  <c r="D121" i="18"/>
  <c r="D120" i="18"/>
  <c r="D118" i="18"/>
  <c r="D117" i="18"/>
  <c r="D115" i="18"/>
  <c r="D112" i="18"/>
  <c r="D111" i="18"/>
  <c r="D110" i="18"/>
  <c r="D109" i="18"/>
  <c r="D108" i="18"/>
  <c r="D107" i="18"/>
  <c r="D105" i="18"/>
  <c r="D104" i="18"/>
  <c r="D103" i="18"/>
  <c r="D102" i="18"/>
  <c r="D100" i="18"/>
  <c r="E45" i="11"/>
  <c r="D45" i="11" s="1"/>
  <c r="E44" i="11"/>
  <c r="D44" i="11" s="1"/>
  <c r="D46" i="11"/>
  <c r="E43" i="11"/>
  <c r="D43" i="11" s="1"/>
  <c r="E42" i="11"/>
  <c r="D42" i="11" s="1"/>
  <c r="F3" i="16" l="1"/>
  <c r="F4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" i="16"/>
  <c r="D95" i="3" l="1"/>
  <c r="D94" i="3"/>
  <c r="D93" i="3"/>
  <c r="D92" i="3"/>
  <c r="D89" i="3"/>
  <c r="D88" i="3"/>
  <c r="F97" i="3"/>
  <c r="F96" i="3"/>
  <c r="F93" i="3"/>
  <c r="F92" i="3"/>
  <c r="F91" i="3"/>
  <c r="F90" i="3"/>
  <c r="F87" i="3"/>
  <c r="F86" i="3"/>
  <c r="D85" i="3"/>
  <c r="D84" i="3"/>
  <c r="F83" i="3"/>
  <c r="D82" i="3"/>
  <c r="D81" i="3"/>
  <c r="F80" i="3"/>
  <c r="D79" i="3"/>
  <c r="D78" i="3"/>
  <c r="F77" i="3"/>
  <c r="D77" i="3"/>
  <c r="F76" i="3"/>
  <c r="D76" i="3"/>
  <c r="F75" i="3"/>
  <c r="D75" i="3"/>
  <c r="F74" i="3"/>
  <c r="D74" i="3"/>
  <c r="F73" i="3"/>
  <c r="D73" i="3"/>
  <c r="F72" i="3"/>
  <c r="D72" i="3"/>
  <c r="F71" i="3"/>
  <c r="D71" i="3"/>
  <c r="F70" i="3"/>
  <c r="D70" i="3"/>
  <c r="F69" i="3"/>
  <c r="D69" i="3"/>
  <c r="F68" i="3"/>
  <c r="D68" i="3"/>
  <c r="D67" i="3"/>
  <c r="D66" i="3"/>
  <c r="F65" i="3"/>
  <c r="F64" i="3"/>
  <c r="F63" i="3"/>
  <c r="F62" i="3"/>
  <c r="D61" i="3"/>
  <c r="D60" i="3"/>
  <c r="D59" i="3"/>
  <c r="D58" i="3"/>
  <c r="F57" i="3"/>
  <c r="F56" i="3"/>
  <c r="D55" i="3"/>
  <c r="D54" i="3"/>
  <c r="F53" i="3"/>
  <c r="F52" i="3"/>
  <c r="D51" i="3"/>
  <c r="D50" i="3"/>
  <c r="F49" i="3"/>
  <c r="F48" i="3"/>
  <c r="F47" i="3"/>
  <c r="F46" i="3"/>
  <c r="D45" i="3"/>
  <c r="D44" i="3"/>
  <c r="F43" i="3"/>
  <c r="F42" i="3"/>
  <c r="D41" i="3"/>
  <c r="D40" i="3"/>
  <c r="D39" i="3"/>
  <c r="D38" i="3"/>
  <c r="F37" i="3"/>
  <c r="F36" i="3"/>
  <c r="F35" i="3"/>
  <c r="D34" i="3"/>
  <c r="D33" i="3"/>
  <c r="F32" i="3"/>
  <c r="D31" i="3"/>
  <c r="F30" i="3"/>
  <c r="D29" i="3"/>
  <c r="F28" i="3"/>
  <c r="F27" i="3"/>
  <c r="F26" i="3"/>
  <c r="D25" i="3"/>
  <c r="D24" i="3"/>
  <c r="B11" i="4" l="1"/>
  <c r="B12" i="4"/>
  <c r="B13" i="4"/>
  <c r="B14" i="4"/>
  <c r="B10" i="4"/>
  <c r="B6" i="4"/>
  <c r="B7" i="4"/>
  <c r="B8" i="4"/>
  <c r="B9" i="4"/>
  <c r="B5" i="4"/>
  <c r="B3" i="4"/>
  <c r="B4" i="4"/>
  <c r="B2" i="4"/>
  <c r="E60" i="11" l="1"/>
  <c r="F284" i="10" l="1"/>
  <c r="D284" i="10"/>
  <c r="D296" i="10"/>
  <c r="F296" i="10"/>
  <c r="D308" i="10"/>
  <c r="F308" i="10"/>
  <c r="D319" i="10"/>
  <c r="F319" i="10"/>
  <c r="D329" i="10"/>
  <c r="F329" i="10"/>
  <c r="D339" i="10"/>
  <c r="F339" i="10"/>
  <c r="D348" i="10"/>
  <c r="F348" i="10"/>
  <c r="D357" i="10"/>
  <c r="F357" i="10"/>
  <c r="F370" i="10"/>
  <c r="D370" i="10"/>
  <c r="D60" i="4" l="1"/>
  <c r="F3" i="9"/>
  <c r="F4" i="9"/>
  <c r="F5" i="9"/>
  <c r="F6" i="9"/>
  <c r="F7" i="9"/>
  <c r="F8" i="9"/>
  <c r="F9" i="9"/>
  <c r="F10" i="9"/>
  <c r="F11" i="9"/>
  <c r="F12" i="9"/>
  <c r="D3" i="9"/>
  <c r="D4" i="9"/>
  <c r="D5" i="9"/>
  <c r="D6" i="9"/>
  <c r="D7" i="9"/>
  <c r="D8" i="9"/>
  <c r="D9" i="9"/>
  <c r="D10" i="9"/>
  <c r="D11" i="9"/>
  <c r="D12" i="9"/>
  <c r="F2" i="9"/>
  <c r="D2" i="9"/>
  <c r="D2" i="11"/>
  <c r="B3" i="11"/>
  <c r="B4" i="11"/>
  <c r="B5" i="11"/>
  <c r="B6" i="11"/>
  <c r="B7" i="11"/>
  <c r="B8" i="11"/>
  <c r="B9" i="11"/>
  <c r="E57" i="1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F6" i="1"/>
  <c r="F7" i="1"/>
  <c r="F8" i="1"/>
  <c r="F9" i="1"/>
  <c r="D26" i="1"/>
  <c r="F24" i="16" l="1"/>
  <c r="F25" i="16"/>
  <c r="F26" i="16"/>
  <c r="F27" i="16"/>
  <c r="F28" i="16"/>
  <c r="F29" i="16"/>
  <c r="F30" i="16"/>
  <c r="F31" i="16"/>
  <c r="F32" i="16"/>
  <c r="F33" i="16"/>
  <c r="F34" i="16"/>
  <c r="F35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F23" i="16"/>
  <c r="D23" i="16"/>
  <c r="F37" i="16"/>
  <c r="F38" i="16"/>
  <c r="D37" i="16"/>
  <c r="D38" i="16"/>
  <c r="F36" i="16"/>
  <c r="D36" i="16"/>
  <c r="D58" i="16"/>
  <c r="D59" i="16"/>
  <c r="D60" i="16"/>
  <c r="D61" i="16"/>
  <c r="D62" i="16"/>
  <c r="D63" i="16"/>
  <c r="D64" i="16"/>
  <c r="D65" i="16"/>
  <c r="D66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F39" i="16"/>
  <c r="D39" i="16"/>
  <c r="F264" i="16"/>
  <c r="F265" i="16"/>
  <c r="D264" i="16"/>
  <c r="D265" i="16"/>
  <c r="F263" i="16"/>
  <c r="D263" i="16"/>
  <c r="G398" i="16"/>
  <c r="G399" i="16"/>
  <c r="G400" i="16"/>
  <c r="G401" i="16"/>
  <c r="G402" i="16"/>
  <c r="G403" i="16"/>
  <c r="G404" i="16"/>
  <c r="G405" i="16"/>
  <c r="G406" i="16"/>
  <c r="G407" i="16"/>
  <c r="G408" i="16"/>
  <c r="G409" i="16"/>
  <c r="G380" i="16"/>
  <c r="G381" i="16"/>
  <c r="G382" i="16"/>
  <c r="G383" i="16"/>
  <c r="G384" i="16"/>
  <c r="G385" i="16"/>
  <c r="G386" i="16"/>
  <c r="G388" i="16"/>
  <c r="G389" i="16"/>
  <c r="G390" i="16"/>
  <c r="G391" i="16"/>
  <c r="G392" i="16"/>
  <c r="G393" i="16"/>
  <c r="G394" i="16"/>
  <c r="G395" i="16"/>
  <c r="G396" i="16"/>
  <c r="G397" i="16"/>
  <c r="G358" i="16"/>
  <c r="G359" i="16"/>
  <c r="G360" i="16"/>
  <c r="G361" i="16"/>
  <c r="G362" i="16"/>
  <c r="G363" i="16"/>
  <c r="G364" i="16"/>
  <c r="G365" i="16"/>
  <c r="G366" i="16"/>
  <c r="G367" i="16"/>
  <c r="G368" i="16"/>
  <c r="G369" i="16"/>
  <c r="G370" i="16"/>
  <c r="G371" i="16"/>
  <c r="G372" i="16"/>
  <c r="G373" i="16"/>
  <c r="G374" i="16"/>
  <c r="G375" i="16"/>
  <c r="G376" i="16"/>
  <c r="G377" i="16"/>
  <c r="G378" i="16"/>
  <c r="G379" i="16"/>
  <c r="G334" i="16"/>
  <c r="G335" i="16"/>
  <c r="G336" i="16"/>
  <c r="G337" i="16"/>
  <c r="G338" i="16"/>
  <c r="G339" i="16"/>
  <c r="G340" i="16"/>
  <c r="G341" i="16"/>
  <c r="G342" i="16"/>
  <c r="G343" i="16"/>
  <c r="G344" i="16"/>
  <c r="G345" i="16"/>
  <c r="G346" i="16"/>
  <c r="G347" i="16"/>
  <c r="G348" i="16"/>
  <c r="G349" i="16"/>
  <c r="G350" i="16"/>
  <c r="G351" i="16"/>
  <c r="G352" i="16"/>
  <c r="G353" i="16"/>
  <c r="G354" i="16"/>
  <c r="G355" i="16"/>
  <c r="G356" i="16"/>
  <c r="G357" i="16"/>
  <c r="G311" i="16"/>
  <c r="G312" i="16"/>
  <c r="G313" i="16"/>
  <c r="G314" i="16"/>
  <c r="G315" i="16"/>
  <c r="G316" i="16"/>
  <c r="G317" i="16"/>
  <c r="G318" i="16"/>
  <c r="G319" i="16"/>
  <c r="G320" i="16"/>
  <c r="G321" i="16"/>
  <c r="G322" i="16"/>
  <c r="G323" i="16"/>
  <c r="G324" i="16"/>
  <c r="G325" i="16"/>
  <c r="G326" i="16"/>
  <c r="G327" i="16"/>
  <c r="G328" i="16"/>
  <c r="G329" i="16"/>
  <c r="G330" i="16"/>
  <c r="G331" i="16"/>
  <c r="G332" i="16"/>
  <c r="G333" i="16"/>
  <c r="G287" i="16"/>
  <c r="G288" i="16"/>
  <c r="G289" i="16"/>
  <c r="G290" i="16"/>
  <c r="G291" i="16"/>
  <c r="G292" i="16"/>
  <c r="G293" i="16"/>
  <c r="G294" i="16"/>
  <c r="G295" i="16"/>
  <c r="G296" i="16"/>
  <c r="G297" i="16"/>
  <c r="G298" i="16"/>
  <c r="G299" i="16"/>
  <c r="G300" i="16"/>
  <c r="G301" i="16"/>
  <c r="G302" i="16"/>
  <c r="G303" i="16"/>
  <c r="G304" i="16"/>
  <c r="G305" i="16"/>
  <c r="G306" i="16"/>
  <c r="G307" i="16"/>
  <c r="G308" i="16"/>
  <c r="G309" i="16"/>
  <c r="G310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G286" i="16"/>
  <c r="E389" i="16"/>
  <c r="E390" i="16"/>
  <c r="E391" i="16"/>
  <c r="E392" i="16"/>
  <c r="E393" i="16"/>
  <c r="E394" i="16"/>
  <c r="E395" i="16"/>
  <c r="E396" i="16"/>
  <c r="E397" i="16"/>
  <c r="E398" i="16"/>
  <c r="E399" i="16"/>
  <c r="E400" i="16"/>
  <c r="E401" i="16"/>
  <c r="E402" i="16"/>
  <c r="E403" i="16"/>
  <c r="E404" i="16"/>
  <c r="E405" i="16"/>
  <c r="E406" i="16"/>
  <c r="E407" i="16"/>
  <c r="E408" i="16"/>
  <c r="E409" i="16"/>
  <c r="E369" i="16"/>
  <c r="E370" i="16"/>
  <c r="E371" i="16"/>
  <c r="E372" i="16"/>
  <c r="E373" i="16"/>
  <c r="E374" i="16"/>
  <c r="E375" i="16"/>
  <c r="E376" i="16"/>
  <c r="E377" i="16"/>
  <c r="E378" i="16"/>
  <c r="E379" i="16"/>
  <c r="E380" i="16"/>
  <c r="E381" i="16"/>
  <c r="E382" i="16"/>
  <c r="E383" i="16"/>
  <c r="E384" i="16"/>
  <c r="E385" i="16"/>
  <c r="E386" i="16"/>
  <c r="E387" i="16"/>
  <c r="E388" i="16"/>
  <c r="E350" i="16"/>
  <c r="E351" i="16"/>
  <c r="E353" i="16"/>
  <c r="E354" i="16"/>
  <c r="E355" i="16"/>
  <c r="E356" i="16"/>
  <c r="E357" i="16"/>
  <c r="E358" i="16"/>
  <c r="E359" i="16"/>
  <c r="E360" i="16"/>
  <c r="E361" i="16"/>
  <c r="E362" i="16"/>
  <c r="E363" i="16"/>
  <c r="E364" i="16"/>
  <c r="E365" i="16"/>
  <c r="E366" i="16"/>
  <c r="E367" i="16"/>
  <c r="E368" i="16"/>
  <c r="E328" i="16"/>
  <c r="E329" i="16"/>
  <c r="E330" i="16"/>
  <c r="E331" i="16"/>
  <c r="E332" i="16"/>
  <c r="E333" i="16"/>
  <c r="E334" i="16"/>
  <c r="E336" i="16"/>
  <c r="E337" i="16"/>
  <c r="E338" i="16"/>
  <c r="E339" i="16"/>
  <c r="E340" i="16"/>
  <c r="E341" i="16"/>
  <c r="E342" i="16"/>
  <c r="E343" i="16"/>
  <c r="E344" i="16"/>
  <c r="E345" i="16"/>
  <c r="E346" i="16"/>
  <c r="E347" i="16"/>
  <c r="E348" i="16"/>
  <c r="E349" i="16"/>
  <c r="E307" i="16"/>
  <c r="E308" i="16"/>
  <c r="E309" i="16"/>
  <c r="E310" i="16"/>
  <c r="E311" i="16"/>
  <c r="E312" i="16"/>
  <c r="E313" i="16"/>
  <c r="E315" i="16"/>
  <c r="E316" i="16"/>
  <c r="E317" i="16"/>
  <c r="E318" i="16"/>
  <c r="E319" i="16"/>
  <c r="E320" i="16"/>
  <c r="E321" i="16"/>
  <c r="E322" i="16"/>
  <c r="E323" i="16"/>
  <c r="E324" i="16"/>
  <c r="E325" i="16"/>
  <c r="E326" i="16"/>
  <c r="E327" i="16"/>
  <c r="E293" i="16"/>
  <c r="E294" i="16"/>
  <c r="E295" i="16"/>
  <c r="E296" i="16"/>
  <c r="E298" i="16"/>
  <c r="E299" i="16"/>
  <c r="E300" i="16"/>
  <c r="E301" i="16"/>
  <c r="E302" i="16"/>
  <c r="E303" i="16"/>
  <c r="E304" i="16"/>
  <c r="E305" i="16"/>
  <c r="E306" i="16"/>
  <c r="E267" i="16"/>
  <c r="E268" i="16"/>
  <c r="E269" i="16"/>
  <c r="E270" i="16"/>
  <c r="E271" i="16"/>
  <c r="E272" i="16"/>
  <c r="E273" i="16"/>
  <c r="E274" i="16"/>
  <c r="E275" i="16"/>
  <c r="E276" i="16"/>
  <c r="E277" i="16"/>
  <c r="E278" i="16"/>
  <c r="E279" i="16"/>
  <c r="E280" i="16"/>
  <c r="E281" i="16"/>
  <c r="E282" i="16"/>
  <c r="E283" i="16"/>
  <c r="E284" i="16"/>
  <c r="E285" i="16"/>
  <c r="E286" i="16"/>
  <c r="E287" i="16"/>
  <c r="E288" i="16"/>
  <c r="E289" i="16"/>
  <c r="E290" i="16"/>
  <c r="E291" i="16"/>
  <c r="E292" i="16"/>
  <c r="G266" i="16"/>
  <c r="E266" i="16"/>
  <c r="B40" i="16"/>
  <c r="B41" i="16"/>
  <c r="B42" i="16"/>
  <c r="B43" i="16"/>
  <c r="B45" i="16"/>
  <c r="B46" i="16"/>
  <c r="B47" i="16"/>
  <c r="B48" i="16"/>
  <c r="B49" i="16"/>
  <c r="B51" i="16"/>
  <c r="B52" i="16"/>
  <c r="B53" i="16"/>
  <c r="B54" i="16"/>
  <c r="B55" i="16"/>
  <c r="B57" i="16"/>
  <c r="B59" i="16"/>
  <c r="B60" i="16"/>
  <c r="B61" i="16"/>
  <c r="B62" i="16"/>
  <c r="B63" i="16"/>
  <c r="B64" i="16"/>
  <c r="B65" i="16"/>
  <c r="B66" i="16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178" i="14"/>
  <c r="F179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5" i="14"/>
  <c r="F176" i="14"/>
  <c r="F177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D213" i="14"/>
  <c r="D214" i="14"/>
  <c r="D215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174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36" i="14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6" i="2"/>
  <c r="F187" i="2"/>
  <c r="F188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3" i="2"/>
  <c r="F234" i="2"/>
  <c r="F235" i="2"/>
  <c r="F236" i="2"/>
  <c r="F237" i="2"/>
  <c r="F238" i="2"/>
  <c r="F239" i="2"/>
  <c r="F240" i="2"/>
  <c r="F241" i="2"/>
  <c r="F242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58" i="2"/>
  <c r="G60" i="2"/>
  <c r="G61" i="2"/>
  <c r="G62" i="2"/>
  <c r="G64" i="2"/>
  <c r="G65" i="2"/>
  <c r="G66" i="2"/>
  <c r="G68" i="2"/>
  <c r="G69" i="2"/>
  <c r="G71" i="2"/>
  <c r="G73" i="2"/>
  <c r="G75" i="2"/>
  <c r="G76" i="2"/>
  <c r="G77" i="2"/>
  <c r="G78" i="2"/>
  <c r="G79" i="2"/>
  <c r="G80" i="2"/>
  <c r="G33" i="2"/>
  <c r="G34" i="2"/>
  <c r="G35" i="2"/>
  <c r="G36" i="2"/>
  <c r="G37" i="2"/>
  <c r="G39" i="2"/>
  <c r="G40" i="2"/>
  <c r="G42" i="2"/>
  <c r="G44" i="2"/>
  <c r="G46" i="2"/>
  <c r="G48" i="2"/>
  <c r="G49" i="2"/>
  <c r="G50" i="2"/>
  <c r="G51" i="2"/>
  <c r="G53" i="2"/>
  <c r="G54" i="2"/>
  <c r="G56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5" i="2"/>
  <c r="G26" i="2"/>
  <c r="G29" i="2"/>
  <c r="G30" i="2"/>
  <c r="G32" i="2"/>
  <c r="D57" i="2"/>
  <c r="D59" i="2"/>
  <c r="D63" i="2"/>
  <c r="D67" i="2"/>
  <c r="D70" i="2"/>
  <c r="D72" i="2"/>
  <c r="D74" i="2"/>
  <c r="D33" i="2"/>
  <c r="D38" i="2"/>
  <c r="D41" i="2"/>
  <c r="D43" i="2"/>
  <c r="D45" i="2"/>
  <c r="D47" i="2"/>
  <c r="D52" i="2"/>
  <c r="D55" i="2"/>
  <c r="D8" i="2"/>
  <c r="D9" i="2"/>
  <c r="D10" i="2"/>
  <c r="D12" i="2"/>
  <c r="D14" i="2"/>
  <c r="D16" i="2"/>
  <c r="D17" i="2"/>
  <c r="D18" i="2"/>
  <c r="D19" i="2"/>
  <c r="D22" i="2"/>
  <c r="D23" i="2"/>
  <c r="D24" i="2"/>
  <c r="D27" i="2"/>
  <c r="D28" i="2"/>
  <c r="D31" i="2"/>
  <c r="D32" i="2"/>
  <c r="G7" i="2"/>
  <c r="F3" i="2"/>
  <c r="F4" i="2"/>
  <c r="F5" i="2"/>
  <c r="F6" i="2"/>
  <c r="D3" i="2"/>
  <c r="D4" i="2"/>
  <c r="D5" i="2"/>
  <c r="D6" i="2"/>
  <c r="F2" i="2"/>
  <c r="D2" i="2"/>
  <c r="D20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8" i="3"/>
  <c r="F19" i="3"/>
  <c r="F20" i="3"/>
  <c r="F21" i="3"/>
  <c r="F22" i="3"/>
  <c r="F23" i="3"/>
  <c r="D4" i="3"/>
  <c r="D5" i="3"/>
  <c r="D6" i="3"/>
  <c r="D7" i="3"/>
  <c r="D8" i="3"/>
  <c r="D9" i="3"/>
  <c r="D10" i="3"/>
  <c r="D11" i="3"/>
  <c r="D16" i="3"/>
  <c r="D17" i="3"/>
  <c r="D21" i="3"/>
  <c r="D22" i="3"/>
  <c r="D23" i="3"/>
  <c r="F2" i="3"/>
  <c r="G213" i="3"/>
  <c r="G214" i="3"/>
  <c r="G217" i="3"/>
  <c r="G221" i="3"/>
  <c r="G222" i="3"/>
  <c r="G223" i="3"/>
  <c r="G224" i="3"/>
  <c r="G226" i="3"/>
  <c r="G228" i="3"/>
  <c r="G191" i="3"/>
  <c r="G195" i="3"/>
  <c r="G199" i="3"/>
  <c r="G201" i="3"/>
  <c r="G203" i="3"/>
  <c r="G205" i="3"/>
  <c r="G207" i="3"/>
  <c r="G210" i="3"/>
  <c r="G211" i="3"/>
  <c r="G212" i="3"/>
  <c r="G167" i="3"/>
  <c r="G168" i="3"/>
  <c r="G170" i="3"/>
  <c r="G172" i="3"/>
  <c r="G173" i="3"/>
  <c r="G174" i="3"/>
  <c r="G176" i="3"/>
  <c r="G177" i="3"/>
  <c r="G178" i="3"/>
  <c r="G180" i="3"/>
  <c r="G182" i="3"/>
  <c r="G183" i="3"/>
  <c r="G185" i="3"/>
  <c r="G186" i="3"/>
  <c r="G187" i="3"/>
  <c r="G188" i="3"/>
  <c r="G189" i="3"/>
  <c r="G190" i="3"/>
  <c r="G143" i="3"/>
  <c r="G144" i="3"/>
  <c r="G145" i="3"/>
  <c r="G147" i="3"/>
  <c r="G149" i="3"/>
  <c r="G150" i="3"/>
  <c r="G151" i="3"/>
  <c r="G152" i="3"/>
  <c r="G154" i="3"/>
  <c r="G156" i="3"/>
  <c r="G158" i="3"/>
  <c r="G159" i="3"/>
  <c r="G161" i="3"/>
  <c r="G163" i="3"/>
  <c r="G164" i="3"/>
  <c r="G166" i="3"/>
  <c r="D207" i="3"/>
  <c r="D210" i="3"/>
  <c r="D211" i="3"/>
  <c r="D212" i="3"/>
  <c r="D213" i="3"/>
  <c r="D214" i="3"/>
  <c r="D217" i="3"/>
  <c r="D221" i="3"/>
  <c r="D222" i="3"/>
  <c r="D223" i="3"/>
  <c r="D224" i="3"/>
  <c r="D226" i="3"/>
  <c r="D229" i="3"/>
  <c r="D189" i="3"/>
  <c r="D190" i="3"/>
  <c r="D191" i="3"/>
  <c r="D193" i="3"/>
  <c r="D196" i="3"/>
  <c r="D199" i="3"/>
  <c r="D201" i="3"/>
  <c r="D203" i="3"/>
  <c r="D205" i="3"/>
  <c r="D166" i="3"/>
  <c r="D167" i="3"/>
  <c r="D168" i="3"/>
  <c r="D169" i="3"/>
  <c r="D170" i="3"/>
  <c r="D172" i="3"/>
  <c r="D173" i="3"/>
  <c r="D174" i="3"/>
  <c r="D176" i="3"/>
  <c r="D177" i="3"/>
  <c r="D180" i="3"/>
  <c r="D183" i="3"/>
  <c r="D185" i="3"/>
  <c r="D186" i="3"/>
  <c r="D187" i="3"/>
  <c r="D188" i="3"/>
  <c r="D150" i="3"/>
  <c r="D151" i="3"/>
  <c r="D153" i="3"/>
  <c r="D154" i="3"/>
  <c r="D156" i="3"/>
  <c r="D161" i="3"/>
  <c r="D163" i="3"/>
  <c r="D164" i="3"/>
  <c r="D147" i="3"/>
  <c r="D148" i="3"/>
  <c r="D140" i="3"/>
  <c r="D141" i="3"/>
  <c r="D142" i="3"/>
  <c r="D143" i="3"/>
  <c r="D144" i="3"/>
  <c r="D145" i="3"/>
  <c r="D138" i="3"/>
  <c r="D134" i="3"/>
  <c r="D136" i="3"/>
  <c r="D131" i="3"/>
  <c r="D132" i="3"/>
  <c r="D124" i="3"/>
  <c r="D125" i="3"/>
  <c r="D126" i="3"/>
  <c r="D128" i="3"/>
  <c r="D118" i="3"/>
  <c r="D121" i="3"/>
  <c r="D123" i="3"/>
  <c r="D99" i="3"/>
  <c r="D102" i="3"/>
  <c r="D103" i="3"/>
  <c r="D105" i="3"/>
  <c r="D107" i="3"/>
  <c r="D109" i="3"/>
  <c r="D111" i="3"/>
  <c r="D113" i="3"/>
  <c r="D116" i="3"/>
  <c r="B219" i="3"/>
  <c r="B220" i="3"/>
  <c r="B221" i="3"/>
  <c r="B222" i="3"/>
  <c r="B223" i="3"/>
  <c r="B224" i="3"/>
  <c r="B225" i="3"/>
  <c r="B226" i="3"/>
  <c r="B227" i="3"/>
  <c r="B228" i="3"/>
  <c r="B229" i="3"/>
  <c r="B209" i="3"/>
  <c r="B210" i="3"/>
  <c r="B211" i="3"/>
  <c r="B212" i="3"/>
  <c r="B213" i="3"/>
  <c r="B214" i="3"/>
  <c r="B215" i="3"/>
  <c r="B216" i="3"/>
  <c r="B217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185" i="3"/>
  <c r="B186" i="3"/>
  <c r="B187" i="3"/>
  <c r="B188" i="3"/>
  <c r="B189" i="3"/>
  <c r="B190" i="3"/>
  <c r="B191" i="3"/>
  <c r="B175" i="3"/>
  <c r="B176" i="3"/>
  <c r="B177" i="3"/>
  <c r="B178" i="3"/>
  <c r="B179" i="3"/>
  <c r="B180" i="3"/>
  <c r="B181" i="3"/>
  <c r="B182" i="3"/>
  <c r="B183" i="3"/>
  <c r="B165" i="3"/>
  <c r="B166" i="3"/>
  <c r="B167" i="3"/>
  <c r="B168" i="3"/>
  <c r="B169" i="3"/>
  <c r="B170" i="3"/>
  <c r="B171" i="3"/>
  <c r="B172" i="3"/>
  <c r="B173" i="3"/>
  <c r="B153" i="3"/>
  <c r="B154" i="3"/>
  <c r="B155" i="3"/>
  <c r="B156" i="3"/>
  <c r="B157" i="3"/>
  <c r="B158" i="3"/>
  <c r="B159" i="3"/>
  <c r="B160" i="3"/>
  <c r="B161" i="3"/>
  <c r="B162" i="3"/>
  <c r="B163" i="3"/>
  <c r="B143" i="3"/>
  <c r="B144" i="3"/>
  <c r="B145" i="3"/>
  <c r="B146" i="3"/>
  <c r="B147" i="3"/>
  <c r="B148" i="3"/>
  <c r="B149" i="3"/>
  <c r="B150" i="3"/>
  <c r="B151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19" i="3"/>
  <c r="B120" i="3"/>
  <c r="B121" i="3"/>
  <c r="B122" i="3"/>
  <c r="B123" i="3"/>
  <c r="B124" i="3"/>
  <c r="B125" i="3"/>
  <c r="B109" i="3"/>
  <c r="B110" i="3"/>
  <c r="B111" i="3"/>
  <c r="B112" i="3"/>
  <c r="B113" i="3"/>
  <c r="B114" i="3"/>
  <c r="B115" i="3"/>
  <c r="B116" i="3"/>
  <c r="B117" i="3"/>
  <c r="B99" i="3"/>
  <c r="B100" i="3"/>
  <c r="B101" i="3"/>
  <c r="B102" i="3"/>
  <c r="B103" i="3"/>
  <c r="B104" i="3"/>
  <c r="B105" i="3"/>
  <c r="B106" i="3"/>
  <c r="B107" i="3"/>
  <c r="F51" i="4"/>
  <c r="F54" i="4"/>
  <c r="F55" i="4"/>
  <c r="F56" i="4"/>
  <c r="F57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16" i="4"/>
  <c r="F17" i="4"/>
  <c r="F18" i="4"/>
  <c r="F19" i="4"/>
  <c r="F20" i="4"/>
  <c r="F21" i="4"/>
  <c r="F22" i="4"/>
  <c r="F23" i="4"/>
  <c r="F25" i="4"/>
  <c r="D54" i="4"/>
  <c r="D55" i="4"/>
  <c r="D56" i="4"/>
  <c r="D57" i="4"/>
  <c r="D58" i="4"/>
  <c r="D59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5" i="4"/>
  <c r="F8" i="4"/>
  <c r="F11" i="4"/>
  <c r="F14" i="4"/>
  <c r="D3" i="4"/>
  <c r="D4" i="4"/>
  <c r="D5" i="4"/>
  <c r="D6" i="4"/>
  <c r="D7" i="4"/>
  <c r="D8" i="4"/>
  <c r="D9" i="4"/>
  <c r="D10" i="4"/>
  <c r="D11" i="4"/>
  <c r="D12" i="4"/>
  <c r="D13" i="4"/>
  <c r="D14" i="4"/>
  <c r="F84" i="5" l="1"/>
  <c r="F85" i="5"/>
  <c r="F86" i="5"/>
  <c r="F87" i="5"/>
  <c r="F89" i="5"/>
  <c r="F91" i="5"/>
  <c r="F93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10" i="5"/>
  <c r="F111" i="5"/>
  <c r="F112" i="5"/>
  <c r="F113" i="5"/>
  <c r="F114" i="5"/>
  <c r="F115" i="5"/>
  <c r="F116" i="5"/>
  <c r="F117" i="5"/>
  <c r="F118" i="5"/>
  <c r="F119" i="5"/>
  <c r="D84" i="5"/>
  <c r="D85" i="5"/>
  <c r="D86" i="5"/>
  <c r="D87" i="5"/>
  <c r="D89" i="5"/>
  <c r="D91" i="5"/>
  <c r="D93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9" i="5"/>
  <c r="D110" i="5"/>
  <c r="D111" i="5"/>
  <c r="D112" i="5"/>
  <c r="D113" i="5"/>
  <c r="D114" i="5"/>
  <c r="D115" i="5"/>
  <c r="D116" i="5"/>
  <c r="D117" i="5"/>
  <c r="D118" i="5"/>
  <c r="D119" i="5"/>
  <c r="F83" i="5"/>
  <c r="F108" i="8"/>
  <c r="F109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D101" i="8"/>
  <c r="D102" i="8"/>
  <c r="D103" i="8"/>
  <c r="D104" i="8"/>
  <c r="D105" i="8"/>
  <c r="D106" i="8"/>
  <c r="D107" i="8"/>
  <c r="D108" i="8"/>
  <c r="D10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F94" i="9"/>
  <c r="D94" i="9"/>
  <c r="F78" i="9"/>
  <c r="F76" i="9"/>
  <c r="F77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D90" i="9"/>
  <c r="D91" i="9"/>
  <c r="D92" i="9"/>
  <c r="D93" i="9"/>
  <c r="D77" i="9"/>
  <c r="D78" i="9"/>
  <c r="D79" i="9"/>
  <c r="D80" i="9"/>
  <c r="D81" i="9"/>
  <c r="D82" i="9"/>
  <c r="D83" i="9"/>
  <c r="D85" i="9"/>
  <c r="D87" i="9"/>
  <c r="D88" i="9"/>
  <c r="D63" i="9"/>
  <c r="D66" i="9"/>
  <c r="D67" i="9"/>
  <c r="D68" i="9"/>
  <c r="D69" i="9"/>
  <c r="D70" i="9"/>
  <c r="D72" i="9"/>
  <c r="D74" i="9"/>
  <c r="B9" i="12" l="1"/>
  <c r="B10" i="12"/>
  <c r="B11" i="12"/>
  <c r="B12" i="12"/>
  <c r="B5" i="12"/>
  <c r="B6" i="12"/>
  <c r="B7" i="12"/>
  <c r="F55" i="13"/>
  <c r="F56" i="13"/>
  <c r="F57" i="13"/>
  <c r="F58" i="13"/>
  <c r="F59" i="13"/>
  <c r="F60" i="13"/>
  <c r="F61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8" i="13"/>
  <c r="F50" i="13"/>
  <c r="F51" i="13"/>
  <c r="F52" i="13"/>
  <c r="F53" i="13"/>
  <c r="F54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3" i="13"/>
  <c r="F4" i="13"/>
  <c r="F5" i="13"/>
  <c r="F6" i="13"/>
  <c r="F7" i="13"/>
  <c r="F8" i="13"/>
  <c r="F9" i="13"/>
  <c r="F11" i="13"/>
  <c r="F12" i="13"/>
  <c r="F13" i="13"/>
  <c r="F14" i="13"/>
  <c r="D52" i="13"/>
  <c r="D53" i="13"/>
  <c r="D54" i="13"/>
  <c r="D55" i="13"/>
  <c r="D57" i="13"/>
  <c r="D59" i="13"/>
  <c r="D60" i="13"/>
  <c r="D61" i="13"/>
  <c r="D46" i="13"/>
  <c r="D47" i="13"/>
  <c r="D48" i="13"/>
  <c r="D49" i="13"/>
  <c r="D34" i="13"/>
  <c r="D35" i="13"/>
  <c r="D36" i="13"/>
  <c r="D37" i="13"/>
  <c r="D38" i="13"/>
  <c r="D39" i="13"/>
  <c r="D40" i="13"/>
  <c r="D41" i="13"/>
  <c r="D42" i="13"/>
  <c r="D43" i="13"/>
  <c r="D45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7" i="13"/>
  <c r="D148" i="13"/>
  <c r="D149" i="13"/>
  <c r="D150" i="13"/>
  <c r="D151" i="13"/>
  <c r="D152" i="13"/>
  <c r="D153" i="13"/>
  <c r="D154" i="13"/>
  <c r="D155" i="13"/>
  <c r="D156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F151" i="13"/>
  <c r="F152" i="13"/>
  <c r="F153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62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F157" i="13"/>
  <c r="D157" i="13"/>
  <c r="F2" i="13"/>
  <c r="D2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F247" i="13"/>
  <c r="F248" i="13"/>
  <c r="F250" i="13"/>
  <c r="F253" i="13"/>
  <c r="F254" i="13"/>
  <c r="F259" i="13"/>
  <c r="F262" i="13"/>
  <c r="F264" i="13"/>
  <c r="F265" i="13"/>
  <c r="F266" i="13"/>
  <c r="F269" i="13"/>
  <c r="D246" i="13"/>
  <c r="G26" i="10"/>
  <c r="G27" i="10"/>
  <c r="G28" i="10"/>
  <c r="G30" i="10"/>
  <c r="G31" i="10"/>
  <c r="G32" i="10"/>
  <c r="G33" i="10"/>
  <c r="G34" i="10"/>
  <c r="G35" i="10"/>
  <c r="G39" i="10"/>
  <c r="G40" i="10"/>
  <c r="G41" i="10"/>
  <c r="G42" i="10"/>
  <c r="G43" i="10"/>
  <c r="G44" i="10"/>
  <c r="G45" i="10"/>
  <c r="G46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2" i="10"/>
  <c r="G74" i="10"/>
  <c r="G76" i="10"/>
  <c r="G77" i="10"/>
  <c r="G78" i="10"/>
  <c r="G79" i="10"/>
  <c r="G80" i="10"/>
  <c r="G81" i="10"/>
  <c r="D26" i="10"/>
  <c r="D27" i="10"/>
  <c r="D28" i="10"/>
  <c r="D29" i="10"/>
  <c r="D31" i="10"/>
  <c r="D32" i="10"/>
  <c r="D33" i="10"/>
  <c r="D35" i="10"/>
  <c r="D36" i="10"/>
  <c r="D37" i="10"/>
  <c r="D38" i="10"/>
  <c r="D41" i="10"/>
  <c r="D44" i="10"/>
  <c r="D45" i="10"/>
  <c r="D46" i="10"/>
  <c r="D47" i="10"/>
  <c r="D50" i="10"/>
  <c r="D51" i="10"/>
  <c r="D52" i="10"/>
  <c r="D53" i="10"/>
  <c r="D54" i="10"/>
  <c r="D55" i="10"/>
  <c r="D56" i="10"/>
  <c r="D58" i="10"/>
  <c r="D59" i="10"/>
  <c r="D60" i="10"/>
  <c r="D61" i="10"/>
  <c r="D63" i="10"/>
  <c r="D64" i="10"/>
  <c r="D65" i="10"/>
  <c r="D66" i="10"/>
  <c r="D67" i="10"/>
  <c r="D68" i="10"/>
  <c r="D69" i="10"/>
  <c r="D70" i="10"/>
  <c r="D71" i="10"/>
  <c r="D73" i="10"/>
  <c r="D75" i="10"/>
  <c r="D76" i="10"/>
  <c r="D77" i="10"/>
  <c r="D78" i="10"/>
  <c r="D79" i="10"/>
  <c r="D80" i="10"/>
  <c r="D81" i="10"/>
  <c r="D84" i="10"/>
  <c r="D85" i="10"/>
  <c r="D86" i="10"/>
  <c r="D87" i="10"/>
  <c r="D88" i="10"/>
  <c r="D89" i="10"/>
  <c r="D90" i="10"/>
  <c r="D91" i="10"/>
  <c r="D92" i="10"/>
  <c r="D93" i="10"/>
  <c r="D94" i="10"/>
  <c r="F84" i="10"/>
  <c r="F85" i="10"/>
  <c r="F86" i="10"/>
  <c r="F87" i="10"/>
  <c r="F88" i="10"/>
  <c r="F89" i="10"/>
  <c r="F91" i="10"/>
  <c r="F92" i="10"/>
  <c r="F93" i="10"/>
  <c r="F94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1" i="10"/>
  <c r="F212" i="10"/>
  <c r="F213" i="10"/>
  <c r="F214" i="10"/>
  <c r="F215" i="10"/>
  <c r="F216" i="10"/>
  <c r="F218" i="10"/>
  <c r="F219" i="10"/>
  <c r="F220" i="10"/>
  <c r="F221" i="10"/>
  <c r="F222" i="10"/>
  <c r="F223" i="10"/>
  <c r="F224" i="10"/>
  <c r="F226" i="10"/>
  <c r="F227" i="10"/>
  <c r="F228" i="10"/>
  <c r="F229" i="10"/>
  <c r="F230" i="10"/>
  <c r="F232" i="10"/>
  <c r="F233" i="10"/>
  <c r="F234" i="10"/>
  <c r="F235" i="10"/>
  <c r="F236" i="10"/>
  <c r="F237" i="10"/>
  <c r="F238" i="10"/>
  <c r="F239" i="10"/>
  <c r="F240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1" i="10"/>
  <c r="D212" i="10"/>
  <c r="D213" i="10"/>
  <c r="D214" i="10"/>
  <c r="D215" i="10"/>
  <c r="D216" i="10"/>
  <c r="D221" i="10"/>
  <c r="D222" i="10"/>
  <c r="D223" i="10"/>
  <c r="D224" i="10"/>
  <c r="D225" i="10"/>
  <c r="D226" i="10"/>
  <c r="D227" i="10"/>
  <c r="D228" i="10"/>
  <c r="D229" i="10"/>
  <c r="D230" i="10"/>
  <c r="D232" i="10"/>
  <c r="D233" i="10"/>
  <c r="D234" i="10"/>
  <c r="D236" i="10"/>
  <c r="D237" i="10"/>
  <c r="D238" i="10"/>
  <c r="D239" i="10"/>
  <c r="D240" i="10"/>
  <c r="D97" i="10"/>
  <c r="D99" i="10"/>
  <c r="D100" i="10"/>
  <c r="D101" i="10"/>
  <c r="D102" i="10"/>
  <c r="D103" i="10"/>
  <c r="D104" i="10"/>
  <c r="D105" i="10"/>
  <c r="F95" i="10"/>
  <c r="D95" i="10"/>
  <c r="F274" i="10"/>
  <c r="F275" i="10"/>
  <c r="F276" i="10"/>
  <c r="F277" i="10"/>
  <c r="F278" i="10"/>
  <c r="F279" i="10"/>
  <c r="F280" i="10"/>
  <c r="F281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7" i="10"/>
  <c r="F268" i="10"/>
  <c r="F269" i="10"/>
  <c r="F273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F242" i="10"/>
  <c r="D242" i="10"/>
  <c r="F367" i="10"/>
  <c r="F368" i="10"/>
  <c r="F369" i="10"/>
  <c r="F371" i="10"/>
  <c r="F372" i="10"/>
  <c r="F373" i="10"/>
  <c r="F374" i="10"/>
  <c r="F375" i="10"/>
  <c r="F376" i="10"/>
  <c r="F377" i="10"/>
  <c r="F378" i="10"/>
  <c r="F346" i="10"/>
  <c r="F347" i="10"/>
  <c r="F349" i="10"/>
  <c r="F350" i="10"/>
  <c r="F351" i="10"/>
  <c r="F352" i="10"/>
  <c r="F353" i="10"/>
  <c r="F354" i="10"/>
  <c r="F355" i="10"/>
  <c r="F356" i="10"/>
  <c r="F358" i="10"/>
  <c r="F359" i="10"/>
  <c r="F360" i="10"/>
  <c r="F361" i="10"/>
  <c r="F362" i="10"/>
  <c r="F363" i="10"/>
  <c r="F364" i="10"/>
  <c r="F365" i="10"/>
  <c r="F366" i="10"/>
  <c r="F325" i="10"/>
  <c r="F326" i="10"/>
  <c r="F327" i="10"/>
  <c r="F328" i="10"/>
  <c r="F330" i="10"/>
  <c r="F331" i="10"/>
  <c r="F332" i="10"/>
  <c r="F333" i="10"/>
  <c r="F334" i="10"/>
  <c r="F335" i="10"/>
  <c r="F336" i="10"/>
  <c r="F337" i="10"/>
  <c r="F338" i="10"/>
  <c r="F340" i="10"/>
  <c r="F341" i="10"/>
  <c r="F342" i="10"/>
  <c r="F343" i="10"/>
  <c r="F344" i="10"/>
  <c r="F345" i="10"/>
  <c r="F302" i="10"/>
  <c r="F303" i="10"/>
  <c r="F304" i="10"/>
  <c r="F305" i="10"/>
  <c r="F306" i="10"/>
  <c r="F307" i="10"/>
  <c r="F309" i="10"/>
  <c r="F310" i="10"/>
  <c r="F311" i="10"/>
  <c r="F312" i="10"/>
  <c r="F313" i="10"/>
  <c r="F314" i="10"/>
  <c r="F315" i="10"/>
  <c r="F316" i="10"/>
  <c r="F317" i="10"/>
  <c r="F318" i="10"/>
  <c r="F320" i="10"/>
  <c r="F321" i="10"/>
  <c r="F322" i="10"/>
  <c r="F323" i="10"/>
  <c r="F324" i="10"/>
  <c r="F285" i="10"/>
  <c r="F286" i="10"/>
  <c r="F287" i="10"/>
  <c r="F288" i="10"/>
  <c r="F289" i="10"/>
  <c r="F290" i="10"/>
  <c r="F291" i="10"/>
  <c r="F292" i="10"/>
  <c r="F293" i="10"/>
  <c r="F294" i="10"/>
  <c r="F295" i="10"/>
  <c r="F297" i="10"/>
  <c r="F298" i="10"/>
  <c r="F299" i="10"/>
  <c r="F300" i="10"/>
  <c r="F301" i="10"/>
  <c r="D350" i="10"/>
  <c r="D351" i="10"/>
  <c r="D352" i="10"/>
  <c r="D353" i="10"/>
  <c r="D354" i="10"/>
  <c r="D355" i="10"/>
  <c r="D356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1" i="10"/>
  <c r="D372" i="10"/>
  <c r="D373" i="10"/>
  <c r="D374" i="10"/>
  <c r="D375" i="10"/>
  <c r="D376" i="10"/>
  <c r="D377" i="10"/>
  <c r="D378" i="10"/>
  <c r="D301" i="10"/>
  <c r="D302" i="10"/>
  <c r="D303" i="10"/>
  <c r="D304" i="10"/>
  <c r="D305" i="10"/>
  <c r="D306" i="10"/>
  <c r="D307" i="10"/>
  <c r="D309" i="10"/>
  <c r="D310" i="10"/>
  <c r="D311" i="10"/>
  <c r="D312" i="10"/>
  <c r="D313" i="10"/>
  <c r="D314" i="10"/>
  <c r="D315" i="10"/>
  <c r="D316" i="10"/>
  <c r="D317" i="10"/>
  <c r="D318" i="10"/>
  <c r="D320" i="10"/>
  <c r="D321" i="10"/>
  <c r="D322" i="10"/>
  <c r="D323" i="10"/>
  <c r="D324" i="10"/>
  <c r="D325" i="10"/>
  <c r="D326" i="10"/>
  <c r="D327" i="10"/>
  <c r="D328" i="10"/>
  <c r="D330" i="10"/>
  <c r="D331" i="10"/>
  <c r="D332" i="10"/>
  <c r="D333" i="10"/>
  <c r="D334" i="10"/>
  <c r="D335" i="10"/>
  <c r="D336" i="10"/>
  <c r="D337" i="10"/>
  <c r="D338" i="10"/>
  <c r="D340" i="10"/>
  <c r="D341" i="10"/>
  <c r="D342" i="10"/>
  <c r="D343" i="10"/>
  <c r="D344" i="10"/>
  <c r="D345" i="10"/>
  <c r="D346" i="10"/>
  <c r="D347" i="10"/>
  <c r="D349" i="10"/>
  <c r="D285" i="10"/>
  <c r="D286" i="10"/>
  <c r="D287" i="10"/>
  <c r="D288" i="10"/>
  <c r="D289" i="10"/>
  <c r="D290" i="10"/>
  <c r="D291" i="10"/>
  <c r="D292" i="10"/>
  <c r="D293" i="10"/>
  <c r="D294" i="10"/>
  <c r="D295" i="10"/>
  <c r="D297" i="10"/>
  <c r="D298" i="10"/>
  <c r="D299" i="10"/>
  <c r="D300" i="10"/>
  <c r="D399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33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17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79" i="10"/>
  <c r="F478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52" i="10"/>
  <c r="F424" i="16"/>
  <c r="D410" i="16"/>
  <c r="D3" i="1"/>
  <c r="F3" i="1"/>
  <c r="F411" i="16"/>
  <c r="F412" i="16"/>
  <c r="F413" i="16"/>
  <c r="F414" i="16"/>
  <c r="F415" i="16"/>
  <c r="F416" i="16"/>
  <c r="F417" i="16"/>
  <c r="F418" i="16"/>
  <c r="F419" i="16"/>
  <c r="F420" i="16"/>
  <c r="F421" i="16"/>
  <c r="F422" i="16"/>
  <c r="F423" i="16"/>
  <c r="F425" i="16"/>
  <c r="F426" i="16"/>
  <c r="F427" i="16"/>
  <c r="F428" i="16"/>
  <c r="F429" i="16"/>
  <c r="F430" i="16"/>
  <c r="F431" i="16"/>
  <c r="F432" i="16"/>
  <c r="D412" i="16"/>
  <c r="D413" i="16"/>
  <c r="D414" i="16"/>
  <c r="D415" i="16"/>
  <c r="D416" i="16"/>
  <c r="D417" i="16"/>
  <c r="D418" i="16"/>
  <c r="D419" i="16"/>
  <c r="D420" i="16"/>
  <c r="D421" i="16"/>
  <c r="D422" i="16"/>
  <c r="D423" i="16"/>
  <c r="D424" i="16"/>
  <c r="D425" i="16"/>
  <c r="D426" i="16"/>
  <c r="D427" i="16"/>
  <c r="D428" i="16"/>
  <c r="D429" i="16"/>
  <c r="D430" i="16"/>
  <c r="D431" i="16"/>
  <c r="D432" i="16"/>
  <c r="D411" i="16"/>
  <c r="F410" i="16"/>
  <c r="D4" i="16"/>
  <c r="D5" i="16"/>
  <c r="D6" i="16"/>
  <c r="D7" i="16"/>
  <c r="D8" i="16"/>
  <c r="D9" i="16"/>
  <c r="D10" i="16"/>
  <c r="D11" i="16"/>
  <c r="D12" i="16"/>
  <c r="D13" i="16"/>
  <c r="D15" i="16"/>
  <c r="D17" i="16"/>
  <c r="D20" i="16"/>
  <c r="D22" i="16"/>
  <c r="D2" i="16"/>
  <c r="B265" i="16" l="1"/>
  <c r="B263" i="16"/>
  <c r="B264" i="16"/>
  <c r="C265" i="16"/>
  <c r="C264" i="16"/>
  <c r="C263" i="16"/>
  <c r="B58" i="16"/>
  <c r="B56" i="16"/>
  <c r="B50" i="16"/>
  <c r="B44" i="16"/>
  <c r="B39" i="16"/>
  <c r="C38" i="16"/>
  <c r="C37" i="16"/>
  <c r="C36" i="16"/>
  <c r="F83" i="10"/>
  <c r="G25" i="10"/>
  <c r="D25" i="10"/>
  <c r="B24" i="10"/>
  <c r="B21" i="10"/>
  <c r="B22" i="10"/>
  <c r="B17" i="10"/>
  <c r="B18" i="10"/>
  <c r="B19" i="10"/>
  <c r="B11" i="10"/>
  <c r="B12" i="10"/>
  <c r="B13" i="10"/>
  <c r="B14" i="10"/>
  <c r="B15" i="10"/>
  <c r="B7" i="10"/>
  <c r="B8" i="10"/>
  <c r="B9" i="10"/>
  <c r="B3" i="10"/>
  <c r="B4" i="10"/>
  <c r="B5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9" i="10"/>
  <c r="F20" i="10"/>
  <c r="F21" i="10"/>
  <c r="F22" i="10"/>
  <c r="F23" i="10"/>
  <c r="F24" i="10"/>
  <c r="D3" i="10"/>
  <c r="D4" i="10"/>
  <c r="D5" i="10"/>
  <c r="D6" i="10"/>
  <c r="D7" i="10"/>
  <c r="D8" i="10"/>
  <c r="D9" i="10"/>
  <c r="D11" i="10"/>
  <c r="D12" i="10"/>
  <c r="D13" i="10"/>
  <c r="D14" i="10"/>
  <c r="D15" i="10"/>
  <c r="D16" i="10"/>
  <c r="D17" i="10"/>
  <c r="D18" i="10"/>
  <c r="D20" i="10"/>
  <c r="D21" i="10"/>
  <c r="D22" i="10"/>
  <c r="D23" i="10"/>
  <c r="D24" i="10"/>
  <c r="B23" i="10"/>
  <c r="B20" i="10"/>
  <c r="B16" i="10"/>
  <c r="B10" i="10"/>
  <c r="B6" i="10"/>
  <c r="D2" i="10"/>
  <c r="B128" i="14"/>
  <c r="B129" i="14"/>
  <c r="B130" i="14"/>
  <c r="B131" i="14"/>
  <c r="B132" i="14"/>
  <c r="B133" i="14"/>
  <c r="B134" i="14"/>
  <c r="B135" i="14"/>
  <c r="B127" i="14"/>
  <c r="B120" i="14"/>
  <c r="B121" i="14"/>
  <c r="B122" i="14"/>
  <c r="B123" i="14"/>
  <c r="B124" i="14"/>
  <c r="B125" i="14"/>
  <c r="B126" i="14"/>
  <c r="B119" i="14"/>
  <c r="D135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F119" i="14"/>
  <c r="D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6" i="14"/>
  <c r="G97" i="14"/>
  <c r="G98" i="14"/>
  <c r="G95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D80" i="14"/>
  <c r="D81" i="14"/>
  <c r="D82" i="14"/>
  <c r="D85" i="14"/>
  <c r="D86" i="14"/>
  <c r="D88" i="14"/>
  <c r="D89" i="14"/>
  <c r="D90" i="14"/>
  <c r="D91" i="14"/>
  <c r="D92" i="14"/>
  <c r="D93" i="14"/>
  <c r="D94" i="14"/>
  <c r="F78" i="14"/>
  <c r="D78" i="14"/>
  <c r="F69" i="14"/>
  <c r="F70" i="14"/>
  <c r="F71" i="14"/>
  <c r="F72" i="14"/>
  <c r="F73" i="14"/>
  <c r="F74" i="14"/>
  <c r="F75" i="14"/>
  <c r="F76" i="14"/>
  <c r="F77" i="14"/>
  <c r="D69" i="14"/>
  <c r="D70" i="14"/>
  <c r="D71" i="14"/>
  <c r="D72" i="14"/>
  <c r="D73" i="14"/>
  <c r="D74" i="14"/>
  <c r="D75" i="14"/>
  <c r="D76" i="14"/>
  <c r="D77" i="14"/>
  <c r="F68" i="14"/>
  <c r="D68" i="14"/>
  <c r="F113" i="2"/>
  <c r="D113" i="2"/>
  <c r="F97" i="2"/>
  <c r="D97" i="2"/>
  <c r="B110" i="2"/>
  <c r="B111" i="2"/>
  <c r="B112" i="2"/>
  <c r="B106" i="2"/>
  <c r="B107" i="2"/>
  <c r="B108" i="2"/>
  <c r="B102" i="2"/>
  <c r="B103" i="2"/>
  <c r="B104" i="2"/>
  <c r="B98" i="2"/>
  <c r="B99" i="2"/>
  <c r="B100" i="2"/>
  <c r="B97" i="2"/>
  <c r="B101" i="2"/>
  <c r="B105" i="2"/>
  <c r="B109" i="2"/>
  <c r="C6" i="2"/>
  <c r="C5" i="2"/>
  <c r="C4" i="2"/>
  <c r="C3" i="2"/>
  <c r="C2" i="2"/>
  <c r="D48" i="11"/>
  <c r="D49" i="11"/>
  <c r="D50" i="11"/>
  <c r="D51" i="11"/>
  <c r="D52" i="11"/>
  <c r="D53" i="11"/>
  <c r="D54" i="11"/>
  <c r="D55" i="11"/>
  <c r="D56" i="11"/>
  <c r="D47" i="11"/>
  <c r="E59" i="11"/>
  <c r="E58" i="11"/>
  <c r="B60" i="11"/>
  <c r="B59" i="11"/>
  <c r="B58" i="11"/>
  <c r="B57" i="11"/>
  <c r="C58" i="11"/>
  <c r="C59" i="11"/>
  <c r="C60" i="11"/>
  <c r="C57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B35" i="11"/>
  <c r="B36" i="11"/>
  <c r="B37" i="11"/>
  <c r="B38" i="11"/>
  <c r="B39" i="11"/>
  <c r="B40" i="11"/>
  <c r="B41" i="11"/>
  <c r="B34" i="11"/>
  <c r="B27" i="11"/>
  <c r="B28" i="11"/>
  <c r="B29" i="11"/>
  <c r="B30" i="11"/>
  <c r="B31" i="11"/>
  <c r="B32" i="11"/>
  <c r="B33" i="11"/>
  <c r="B26" i="11"/>
  <c r="B19" i="11"/>
  <c r="B20" i="11"/>
  <c r="B21" i="11"/>
  <c r="B22" i="11"/>
  <c r="B23" i="11"/>
  <c r="B24" i="11"/>
  <c r="B25" i="11"/>
  <c r="B18" i="11"/>
  <c r="B11" i="11"/>
  <c r="B12" i="11"/>
  <c r="B13" i="11"/>
  <c r="B14" i="11"/>
  <c r="B15" i="11"/>
  <c r="B16" i="11"/>
  <c r="B17" i="11"/>
  <c r="B2" i="11"/>
  <c r="B10" i="11"/>
  <c r="D60" i="11" l="1"/>
  <c r="D57" i="11"/>
  <c r="D58" i="11"/>
  <c r="D59" i="11"/>
  <c r="E245" i="13"/>
  <c r="E223" i="13"/>
  <c r="E224" i="13"/>
  <c r="E225" i="13"/>
  <c r="E226" i="13"/>
  <c r="E228" i="13"/>
  <c r="E229" i="13"/>
  <c r="E230" i="13"/>
  <c r="E231" i="13"/>
  <c r="E233" i="13"/>
  <c r="E234" i="13"/>
  <c r="E235" i="13"/>
  <c r="E236" i="13"/>
  <c r="E237" i="13"/>
  <c r="E238" i="13"/>
  <c r="E239" i="13"/>
  <c r="E241" i="13"/>
  <c r="E242" i="13"/>
  <c r="E243" i="13"/>
  <c r="E244" i="13"/>
  <c r="E218" i="13"/>
  <c r="E219" i="13"/>
  <c r="E220" i="13"/>
  <c r="E221" i="13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D61" i="9"/>
  <c r="D60" i="9"/>
  <c r="D59" i="9"/>
  <c r="D58" i="9"/>
  <c r="D57" i="9"/>
  <c r="D56" i="9"/>
  <c r="D55" i="9"/>
  <c r="D54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D19" i="9"/>
  <c r="D20" i="9"/>
  <c r="D21" i="9"/>
  <c r="D22" i="9"/>
  <c r="D23" i="9"/>
  <c r="D24" i="9"/>
  <c r="D25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F27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40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5" i="9"/>
  <c r="B26" i="9"/>
  <c r="B24" i="9"/>
  <c r="B23" i="9"/>
  <c r="B22" i="9"/>
  <c r="B21" i="9"/>
  <c r="B20" i="9"/>
  <c r="B19" i="9"/>
  <c r="B18" i="9"/>
  <c r="B17" i="9"/>
  <c r="B16" i="9"/>
  <c r="B15" i="9"/>
  <c r="B14" i="9"/>
  <c r="F14" i="9"/>
  <c r="F15" i="9"/>
  <c r="F17" i="9"/>
  <c r="F18" i="9"/>
  <c r="F19" i="9"/>
  <c r="F20" i="9"/>
  <c r="F21" i="9"/>
  <c r="F23" i="9"/>
  <c r="F24" i="9"/>
  <c r="F25" i="9"/>
  <c r="D14" i="9"/>
  <c r="D15" i="9"/>
  <c r="D16" i="9"/>
  <c r="D18" i="9"/>
  <c r="F13" i="9"/>
  <c r="D13" i="9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40" i="8"/>
  <c r="G138" i="8"/>
  <c r="G139" i="8"/>
  <c r="G137" i="8"/>
  <c r="D138" i="8"/>
  <c r="D139" i="8"/>
  <c r="D137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10" i="8"/>
  <c r="F2" i="8"/>
  <c r="D2" i="8"/>
  <c r="B218" i="3"/>
  <c r="B208" i="3"/>
  <c r="B192" i="3"/>
  <c r="B184" i="3"/>
  <c r="B174" i="3"/>
  <c r="B164" i="3"/>
  <c r="B152" i="3"/>
  <c r="B142" i="3"/>
  <c r="B126" i="3"/>
  <c r="B118" i="3"/>
  <c r="B108" i="3"/>
  <c r="B98" i="3"/>
  <c r="G142" i="3"/>
  <c r="B110" i="4"/>
  <c r="B111" i="4"/>
  <c r="B112" i="4"/>
  <c r="B113" i="4"/>
  <c r="B114" i="4"/>
  <c r="B115" i="4"/>
  <c r="B116" i="4"/>
  <c r="B117" i="4"/>
  <c r="B118" i="4"/>
  <c r="B119" i="4"/>
  <c r="B120" i="4"/>
  <c r="B98" i="4"/>
  <c r="B99" i="4"/>
  <c r="B100" i="4"/>
  <c r="B101" i="4"/>
  <c r="B102" i="4"/>
  <c r="B103" i="4"/>
  <c r="B104" i="4"/>
  <c r="B105" i="4"/>
  <c r="B106" i="4"/>
  <c r="B107" i="4"/>
  <c r="B108" i="4"/>
  <c r="B87" i="4"/>
  <c r="B88" i="4"/>
  <c r="B89" i="4"/>
  <c r="B90" i="4"/>
  <c r="B91" i="4"/>
  <c r="B92" i="4"/>
  <c r="B93" i="4"/>
  <c r="B94" i="4"/>
  <c r="B95" i="4"/>
  <c r="B96" i="4"/>
  <c r="B75" i="4"/>
  <c r="B76" i="4"/>
  <c r="B77" i="4"/>
  <c r="B78" i="4"/>
  <c r="B79" i="4"/>
  <c r="B80" i="4"/>
  <c r="B81" i="4"/>
  <c r="B82" i="4"/>
  <c r="B83" i="4"/>
  <c r="B84" i="4"/>
  <c r="B85" i="4"/>
  <c r="B62" i="4"/>
  <c r="B63" i="4"/>
  <c r="B64" i="4"/>
  <c r="B65" i="4"/>
  <c r="B66" i="4"/>
  <c r="B67" i="4"/>
  <c r="B68" i="4"/>
  <c r="B69" i="4"/>
  <c r="B70" i="4"/>
  <c r="B71" i="4"/>
  <c r="B72" i="4"/>
  <c r="B73" i="4"/>
  <c r="F111" i="4"/>
  <c r="F112" i="4"/>
  <c r="F113" i="4"/>
  <c r="F114" i="4"/>
  <c r="F115" i="4"/>
  <c r="F116" i="4"/>
  <c r="F117" i="4"/>
  <c r="F118" i="4"/>
  <c r="F119" i="4"/>
  <c r="F120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84" i="4"/>
  <c r="F85" i="4"/>
  <c r="F86" i="4"/>
  <c r="F87" i="4"/>
  <c r="F88" i="4"/>
  <c r="F89" i="4"/>
  <c r="F90" i="4"/>
  <c r="F91" i="4"/>
  <c r="F92" i="4"/>
  <c r="F93" i="4"/>
  <c r="F94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F61" i="4"/>
  <c r="D61" i="4"/>
  <c r="B109" i="4"/>
  <c r="B97" i="4"/>
  <c r="B86" i="4"/>
  <c r="B74" i="4"/>
  <c r="B61" i="4"/>
  <c r="F15" i="4"/>
  <c r="D15" i="4"/>
  <c r="F2" i="4"/>
  <c r="D2" i="4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F2" i="7"/>
  <c r="D2" i="7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2" i="5"/>
  <c r="B113" i="5"/>
  <c r="B114" i="5"/>
  <c r="B115" i="5"/>
  <c r="B116" i="5"/>
  <c r="B117" i="5"/>
  <c r="B118" i="5"/>
  <c r="B119" i="5"/>
  <c r="B111" i="5"/>
  <c r="B97" i="5"/>
  <c r="B83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2" i="5"/>
  <c r="D3" i="12"/>
  <c r="D4" i="12"/>
  <c r="D5" i="12"/>
  <c r="D6" i="12"/>
  <c r="D7" i="12"/>
  <c r="D8" i="12"/>
  <c r="D9" i="12"/>
  <c r="D10" i="12"/>
  <c r="D11" i="12"/>
  <c r="D12" i="12"/>
  <c r="D2" i="12"/>
  <c r="F3" i="12"/>
  <c r="F4" i="12"/>
  <c r="F5" i="12"/>
  <c r="F6" i="12"/>
  <c r="F7" i="12"/>
  <c r="F8" i="12"/>
  <c r="F9" i="12"/>
  <c r="F10" i="12"/>
  <c r="F11" i="12"/>
  <c r="F12" i="12"/>
  <c r="F2" i="12"/>
  <c r="B8" i="12"/>
  <c r="B4" i="12"/>
  <c r="D274" i="1"/>
  <c r="F4" i="1"/>
  <c r="F5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30" i="1"/>
  <c r="F31" i="1"/>
  <c r="F32" i="1"/>
  <c r="F33" i="1"/>
  <c r="F34" i="1"/>
  <c r="F35" i="1"/>
  <c r="F36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2" i="1"/>
  <c r="F63" i="1"/>
  <c r="F64" i="1"/>
  <c r="F65" i="1"/>
  <c r="F66" i="1"/>
  <c r="F67" i="1"/>
  <c r="F68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5" i="1"/>
  <c r="F106" i="1"/>
  <c r="F107" i="1"/>
  <c r="F108" i="1"/>
  <c r="F109" i="1"/>
  <c r="F110" i="1"/>
  <c r="F111" i="1"/>
  <c r="F112" i="1"/>
  <c r="F113" i="1"/>
  <c r="F114" i="1"/>
  <c r="F115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5" i="1"/>
  <c r="F146" i="1"/>
  <c r="F147" i="1"/>
  <c r="F148" i="1"/>
  <c r="F149" i="1"/>
  <c r="F150" i="1"/>
  <c r="F151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F2" i="1"/>
  <c r="D2" i="1"/>
  <c r="G82" i="10"/>
  <c r="G82" i="10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<sst xmlns="http://schemas.openxmlformats.org/spreadsheetml/2006/main" count="273" uniqueCount="102">
  <si>
    <t>Ref.</t>
  </si>
  <si>
    <r>
      <t>x</t>
    </r>
    <r>
      <rPr>
        <vertAlign val="subscript"/>
        <sz val="11"/>
        <color theme="1"/>
        <rFont val="Calibri"/>
        <family val="2"/>
        <scheme val="minor"/>
      </rPr>
      <t>C3H8</t>
    </r>
  </si>
  <si>
    <r>
      <t>x</t>
    </r>
    <r>
      <rPr>
        <vertAlign val="subscript"/>
        <sz val="11"/>
        <color theme="1"/>
        <rFont val="Calibri"/>
        <family val="2"/>
        <scheme val="minor"/>
      </rPr>
      <t>H2</t>
    </r>
  </si>
  <si>
    <t>T / K</t>
  </si>
  <si>
    <t>p / MPa</t>
  </si>
  <si>
    <r>
      <t>x</t>
    </r>
    <r>
      <rPr>
        <vertAlign val="subscript"/>
        <sz val="11"/>
        <color theme="1"/>
        <rFont val="Calibri"/>
        <family val="2"/>
        <scheme val="minor"/>
      </rPr>
      <t>CH4</t>
    </r>
  </si>
  <si>
    <r>
      <t>y</t>
    </r>
    <r>
      <rPr>
        <vertAlign val="subscript"/>
        <sz val="11"/>
        <color theme="1"/>
        <rFont val="Calibri"/>
        <family val="2"/>
        <scheme val="minor"/>
      </rPr>
      <t>CH4</t>
    </r>
  </si>
  <si>
    <r>
      <t>y</t>
    </r>
    <r>
      <rPr>
        <vertAlign val="subscript"/>
        <sz val="11"/>
        <color theme="1"/>
        <rFont val="Calibri"/>
        <family val="2"/>
        <scheme val="minor"/>
      </rPr>
      <t>H2</t>
    </r>
  </si>
  <si>
    <r>
      <t>x</t>
    </r>
    <r>
      <rPr>
        <vertAlign val="subscript"/>
        <sz val="11"/>
        <color theme="1"/>
        <rFont val="Calibri"/>
        <family val="2"/>
        <scheme val="minor"/>
      </rPr>
      <t>N2</t>
    </r>
  </si>
  <si>
    <r>
      <t>y</t>
    </r>
    <r>
      <rPr>
        <vertAlign val="subscript"/>
        <sz val="11"/>
        <color theme="1"/>
        <rFont val="Calibri"/>
        <family val="2"/>
        <scheme val="minor"/>
      </rPr>
      <t>N2</t>
    </r>
  </si>
  <si>
    <r>
      <t>x</t>
    </r>
    <r>
      <rPr>
        <vertAlign val="subscript"/>
        <sz val="11"/>
        <color theme="1"/>
        <rFont val="Calibri"/>
        <family val="2"/>
        <scheme val="minor"/>
      </rPr>
      <t>CO2</t>
    </r>
  </si>
  <si>
    <r>
      <t>y</t>
    </r>
    <r>
      <rPr>
        <vertAlign val="subscript"/>
        <sz val="11"/>
        <color theme="1"/>
        <rFont val="Calibri"/>
        <family val="2"/>
        <scheme val="minor"/>
      </rPr>
      <t>CO2</t>
    </r>
  </si>
  <si>
    <r>
      <t>x</t>
    </r>
    <r>
      <rPr>
        <vertAlign val="subscript"/>
        <sz val="11"/>
        <color theme="1"/>
        <rFont val="Calibri"/>
        <family val="2"/>
        <scheme val="minor"/>
      </rPr>
      <t>C2H6</t>
    </r>
  </si>
  <si>
    <r>
      <t>y</t>
    </r>
    <r>
      <rPr>
        <vertAlign val="subscript"/>
        <sz val="11"/>
        <color theme="1"/>
        <rFont val="Calibri"/>
        <family val="2"/>
        <scheme val="minor"/>
      </rPr>
      <t>C2H6</t>
    </r>
  </si>
  <si>
    <r>
      <t>y</t>
    </r>
    <r>
      <rPr>
        <vertAlign val="subscript"/>
        <sz val="11"/>
        <color theme="1"/>
        <rFont val="Calibri"/>
        <family val="2"/>
        <scheme val="minor"/>
      </rPr>
      <t>C3H8</t>
    </r>
  </si>
  <si>
    <r>
      <t>x</t>
    </r>
    <r>
      <rPr>
        <vertAlign val="subscript"/>
        <sz val="11"/>
        <color theme="1"/>
        <rFont val="Calibri"/>
        <family val="2"/>
        <scheme val="minor"/>
      </rPr>
      <t>C4H10</t>
    </r>
  </si>
  <si>
    <r>
      <t>y</t>
    </r>
    <r>
      <rPr>
        <vertAlign val="subscript"/>
        <sz val="11"/>
        <color theme="1"/>
        <rFont val="Calibri"/>
        <family val="2"/>
        <scheme val="minor"/>
      </rPr>
      <t>C4H10</t>
    </r>
  </si>
  <si>
    <r>
      <t>x</t>
    </r>
    <r>
      <rPr>
        <vertAlign val="subscript"/>
        <sz val="11"/>
        <color theme="1"/>
        <rFont val="Calibri"/>
        <family val="2"/>
        <scheme val="minor"/>
      </rPr>
      <t>i-C4H10</t>
    </r>
  </si>
  <si>
    <r>
      <t>y</t>
    </r>
    <r>
      <rPr>
        <vertAlign val="subscript"/>
        <sz val="11"/>
        <color theme="1"/>
        <rFont val="Calibri"/>
        <family val="2"/>
        <scheme val="minor"/>
      </rPr>
      <t>i-C4H10</t>
    </r>
  </si>
  <si>
    <r>
      <t>x</t>
    </r>
    <r>
      <rPr>
        <vertAlign val="subscript"/>
        <sz val="11"/>
        <color theme="1"/>
        <rFont val="Calibri"/>
        <family val="2"/>
        <scheme val="minor"/>
      </rPr>
      <t>C5H12</t>
    </r>
  </si>
  <si>
    <r>
      <t>y</t>
    </r>
    <r>
      <rPr>
        <vertAlign val="subscript"/>
        <sz val="11"/>
        <color theme="1"/>
        <rFont val="Calibri"/>
        <family val="2"/>
        <scheme val="minor"/>
      </rPr>
      <t>C5H12</t>
    </r>
  </si>
  <si>
    <r>
      <t>x</t>
    </r>
    <r>
      <rPr>
        <vertAlign val="subscript"/>
        <sz val="11"/>
        <color theme="1"/>
        <rFont val="Calibri"/>
        <family val="2"/>
        <scheme val="minor"/>
      </rPr>
      <t>i-C5H12</t>
    </r>
  </si>
  <si>
    <r>
      <t>y</t>
    </r>
    <r>
      <rPr>
        <vertAlign val="subscript"/>
        <sz val="11"/>
        <color theme="1"/>
        <rFont val="Calibri"/>
        <family val="2"/>
        <scheme val="minor"/>
      </rPr>
      <t>i-C5H12</t>
    </r>
  </si>
  <si>
    <r>
      <t>x</t>
    </r>
    <r>
      <rPr>
        <vertAlign val="subscript"/>
        <sz val="11"/>
        <color theme="1"/>
        <rFont val="Calibri"/>
        <family val="2"/>
        <scheme val="minor"/>
      </rPr>
      <t>C6H14</t>
    </r>
  </si>
  <si>
    <r>
      <t>y</t>
    </r>
    <r>
      <rPr>
        <vertAlign val="subscript"/>
        <sz val="11"/>
        <color theme="1"/>
        <rFont val="Calibri"/>
        <family val="2"/>
        <scheme val="minor"/>
      </rPr>
      <t>C6H14</t>
    </r>
  </si>
  <si>
    <r>
      <t>x</t>
    </r>
    <r>
      <rPr>
        <vertAlign val="subscript"/>
        <sz val="11"/>
        <color theme="1"/>
        <rFont val="Calibri"/>
        <family val="2"/>
        <scheme val="minor"/>
      </rPr>
      <t>O2</t>
    </r>
  </si>
  <si>
    <r>
      <t>y</t>
    </r>
    <r>
      <rPr>
        <vertAlign val="subscript"/>
        <sz val="11"/>
        <color theme="1"/>
        <rFont val="Calibri"/>
        <family val="2"/>
        <scheme val="minor"/>
      </rPr>
      <t>O2</t>
    </r>
  </si>
  <si>
    <r>
      <t>x</t>
    </r>
    <r>
      <rPr>
        <vertAlign val="subscript"/>
        <sz val="11"/>
        <color theme="1"/>
        <rFont val="Calibri"/>
        <family val="2"/>
        <scheme val="minor"/>
      </rPr>
      <t>CO</t>
    </r>
  </si>
  <si>
    <r>
      <t>y</t>
    </r>
    <r>
      <rPr>
        <vertAlign val="subscript"/>
        <sz val="11"/>
        <color theme="1"/>
        <rFont val="Calibri"/>
        <family val="2"/>
        <scheme val="minor"/>
      </rPr>
      <t>CO</t>
    </r>
  </si>
  <si>
    <r>
      <t>x</t>
    </r>
    <r>
      <rPr>
        <vertAlign val="subscript"/>
        <sz val="11"/>
        <color theme="1"/>
        <rFont val="Calibri"/>
        <family val="2"/>
        <scheme val="minor"/>
      </rPr>
      <t>H2O</t>
    </r>
  </si>
  <si>
    <r>
      <t>y</t>
    </r>
    <r>
      <rPr>
        <vertAlign val="subscript"/>
        <sz val="11"/>
        <color theme="1"/>
        <rFont val="Calibri"/>
        <family val="2"/>
        <scheme val="minor"/>
      </rPr>
      <t>H2O</t>
    </r>
  </si>
  <si>
    <r>
      <t>x</t>
    </r>
    <r>
      <rPr>
        <vertAlign val="subscript"/>
        <sz val="11"/>
        <color theme="1"/>
        <rFont val="Calibri"/>
        <family val="2"/>
        <scheme val="minor"/>
      </rPr>
      <t>H2S</t>
    </r>
  </si>
  <si>
    <r>
      <t>y</t>
    </r>
    <r>
      <rPr>
        <vertAlign val="subscript"/>
        <sz val="11"/>
        <color theme="1"/>
        <rFont val="Calibri"/>
        <family val="2"/>
        <scheme val="minor"/>
      </rPr>
      <t>H2S</t>
    </r>
  </si>
  <si>
    <r>
      <t>x</t>
    </r>
    <r>
      <rPr>
        <vertAlign val="subscript"/>
        <sz val="11"/>
        <color theme="1"/>
        <rFont val="Calibri"/>
        <family val="2"/>
        <scheme val="minor"/>
      </rPr>
      <t>He</t>
    </r>
  </si>
  <si>
    <r>
      <t>y</t>
    </r>
    <r>
      <rPr>
        <vertAlign val="subscript"/>
        <sz val="11"/>
        <color theme="1"/>
        <rFont val="Calibri"/>
        <family val="2"/>
        <scheme val="minor"/>
      </rPr>
      <t>He</t>
    </r>
  </si>
  <si>
    <r>
      <t>x</t>
    </r>
    <r>
      <rPr>
        <vertAlign val="subscript"/>
        <sz val="11"/>
        <color theme="1"/>
        <rFont val="Calibri"/>
        <family val="2"/>
        <scheme val="minor"/>
      </rPr>
      <t>Ar</t>
    </r>
  </si>
  <si>
    <r>
      <t>y</t>
    </r>
    <r>
      <rPr>
        <vertAlign val="subscript"/>
        <sz val="11"/>
        <color theme="1"/>
        <rFont val="Calibri"/>
        <family val="2"/>
        <scheme val="minor"/>
      </rPr>
      <t>Ar</t>
    </r>
  </si>
  <si>
    <t>Benham et al. 1957</t>
  </si>
  <si>
    <t>Tsang et al. 1980</t>
  </si>
  <si>
    <t>Freeth et al. 1931</t>
  </si>
  <si>
    <t>Cosway et al. 1959</t>
  </si>
  <si>
    <t>Kremer et al. 1983</t>
  </si>
  <si>
    <t>Sagara et al. 1972</t>
  </si>
  <si>
    <t>Hong et al. 1981</t>
  </si>
  <si>
    <t>Hu et al. 2014</t>
  </si>
  <si>
    <t>Freitag et al. 1986</t>
  </si>
  <si>
    <t>Yorizane et al. 1980</t>
  </si>
  <si>
    <t>Maimoni 1961</t>
  </si>
  <si>
    <t>Omar et al. 1962</t>
  </si>
  <si>
    <t>Verschoyle 1931</t>
  </si>
  <si>
    <t>Streett et al. 1978</t>
  </si>
  <si>
    <t>Akers et al. 1957</t>
  </si>
  <si>
    <t>Yorizane et al. 1971</t>
  </si>
  <si>
    <t>Tsang et al. 1981</t>
  </si>
  <si>
    <t>Tsankova et al. 2019</t>
  </si>
  <si>
    <t>Spano et al. 1968</t>
  </si>
  <si>
    <t>Bezanehtak et al. 2002</t>
  </si>
  <si>
    <t>Kaminishi et al. 1966</t>
  </si>
  <si>
    <t>Tenorio et al. 2015</t>
  </si>
  <si>
    <t>Fandiño et al. 2015</t>
  </si>
  <si>
    <t>Yorizane et al. 1970</t>
  </si>
  <si>
    <t>Heintz et al. 1982</t>
  </si>
  <si>
    <t>Hiza et al. 1968</t>
  </si>
  <si>
    <t>Trust et al. 1971</t>
  </si>
  <si>
    <t>Burris et al. 1953</t>
  </si>
  <si>
    <t>Aroyan et al. 1951</t>
  </si>
  <si>
    <t>Klink et al. 1975</t>
  </si>
  <si>
    <t>Nelson et al. 1943</t>
  </si>
  <si>
    <t>Dean et al. 1946</t>
  </si>
  <si>
    <t>Connolly et al. 1986</t>
  </si>
  <si>
    <t>Brunner et al. 1985</t>
  </si>
  <si>
    <t>Fu et al. 1994</t>
  </si>
  <si>
    <t>Nichols et al. 1957</t>
  </si>
  <si>
    <t>Gao et al. 2001</t>
  </si>
  <si>
    <t>Verschoyle et al. 1931</t>
  </si>
  <si>
    <t>Kling et al. 1991</t>
  </si>
  <si>
    <t>Setthanan et al. 2006</t>
  </si>
  <si>
    <t>Yorizane et al. 1969</t>
  </si>
  <si>
    <t>Sneed et al. 1968</t>
  </si>
  <si>
    <t>Hiza et al. 1972</t>
  </si>
  <si>
    <t>Sonntag et al. 1964</t>
  </si>
  <si>
    <t>Yamanishi et al. 1992</t>
  </si>
  <si>
    <t>Streett et al. 1964</t>
  </si>
  <si>
    <t>Volk et al. 1960</t>
  </si>
  <si>
    <t>Calado et al. 1979</t>
  </si>
  <si>
    <t>19.1 1</t>
  </si>
  <si>
    <t>Wiebe et al. 1934</t>
  </si>
  <si>
    <t>Cosway et al. 1959 / Williams et al. 1954</t>
  </si>
  <si>
    <t>Purwanto et al. 1996</t>
  </si>
  <si>
    <t>Symons et al. 1971</t>
  </si>
  <si>
    <t>Shoor et al. 1969</t>
  </si>
  <si>
    <r>
      <t>y</t>
    </r>
    <r>
      <rPr>
        <vertAlign val="subscript"/>
        <sz val="11"/>
        <color theme="1"/>
        <rFont val="Calibri"/>
        <family val="2"/>
        <scheme val="minor"/>
      </rPr>
      <t>Ne</t>
    </r>
  </si>
  <si>
    <r>
      <t>x</t>
    </r>
    <r>
      <rPr>
        <vertAlign val="subscript"/>
        <sz val="11"/>
        <color theme="1"/>
        <rFont val="Calibri"/>
        <family val="2"/>
        <scheme val="minor"/>
      </rPr>
      <t>Ne</t>
    </r>
  </si>
  <si>
    <t>Streett et al 1965</t>
  </si>
  <si>
    <t>Heck et al 1966</t>
  </si>
  <si>
    <t>Zelfde et al 1974</t>
  </si>
  <si>
    <r>
      <t>x</t>
    </r>
    <r>
      <rPr>
        <vertAlign val="subscript"/>
        <sz val="11"/>
        <color theme="1"/>
        <rFont val="Calibri"/>
        <family val="2"/>
        <scheme val="minor"/>
      </rPr>
      <t>NH3</t>
    </r>
  </si>
  <si>
    <r>
      <t>y</t>
    </r>
    <r>
      <rPr>
        <vertAlign val="subscript"/>
        <sz val="11"/>
        <color theme="1"/>
        <rFont val="Calibri"/>
        <family val="2"/>
        <scheme val="minor"/>
      </rPr>
      <t>NH3</t>
    </r>
  </si>
  <si>
    <t>Wiebe et al. 1937</t>
  </si>
  <si>
    <t>Reamer et al. 1959</t>
  </si>
  <si>
    <t>Moore et al. 1972</t>
  </si>
  <si>
    <t>No Data Avalaible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</si>
</sst>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0"/>
    <numFmt numFmtId="166" formatCode="0.0000"/>
    <numFmt numFmtId="167" formatCode="0.000000"/>
    <numFmt numFmtId="168" formatCode="0.0000000"/>
    <numFmt numFmtId="169" formatCode="0.0"/>
    <numFmt numFmtId="170" formatCode="0.0E+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0" xfId="0" applyFill="1"/>
    <xf numFmtId="2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4" fontId="0" fillId="0" borderId="0" xfId="0" quotePrefix="1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A380-590B-41C9-B247-169A8B84EBF0}">
  <sheetPr codeName="Hoja1"/>
  <dimension ref="A1:L432"/>
  <sheetViews>
    <sheetView workbookViewId="0">
      <pane ySplit="1" topLeftCell="A399" activePane="bottomLeft" state="frozen"/>
      <selection pane="bottomLeft" activeCell="B410" sqref="B410:G432"/>
    </sheetView>
  </sheetViews>
  <sheetFormatPr defaultColWidth="11.42578125" defaultRowHeight="15" x14ac:dyDescent="0.25"/>
  <cols>
    <col min="1" max="1" width="18" style="8" bestFit="1" customWidth="1"/>
    <col min="2" max="2" width="7" style="8" bestFit="1" customWidth="1"/>
    <col min="3" max="3" width="10" style="8" bestFit="1" customWidth="1"/>
    <col min="4" max="4" width="9" style="14" bestFit="1" customWidth="1"/>
    <col min="5" max="5" width="9.42578125" style="14" bestFit="1" customWidth="1"/>
    <col min="6" max="6" width="9" style="14" bestFit="1" customWidth="1"/>
    <col min="7" max="7" width="9.42578125" style="14" bestFit="1" customWidth="1"/>
    <col min="8" max="8" width="11.42578125" style="1"/>
    <col min="9" max="9" width="18" style="1" bestFit="1" customWidth="1"/>
    <col min="10" max="16384" width="11.42578125" style="1"/>
  </cols>
  <sheetData>
    <row r="1" spans="1:12" ht="18" x14ac:dyDescent="0.25">
      <c r="A1" s="8" t="s">
        <v>0</v>
      </c>
      <c r="B1" s="10" t="s">
        <v>3</v>
      </c>
      <c r="C1" s="12" t="s">
        <v>4</v>
      </c>
      <c r="D1" s="14" t="s">
        <v>5</v>
      </c>
      <c r="E1" s="14" t="s">
        <v>2</v>
      </c>
      <c r="F1" s="14" t="s">
        <v>6</v>
      </c>
      <c r="G1" s="14" t="s">
        <v>7</v>
      </c>
      <c r="I1" s="8" t="s">
        <v>0</v>
      </c>
    </row>
    <row r="2" spans="1:12" x14ac:dyDescent="0.25">
      <c r="A2" s="18" t="s">
        <v>39</v>
      </c>
      <c r="B2" s="13">
        <v>90.619999999999976</v>
      </c>
      <c r="C2" s="12">
        <v>20.81519475</v>
      </c>
      <c r="D2" s="14">
        <f>1-E2</f>
        <v>0.9042</v>
      </c>
      <c r="E2" s="14">
        <v>9.5799999999999996E-2</v>
      </c>
      <c r="F2" s="14">
        <f>1-G2</f>
        <v>2.1299999999999986E-2</v>
      </c>
      <c r="G2" s="14">
        <v>0.97870000000000001</v>
      </c>
      <c r="I2" s="1" t="s">
        <v>39</v>
      </c>
      <c r="K2" s="36"/>
      <c r="L2" s="36"/>
    </row>
    <row r="3" spans="1:12" x14ac:dyDescent="0.25">
      <c r="B3" s="13">
        <v>90.629999999999967</v>
      </c>
      <c r="C3" s="12">
        <v>20.8141815</v>
      </c>
      <c r="F3" s="14">
        <f t="shared" ref="F3:F22" si="0">1-G3</f>
        <v>2.3100000000000009E-2</v>
      </c>
      <c r="G3" s="14">
        <v>0.97689999999999999</v>
      </c>
      <c r="I3" s="1" t="s">
        <v>37</v>
      </c>
      <c r="K3" s="22"/>
      <c r="L3" s="8"/>
    </row>
    <row r="4" spans="1:12" x14ac:dyDescent="0.25">
      <c r="B4" s="13">
        <v>90.669999999999987</v>
      </c>
      <c r="C4" s="12">
        <v>19.834368749999999</v>
      </c>
      <c r="D4" s="14">
        <f t="shared" ref="D4:D22" si="1">1-E4</f>
        <v>0.89800000000000002</v>
      </c>
      <c r="E4" s="14">
        <v>0.10199999999999999</v>
      </c>
      <c r="F4" s="14">
        <f t="shared" si="0"/>
        <v>2.1100000000000008E-2</v>
      </c>
      <c r="G4" s="14">
        <v>0.97889999999999999</v>
      </c>
      <c r="I4" s="1" t="s">
        <v>40</v>
      </c>
      <c r="K4" s="8"/>
      <c r="L4" s="8"/>
    </row>
    <row r="5" spans="1:12" x14ac:dyDescent="0.25">
      <c r="B5" s="13">
        <v>90.639999999999986</v>
      </c>
      <c r="C5" s="12">
        <v>18.854555999999999</v>
      </c>
      <c r="D5" s="14">
        <f t="shared" si="1"/>
        <v>0.89839999999999998</v>
      </c>
      <c r="E5" s="14">
        <v>0.1016</v>
      </c>
      <c r="I5" s="1" t="s">
        <v>42</v>
      </c>
    </row>
    <row r="6" spans="1:12" x14ac:dyDescent="0.25">
      <c r="B6" s="13">
        <v>90.649999999999977</v>
      </c>
      <c r="C6" s="12">
        <v>16.8989835</v>
      </c>
      <c r="D6" s="14">
        <f t="shared" si="1"/>
        <v>0.91100000000000003</v>
      </c>
      <c r="E6" s="14">
        <v>8.900000000000001E-2</v>
      </c>
      <c r="F6" s="14">
        <f t="shared" si="0"/>
        <v>2.1700000000000053E-2</v>
      </c>
      <c r="G6" s="14">
        <v>0.97829999999999995</v>
      </c>
      <c r="I6" s="1" t="s">
        <v>38</v>
      </c>
    </row>
    <row r="7" spans="1:12" x14ac:dyDescent="0.25">
      <c r="B7" s="13">
        <v>90.609999999999985</v>
      </c>
      <c r="C7" s="12">
        <v>16.896957</v>
      </c>
      <c r="D7" s="14">
        <f t="shared" si="1"/>
        <v>0.92159999999999997</v>
      </c>
      <c r="E7" s="14">
        <v>7.8399999999999997E-2</v>
      </c>
      <c r="F7" s="14">
        <f t="shared" si="0"/>
        <v>2.1100000000000008E-2</v>
      </c>
      <c r="G7" s="14">
        <v>0.97889999999999999</v>
      </c>
      <c r="I7" s="1" t="s">
        <v>46</v>
      </c>
    </row>
    <row r="8" spans="1:12" x14ac:dyDescent="0.25">
      <c r="B8" s="13">
        <v>90.619999999999976</v>
      </c>
      <c r="C8" s="12">
        <v>12.991891499999999</v>
      </c>
      <c r="D8" s="14">
        <f t="shared" si="1"/>
        <v>0.92400000000000004</v>
      </c>
      <c r="E8" s="14">
        <v>7.5999999999999998E-2</v>
      </c>
      <c r="F8" s="14">
        <f t="shared" si="0"/>
        <v>3.1700000000000061E-2</v>
      </c>
      <c r="G8" s="14">
        <v>0.96829999999999994</v>
      </c>
      <c r="I8" s="1" t="s">
        <v>43</v>
      </c>
    </row>
    <row r="9" spans="1:12" x14ac:dyDescent="0.25">
      <c r="B9" s="13">
        <v>90.669999999999987</v>
      </c>
      <c r="C9" s="12">
        <v>12.98885175</v>
      </c>
      <c r="D9" s="14">
        <f t="shared" si="1"/>
        <v>0.91810000000000003</v>
      </c>
      <c r="E9" s="14">
        <v>8.1900000000000001E-2</v>
      </c>
      <c r="F9" s="14">
        <f t="shared" si="0"/>
        <v>1.540000000000008E-2</v>
      </c>
      <c r="G9" s="14">
        <v>0.98459999999999992</v>
      </c>
      <c r="I9" s="1" t="s">
        <v>44</v>
      </c>
    </row>
    <row r="10" spans="1:12" x14ac:dyDescent="0.25">
      <c r="B10" s="13">
        <v>90.629999999999967</v>
      </c>
      <c r="C10" s="12">
        <v>10.063599</v>
      </c>
      <c r="D10" s="14">
        <f t="shared" si="1"/>
        <v>0.94410000000000005</v>
      </c>
      <c r="E10" s="14">
        <v>5.5899999999999998E-2</v>
      </c>
      <c r="F10" s="14">
        <f t="shared" si="0"/>
        <v>1.1800000000000033E-2</v>
      </c>
      <c r="G10" s="14">
        <v>0.98819999999999997</v>
      </c>
    </row>
    <row r="11" spans="1:12" x14ac:dyDescent="0.25">
      <c r="B11" s="13">
        <v>90.679999999999978</v>
      </c>
      <c r="C11" s="12">
        <v>8.0614170000000005</v>
      </c>
      <c r="D11" s="14">
        <f t="shared" si="1"/>
        <v>0.9617</v>
      </c>
      <c r="E11" s="14">
        <v>3.8300000000000001E-2</v>
      </c>
      <c r="F11" s="14">
        <f t="shared" si="0"/>
        <v>9.5000000000000639E-3</v>
      </c>
      <c r="G11" s="14">
        <v>0.99049999999999994</v>
      </c>
    </row>
    <row r="12" spans="1:12" x14ac:dyDescent="0.25">
      <c r="B12" s="13">
        <v>90.659999999999968</v>
      </c>
      <c r="C12" s="12">
        <v>5.6559615000000001</v>
      </c>
      <c r="D12" s="14">
        <f t="shared" si="1"/>
        <v>0.98929999999999996</v>
      </c>
      <c r="E12" s="14">
        <v>1.0700000000000001E-2</v>
      </c>
      <c r="F12" s="14">
        <f t="shared" si="0"/>
        <v>1.1500000000000066E-2</v>
      </c>
      <c r="G12" s="14">
        <v>0.98849999999999993</v>
      </c>
    </row>
    <row r="13" spans="1:12" x14ac:dyDescent="0.25">
      <c r="B13" s="13">
        <v>90.659999999999968</v>
      </c>
      <c r="C13" s="12">
        <v>5.6346832500000001</v>
      </c>
      <c r="D13" s="14">
        <f t="shared" si="1"/>
        <v>0.98299999999999998</v>
      </c>
      <c r="E13" s="14">
        <v>1.7000000000000001E-2</v>
      </c>
      <c r="F13" s="14">
        <f t="shared" si="0"/>
        <v>1.2499999999999956E-2</v>
      </c>
      <c r="G13" s="14">
        <v>0.98750000000000004</v>
      </c>
    </row>
    <row r="14" spans="1:12" x14ac:dyDescent="0.25">
      <c r="B14" s="13">
        <v>90.629999999999967</v>
      </c>
      <c r="C14" s="12">
        <v>4.6812149999999999</v>
      </c>
      <c r="F14" s="14">
        <f t="shared" si="0"/>
        <v>1.0499999999999954E-2</v>
      </c>
      <c r="G14" s="14">
        <v>0.98950000000000005</v>
      </c>
    </row>
    <row r="15" spans="1:12" x14ac:dyDescent="0.25">
      <c r="B15" s="13">
        <v>90.649999999999977</v>
      </c>
      <c r="C15" s="12">
        <v>4.6710824999999998</v>
      </c>
      <c r="D15" s="14">
        <f t="shared" si="1"/>
        <v>0.99360000000000004</v>
      </c>
      <c r="E15" s="14">
        <v>6.4000000000000003E-3</v>
      </c>
      <c r="F15" s="14">
        <f t="shared" si="0"/>
        <v>1.3700000000000045E-2</v>
      </c>
      <c r="G15" s="14">
        <v>0.98629999999999995</v>
      </c>
    </row>
    <row r="16" spans="1:12" x14ac:dyDescent="0.25">
      <c r="B16" s="13">
        <v>90.629999999999967</v>
      </c>
      <c r="C16" s="12">
        <v>4.4471542499999996</v>
      </c>
      <c r="F16" s="14">
        <f t="shared" si="0"/>
        <v>1.0499999999999954E-2</v>
      </c>
      <c r="G16" s="14">
        <v>0.98950000000000005</v>
      </c>
    </row>
    <row r="17" spans="1:7" x14ac:dyDescent="0.25">
      <c r="B17" s="13">
        <v>90.649999999999977</v>
      </c>
      <c r="C17" s="12">
        <v>3.6892432499999996</v>
      </c>
      <c r="D17" s="14">
        <f t="shared" si="1"/>
        <v>0.99439999999999995</v>
      </c>
      <c r="E17" s="14">
        <v>5.6000000000000008E-3</v>
      </c>
      <c r="F17" s="14">
        <f t="shared" si="0"/>
        <v>2.0100000000000007E-2</v>
      </c>
      <c r="G17" s="14">
        <v>0.97989999999999999</v>
      </c>
    </row>
    <row r="18" spans="1:7" x14ac:dyDescent="0.25">
      <c r="B18" s="13">
        <v>90.629999999999967</v>
      </c>
      <c r="C18" s="12">
        <v>3.0134055000000002</v>
      </c>
      <c r="F18" s="14">
        <f t="shared" si="0"/>
        <v>1.430000000000009E-2</v>
      </c>
      <c r="G18" s="14">
        <v>0.98569999999999991</v>
      </c>
    </row>
    <row r="19" spans="1:7" x14ac:dyDescent="0.25">
      <c r="B19" s="13">
        <v>90.669999999999987</v>
      </c>
      <c r="C19" s="12">
        <v>2.6972714999999998</v>
      </c>
      <c r="F19" s="14">
        <f t="shared" si="0"/>
        <v>1.2699999999999934E-2</v>
      </c>
      <c r="G19" s="14">
        <v>0.98730000000000007</v>
      </c>
    </row>
    <row r="20" spans="1:7" x14ac:dyDescent="0.25">
      <c r="B20" s="13">
        <v>90.639999999999986</v>
      </c>
      <c r="C20" s="12">
        <v>2.18963325</v>
      </c>
      <c r="D20" s="14">
        <f t="shared" si="1"/>
        <v>0.99299999999999999</v>
      </c>
      <c r="E20" s="14">
        <v>6.9999999999999993E-3</v>
      </c>
      <c r="F20" s="14">
        <f t="shared" si="0"/>
        <v>1.4599999999999946E-2</v>
      </c>
      <c r="G20" s="14">
        <v>0.98540000000000005</v>
      </c>
    </row>
    <row r="21" spans="1:7" x14ac:dyDescent="0.25">
      <c r="B21" s="13">
        <v>90.679999999999978</v>
      </c>
      <c r="C21" s="12">
        <v>1.718472</v>
      </c>
      <c r="F21" s="14">
        <f t="shared" si="0"/>
        <v>2.0999999999999908E-2</v>
      </c>
      <c r="G21" s="14">
        <v>0.97900000000000009</v>
      </c>
    </row>
    <row r="22" spans="1:7" ht="15.75" thickBot="1" x14ac:dyDescent="0.3">
      <c r="A22" s="9"/>
      <c r="B22" s="17">
        <v>90.659999999999968</v>
      </c>
      <c r="C22" s="15">
        <v>1.71137925</v>
      </c>
      <c r="D22" s="16">
        <f t="shared" si="1"/>
        <v>0.99619999999999997</v>
      </c>
      <c r="E22" s="16">
        <v>3.8E-3</v>
      </c>
      <c r="F22" s="16">
        <f t="shared" si="0"/>
        <v>1.650000000000007E-2</v>
      </c>
      <c r="G22" s="16">
        <v>0.98349999999999993</v>
      </c>
    </row>
    <row r="23" spans="1:7" x14ac:dyDescent="0.25">
      <c r="A23" s="18" t="s">
        <v>37</v>
      </c>
      <c r="B23" s="13">
        <v>172.03899999999999</v>
      </c>
      <c r="C23" s="12">
        <v>3.4473724127470038</v>
      </c>
      <c r="D23" s="14">
        <f>1-E23</f>
        <v>0.98299999999999998</v>
      </c>
      <c r="E23" s="14">
        <v>1.7000000000000001E-2</v>
      </c>
      <c r="F23" s="14">
        <f>1-G23</f>
        <v>0.8417</v>
      </c>
      <c r="G23" s="14">
        <v>0.1583</v>
      </c>
    </row>
    <row r="24" spans="1:7" x14ac:dyDescent="0.25">
      <c r="B24" s="13">
        <v>172.03899999999999</v>
      </c>
      <c r="C24" s="12">
        <v>6.8947448254940076</v>
      </c>
      <c r="D24" s="14">
        <f t="shared" ref="D24:D35" si="2">1-E24</f>
        <v>0.9123</v>
      </c>
      <c r="E24" s="14">
        <v>8.77E-2</v>
      </c>
      <c r="F24" s="14">
        <f t="shared" ref="F24:F35" si="3">1-G24</f>
        <v>0.59399999999999997</v>
      </c>
      <c r="G24" s="14">
        <v>0.40600000000000003</v>
      </c>
    </row>
    <row r="25" spans="1:7" x14ac:dyDescent="0.25">
      <c r="B25" s="13">
        <v>172.03899999999999</v>
      </c>
      <c r="C25" s="12">
        <v>8.8252733766323299</v>
      </c>
      <c r="D25" s="14">
        <f t="shared" si="2"/>
        <v>0.87450000000000006</v>
      </c>
      <c r="E25" s="14">
        <v>0.1255</v>
      </c>
      <c r="F25" s="14">
        <f t="shared" si="3"/>
        <v>0.53689999999999993</v>
      </c>
      <c r="G25" s="14">
        <v>0.46310000000000001</v>
      </c>
    </row>
    <row r="26" spans="1:7" x14ac:dyDescent="0.25">
      <c r="B26" s="13">
        <v>172.03899999999999</v>
      </c>
      <c r="C26" s="12">
        <v>10.342117238241013</v>
      </c>
      <c r="D26" s="14">
        <f t="shared" si="2"/>
        <v>0.83779999999999999</v>
      </c>
      <c r="E26" s="14">
        <v>0.16219999999999998</v>
      </c>
      <c r="F26" s="14">
        <f t="shared" si="3"/>
        <v>0.53220000000000001</v>
      </c>
      <c r="G26" s="14">
        <v>0.46779999999999999</v>
      </c>
    </row>
    <row r="27" spans="1:7" x14ac:dyDescent="0.25">
      <c r="B27" s="13">
        <v>144.261</v>
      </c>
      <c r="C27" s="12">
        <v>3.4473724127470038</v>
      </c>
      <c r="D27" s="14">
        <f t="shared" si="2"/>
        <v>0.9657</v>
      </c>
      <c r="E27" s="14">
        <v>3.4300000000000004E-2</v>
      </c>
      <c r="F27" s="14">
        <f t="shared" si="3"/>
        <v>0.36080000000000001</v>
      </c>
      <c r="G27" s="14">
        <v>0.63919999999999999</v>
      </c>
    </row>
    <row r="28" spans="1:7" x14ac:dyDescent="0.25">
      <c r="B28" s="13">
        <v>144.261</v>
      </c>
      <c r="C28" s="12">
        <v>6.8947448254940076</v>
      </c>
      <c r="D28" s="14">
        <f t="shared" si="2"/>
        <v>0.92189999999999994</v>
      </c>
      <c r="E28" s="14">
        <v>7.8100000000000003E-2</v>
      </c>
      <c r="F28" s="14">
        <f t="shared" si="3"/>
        <v>0.23819999999999997</v>
      </c>
      <c r="G28" s="14">
        <v>0.76180000000000003</v>
      </c>
    </row>
    <row r="29" spans="1:7" x14ac:dyDescent="0.25">
      <c r="B29" s="13">
        <v>144.261</v>
      </c>
      <c r="C29" s="12">
        <v>10.273169789986072</v>
      </c>
      <c r="D29" s="14">
        <f t="shared" si="2"/>
        <v>0.86899999999999999</v>
      </c>
      <c r="E29" s="14">
        <v>0.13100000000000001</v>
      </c>
      <c r="F29" s="14">
        <f t="shared" si="3"/>
        <v>0.20689999999999997</v>
      </c>
      <c r="G29" s="14">
        <v>0.79310000000000003</v>
      </c>
    </row>
    <row r="30" spans="1:7" x14ac:dyDescent="0.25">
      <c r="B30" s="13">
        <v>144.261</v>
      </c>
      <c r="C30" s="12">
        <v>13.720542202733077</v>
      </c>
      <c r="D30" s="14">
        <f t="shared" si="2"/>
        <v>0.81950000000000001</v>
      </c>
      <c r="E30" s="14">
        <v>0.18049999999999999</v>
      </c>
      <c r="F30" s="14">
        <f t="shared" si="3"/>
        <v>0.2177</v>
      </c>
      <c r="G30" s="14">
        <v>0.7823</v>
      </c>
    </row>
    <row r="31" spans="1:7" x14ac:dyDescent="0.25">
      <c r="B31" s="13">
        <v>144.261</v>
      </c>
      <c r="C31" s="12">
        <v>20.684234476482025</v>
      </c>
      <c r="D31" s="14">
        <f t="shared" si="2"/>
        <v>0.6500999999999999</v>
      </c>
      <c r="E31" s="14">
        <v>0.34990000000000004</v>
      </c>
      <c r="F31" s="14">
        <f t="shared" si="3"/>
        <v>0.25430000000000008</v>
      </c>
      <c r="G31" s="14">
        <v>0.74569999999999992</v>
      </c>
    </row>
    <row r="32" spans="1:7" x14ac:dyDescent="0.25">
      <c r="B32" s="13">
        <v>116.483</v>
      </c>
      <c r="C32" s="12">
        <v>3.3784249644920639</v>
      </c>
      <c r="D32" s="14">
        <f t="shared" si="2"/>
        <v>0.96819999999999995</v>
      </c>
      <c r="E32" s="14">
        <v>3.1800000000000002E-2</v>
      </c>
      <c r="F32" s="14">
        <f t="shared" si="3"/>
        <v>7.2099999999999942E-2</v>
      </c>
      <c r="G32" s="14">
        <v>0.92790000000000006</v>
      </c>
    </row>
    <row r="33" spans="1:7" x14ac:dyDescent="0.25">
      <c r="B33" s="13">
        <v>116.483</v>
      </c>
      <c r="C33" s="12">
        <v>10.273169789986072</v>
      </c>
      <c r="D33" s="14">
        <f t="shared" si="2"/>
        <v>0.90500000000000003</v>
      </c>
      <c r="E33" s="14">
        <v>9.5000000000000001E-2</v>
      </c>
      <c r="F33" s="14">
        <f t="shared" si="3"/>
        <v>5.3400000000000003E-2</v>
      </c>
      <c r="G33" s="14">
        <v>0.9466</v>
      </c>
    </row>
    <row r="34" spans="1:7" x14ac:dyDescent="0.25">
      <c r="B34" s="13">
        <v>116.483</v>
      </c>
      <c r="C34" s="12">
        <v>15.857913098636219</v>
      </c>
      <c r="D34" s="14">
        <f t="shared" si="2"/>
        <v>0.86060000000000003</v>
      </c>
      <c r="E34" s="14">
        <v>0.1394</v>
      </c>
      <c r="F34" s="14">
        <f t="shared" si="3"/>
        <v>6.1699999999999977E-2</v>
      </c>
      <c r="G34" s="14">
        <v>0.93830000000000002</v>
      </c>
    </row>
    <row r="35" spans="1:7" ht="15.75" thickBot="1" x14ac:dyDescent="0.3">
      <c r="A35" s="9"/>
      <c r="B35" s="17">
        <v>116.483</v>
      </c>
      <c r="C35" s="15">
        <v>27.57897930197603</v>
      </c>
      <c r="D35" s="16">
        <f t="shared" si="2"/>
        <v>0.68300000000000005</v>
      </c>
      <c r="E35" s="16">
        <v>0.317</v>
      </c>
      <c r="F35" s="16">
        <f t="shared" si="3"/>
        <v>7.1099999999999941E-2</v>
      </c>
      <c r="G35" s="16">
        <v>0.92890000000000006</v>
      </c>
    </row>
    <row r="36" spans="1:7" x14ac:dyDescent="0.25">
      <c r="A36" s="18" t="s">
        <v>40</v>
      </c>
      <c r="B36" s="13">
        <v>144.261</v>
      </c>
      <c r="C36" s="12">
        <f>500/145.038</f>
        <v>3.4473724127470038</v>
      </c>
      <c r="D36" s="14">
        <f>1-E36</f>
        <v>0.9657</v>
      </c>
      <c r="E36" s="14">
        <v>3.4299999999999997E-2</v>
      </c>
      <c r="F36" s="14">
        <f>1-G36</f>
        <v>0.36080000000000001</v>
      </c>
      <c r="G36" s="14">
        <v>0.63919999999999999</v>
      </c>
    </row>
    <row r="37" spans="1:7" x14ac:dyDescent="0.25">
      <c r="B37" s="13">
        <v>144.261</v>
      </c>
      <c r="C37" s="12">
        <f>1000/145.038</f>
        <v>6.8947448254940076</v>
      </c>
      <c r="D37" s="14">
        <f t="shared" ref="D37:D38" si="4">1-E37</f>
        <v>0.91680000000000006</v>
      </c>
      <c r="E37" s="14">
        <v>8.3199999999999996E-2</v>
      </c>
      <c r="F37" s="14">
        <f t="shared" ref="F37:F38" si="5">1-G37</f>
        <v>0.2399</v>
      </c>
      <c r="G37" s="14">
        <v>0.7601</v>
      </c>
    </row>
    <row r="38" spans="1:7" ht="15.75" thickBot="1" x14ac:dyDescent="0.3">
      <c r="A38" s="9"/>
      <c r="B38" s="17">
        <v>144.261</v>
      </c>
      <c r="C38" s="15">
        <f>1000/145.038</f>
        <v>6.8947448254940076</v>
      </c>
      <c r="D38" s="16">
        <f t="shared" si="4"/>
        <v>0.92189999999999994</v>
      </c>
      <c r="E38" s="16">
        <v>7.8100000000000003E-2</v>
      </c>
      <c r="F38" s="16">
        <f t="shared" si="5"/>
        <v>0.23819999999999997</v>
      </c>
      <c r="G38" s="16">
        <v>0.76180000000000003</v>
      </c>
    </row>
    <row r="39" spans="1:7" x14ac:dyDescent="0.25">
      <c r="A39" s="18" t="s">
        <v>42</v>
      </c>
      <c r="B39" s="8">
        <f>-170+273.15</f>
        <v>103.14999999999998</v>
      </c>
      <c r="C39" s="12">
        <v>1.9961024999999999</v>
      </c>
      <c r="D39" s="14">
        <f>1-E39</f>
        <v>0.98580000000000001</v>
      </c>
      <c r="E39" s="14">
        <v>1.4200000000000001E-2</v>
      </c>
      <c r="F39" s="14">
        <f>1-G39</f>
        <v>4.7000000000000042E-2</v>
      </c>
      <c r="G39" s="14">
        <v>0.95299999999999996</v>
      </c>
    </row>
    <row r="40" spans="1:7" x14ac:dyDescent="0.25">
      <c r="B40" s="8">
        <f t="shared" ref="B40:B43" si="6">-170+273.15</f>
        <v>103.14999999999998</v>
      </c>
      <c r="C40" s="12">
        <v>4.1340599999999998</v>
      </c>
      <c r="D40" s="14">
        <f t="shared" ref="D40:D66" si="7">1-E40</f>
        <v>0.96630000000000005</v>
      </c>
      <c r="E40" s="14">
        <v>3.3700000000000001E-2</v>
      </c>
      <c r="F40" s="14">
        <f t="shared" ref="F40:F66" si="8">1-G40</f>
        <v>3.3000000000000029E-2</v>
      </c>
      <c r="G40" s="14">
        <v>0.96699999999999997</v>
      </c>
    </row>
    <row r="41" spans="1:7" x14ac:dyDescent="0.25">
      <c r="B41" s="8">
        <f t="shared" si="6"/>
        <v>103.14999999999998</v>
      </c>
      <c r="C41" s="12">
        <v>6.1200299999999999</v>
      </c>
      <c r="D41" s="14">
        <f t="shared" si="7"/>
        <v>0.94310000000000005</v>
      </c>
      <c r="E41" s="14">
        <v>5.6899999999999999E-2</v>
      </c>
      <c r="F41" s="14">
        <f t="shared" si="8"/>
        <v>3.1000000000000028E-2</v>
      </c>
      <c r="G41" s="14">
        <v>0.96899999999999997</v>
      </c>
    </row>
    <row r="42" spans="1:7" x14ac:dyDescent="0.25">
      <c r="B42" s="8">
        <f t="shared" si="6"/>
        <v>103.14999999999998</v>
      </c>
      <c r="C42" s="12">
        <v>8.1971925000000017</v>
      </c>
      <c r="D42" s="14">
        <f t="shared" si="7"/>
        <v>0.92920000000000003</v>
      </c>
      <c r="E42" s="14">
        <v>7.0800000000000002E-2</v>
      </c>
      <c r="F42" s="14">
        <f t="shared" si="8"/>
        <v>3.0000000000000027E-2</v>
      </c>
      <c r="G42" s="14">
        <v>0.97</v>
      </c>
    </row>
    <row r="43" spans="1:7" x14ac:dyDescent="0.25">
      <c r="B43" s="8">
        <f t="shared" si="6"/>
        <v>103.14999999999998</v>
      </c>
      <c r="C43" s="12">
        <v>9.1192499999999992</v>
      </c>
      <c r="D43" s="14">
        <f t="shared" si="7"/>
        <v>0.91810000000000003</v>
      </c>
      <c r="E43" s="14">
        <v>8.1900000000000001E-2</v>
      </c>
      <c r="F43" s="14">
        <f t="shared" si="8"/>
        <v>3.1000000000000028E-2</v>
      </c>
      <c r="G43" s="14">
        <v>0.96899999999999997</v>
      </c>
    </row>
    <row r="44" spans="1:7" x14ac:dyDescent="0.25">
      <c r="B44" s="8">
        <f>-150+273.15</f>
        <v>123.14999999999998</v>
      </c>
      <c r="C44" s="12">
        <v>1.0233825000000001</v>
      </c>
      <c r="D44" s="14">
        <f t="shared" si="7"/>
        <v>0.99270000000000003</v>
      </c>
      <c r="E44" s="14">
        <v>7.3000000000000001E-3</v>
      </c>
      <c r="F44" s="14">
        <f t="shared" si="8"/>
        <v>0.31699999999999995</v>
      </c>
      <c r="G44" s="14">
        <v>0.68300000000000005</v>
      </c>
    </row>
    <row r="45" spans="1:7" x14ac:dyDescent="0.25">
      <c r="B45" s="8">
        <f t="shared" ref="B45:B49" si="9">-150+273.15</f>
        <v>123.14999999999998</v>
      </c>
      <c r="C45" s="12">
        <v>2.0265</v>
      </c>
      <c r="D45" s="14">
        <f t="shared" si="7"/>
        <v>0.98080000000000001</v>
      </c>
      <c r="E45" s="14">
        <v>1.9199999999999998E-2</v>
      </c>
      <c r="F45" s="14">
        <f t="shared" si="8"/>
        <v>0.18200000000000005</v>
      </c>
      <c r="G45" s="14">
        <v>0.81799999999999995</v>
      </c>
    </row>
    <row r="46" spans="1:7" x14ac:dyDescent="0.25">
      <c r="B46" s="8">
        <f t="shared" si="9"/>
        <v>123.14999999999998</v>
      </c>
      <c r="C46" s="12">
        <v>4.0327349999999997</v>
      </c>
      <c r="D46" s="14">
        <f t="shared" si="7"/>
        <v>0.96150000000000002</v>
      </c>
      <c r="E46" s="14">
        <v>3.85E-2</v>
      </c>
      <c r="F46" s="14">
        <f t="shared" si="8"/>
        <v>0.11399999999999999</v>
      </c>
      <c r="G46" s="14">
        <v>0.88600000000000001</v>
      </c>
    </row>
    <row r="47" spans="1:7" x14ac:dyDescent="0.25">
      <c r="B47" s="8">
        <f t="shared" si="9"/>
        <v>123.14999999999998</v>
      </c>
      <c r="C47" s="12">
        <v>6.0592350000000001</v>
      </c>
      <c r="D47" s="14">
        <f t="shared" si="7"/>
        <v>0.93840000000000001</v>
      </c>
      <c r="E47" s="14">
        <v>6.1600000000000002E-2</v>
      </c>
      <c r="F47" s="14">
        <f t="shared" si="8"/>
        <v>9.5999999999999974E-2</v>
      </c>
      <c r="G47" s="14">
        <v>0.90400000000000003</v>
      </c>
    </row>
    <row r="48" spans="1:7" x14ac:dyDescent="0.25">
      <c r="B48" s="8">
        <f t="shared" si="9"/>
        <v>123.14999999999998</v>
      </c>
      <c r="C48" s="12">
        <v>8.1769274999999997</v>
      </c>
      <c r="D48" s="14">
        <f t="shared" si="7"/>
        <v>0.91839999999999999</v>
      </c>
      <c r="E48" s="14">
        <v>8.1600000000000006E-2</v>
      </c>
      <c r="F48" s="14">
        <f t="shared" si="8"/>
        <v>8.8999999999999968E-2</v>
      </c>
      <c r="G48" s="14">
        <v>0.91100000000000003</v>
      </c>
    </row>
    <row r="49" spans="2:7" x14ac:dyDescent="0.25">
      <c r="B49" s="8">
        <f t="shared" si="9"/>
        <v>123.14999999999998</v>
      </c>
      <c r="C49" s="12">
        <v>10.1831625</v>
      </c>
      <c r="D49" s="14">
        <f t="shared" si="7"/>
        <v>0.89900000000000002</v>
      </c>
      <c r="E49" s="14">
        <v>0.10100000000000001</v>
      </c>
      <c r="F49" s="14">
        <f t="shared" si="8"/>
        <v>9.1999999999999971E-2</v>
      </c>
      <c r="G49" s="14">
        <v>0.90800000000000003</v>
      </c>
    </row>
    <row r="50" spans="2:7" x14ac:dyDescent="0.25">
      <c r="B50" s="8">
        <f>-130.1+273.15</f>
        <v>143.04999999999998</v>
      </c>
      <c r="C50" s="12">
        <v>1.0740449999999999</v>
      </c>
      <c r="D50" s="14">
        <f t="shared" si="7"/>
        <v>0.99690000000000001</v>
      </c>
      <c r="E50" s="14">
        <v>3.0999999999999999E-3</v>
      </c>
      <c r="F50" s="14">
        <f t="shared" si="8"/>
        <v>0.78600000000000003</v>
      </c>
      <c r="G50" s="14">
        <v>0.214</v>
      </c>
    </row>
    <row r="51" spans="2:7" x14ac:dyDescent="0.25">
      <c r="B51" s="8">
        <f t="shared" ref="B51:B55" si="10">-130.1+273.15</f>
        <v>143.04999999999998</v>
      </c>
      <c r="C51" s="12">
        <v>2.0163674999999999</v>
      </c>
      <c r="D51" s="14">
        <f t="shared" si="7"/>
        <v>0.98319999999999996</v>
      </c>
      <c r="E51" s="14">
        <v>1.6799999999999999E-2</v>
      </c>
      <c r="F51" s="14">
        <f t="shared" si="8"/>
        <v>0.45899999999999996</v>
      </c>
      <c r="G51" s="14">
        <v>0.54100000000000004</v>
      </c>
    </row>
    <row r="52" spans="2:7" x14ac:dyDescent="0.25">
      <c r="B52" s="8">
        <f t="shared" si="10"/>
        <v>143.04999999999998</v>
      </c>
      <c r="C52" s="12">
        <v>4.0732650000000001</v>
      </c>
      <c r="D52" s="14">
        <f t="shared" si="7"/>
        <v>0.95230000000000004</v>
      </c>
      <c r="E52" s="14">
        <v>4.7699999999999999E-2</v>
      </c>
      <c r="F52" s="14">
        <f t="shared" si="8"/>
        <v>0.27900000000000003</v>
      </c>
      <c r="G52" s="14">
        <v>0.72099999999999997</v>
      </c>
    </row>
    <row r="53" spans="2:7" x14ac:dyDescent="0.25">
      <c r="B53" s="8">
        <f t="shared" si="10"/>
        <v>143.04999999999998</v>
      </c>
      <c r="C53" s="12">
        <v>5.9883075000000003</v>
      </c>
      <c r="D53" s="14">
        <f t="shared" si="7"/>
        <v>0.93159999999999998</v>
      </c>
      <c r="E53" s="14">
        <v>6.8400000000000002E-2</v>
      </c>
      <c r="F53" s="14">
        <f t="shared" si="8"/>
        <v>0.22099999999999997</v>
      </c>
      <c r="G53" s="14">
        <v>0.77900000000000003</v>
      </c>
    </row>
    <row r="54" spans="2:7" x14ac:dyDescent="0.25">
      <c r="B54" s="8">
        <f t="shared" si="10"/>
        <v>143.04999999999998</v>
      </c>
      <c r="C54" s="12">
        <v>7.9742775000000004</v>
      </c>
      <c r="D54" s="14">
        <f t="shared" si="7"/>
        <v>0.90080000000000005</v>
      </c>
      <c r="E54" s="14">
        <v>9.9199999999999997E-2</v>
      </c>
      <c r="F54" s="14">
        <f t="shared" si="8"/>
        <v>0.19799999999999995</v>
      </c>
      <c r="G54" s="14">
        <v>0.80200000000000005</v>
      </c>
    </row>
    <row r="55" spans="2:7" x14ac:dyDescent="0.25">
      <c r="B55" s="8">
        <f t="shared" si="10"/>
        <v>143.04999999999998</v>
      </c>
      <c r="C55" s="12">
        <v>10.152765</v>
      </c>
      <c r="D55" s="14">
        <f t="shared" si="7"/>
        <v>0.873</v>
      </c>
      <c r="E55" s="14">
        <v>0.127</v>
      </c>
      <c r="F55" s="14">
        <f t="shared" si="8"/>
        <v>0.18999999999999995</v>
      </c>
      <c r="G55" s="14">
        <v>0.81</v>
      </c>
    </row>
    <row r="56" spans="2:7" x14ac:dyDescent="0.25">
      <c r="B56" s="8">
        <f>-101.1+273.15</f>
        <v>172.04999999999998</v>
      </c>
      <c r="C56" s="12">
        <v>8.7544799999999992</v>
      </c>
      <c r="D56" s="14">
        <f t="shared" si="7"/>
        <v>0.86399999999999999</v>
      </c>
      <c r="E56" s="14">
        <v>0.13600000000000001</v>
      </c>
      <c r="F56" s="14">
        <f t="shared" si="8"/>
        <v>0.56499999999999995</v>
      </c>
      <c r="G56" s="14">
        <v>0.435</v>
      </c>
    </row>
    <row r="57" spans="2:7" x14ac:dyDescent="0.25">
      <c r="B57" s="8">
        <f>-101.1+273.15</f>
        <v>172.04999999999998</v>
      </c>
      <c r="C57" s="12">
        <v>10.355415000000001</v>
      </c>
      <c r="D57" s="14">
        <f t="shared" si="7"/>
        <v>0.79899999999999993</v>
      </c>
      <c r="E57" s="14">
        <v>0.20100000000000001</v>
      </c>
      <c r="F57" s="14">
        <f t="shared" si="8"/>
        <v>0.57099999999999995</v>
      </c>
      <c r="G57" s="14">
        <v>0.42899999999999999</v>
      </c>
    </row>
    <row r="58" spans="2:7" x14ac:dyDescent="0.25">
      <c r="B58" s="8">
        <f>-99.5+273.15</f>
        <v>173.64999999999998</v>
      </c>
      <c r="C58" s="12">
        <v>3.5666400000000005</v>
      </c>
      <c r="D58" s="14">
        <f t="shared" si="7"/>
        <v>0.98319999999999996</v>
      </c>
      <c r="E58" s="14">
        <v>1.6799999999999999E-2</v>
      </c>
      <c r="F58" s="14">
        <f t="shared" si="8"/>
        <v>0.85199999999999998</v>
      </c>
      <c r="G58" s="14">
        <v>0.14799999999999999</v>
      </c>
    </row>
    <row r="59" spans="2:7" x14ac:dyDescent="0.25">
      <c r="B59" s="8">
        <f t="shared" ref="B59:B66" si="11">-99.5+273.15</f>
        <v>173.64999999999998</v>
      </c>
      <c r="C59" s="12">
        <v>4.0631325</v>
      </c>
      <c r="D59" s="14">
        <f t="shared" si="7"/>
        <v>0.97429999999999994</v>
      </c>
      <c r="E59" s="14">
        <v>2.5700000000000001E-2</v>
      </c>
      <c r="F59" s="14">
        <f t="shared" si="8"/>
        <v>0.79400000000000004</v>
      </c>
      <c r="G59" s="14">
        <v>0.20599999999999999</v>
      </c>
    </row>
    <row r="60" spans="2:7" x14ac:dyDescent="0.25">
      <c r="B60" s="8">
        <f t="shared" si="11"/>
        <v>173.64999999999998</v>
      </c>
      <c r="C60" s="12">
        <v>6.0693675000000002</v>
      </c>
      <c r="D60" s="14">
        <f t="shared" si="7"/>
        <v>0.92910000000000004</v>
      </c>
      <c r="E60" s="14">
        <v>7.0900000000000005E-2</v>
      </c>
      <c r="F60" s="14">
        <f t="shared" si="8"/>
        <v>0.63800000000000001</v>
      </c>
      <c r="G60" s="14">
        <v>0.36199999999999999</v>
      </c>
    </row>
    <row r="61" spans="2:7" x14ac:dyDescent="0.25">
      <c r="B61" s="8">
        <f t="shared" si="11"/>
        <v>173.64999999999998</v>
      </c>
      <c r="C61" s="12">
        <v>7.1028824999999989</v>
      </c>
      <c r="D61" s="14">
        <f t="shared" si="7"/>
        <v>0.90620000000000001</v>
      </c>
      <c r="E61" s="14">
        <v>9.3799999999999994E-2</v>
      </c>
      <c r="F61" s="14">
        <f t="shared" si="8"/>
        <v>0.59399999999999997</v>
      </c>
      <c r="G61" s="14">
        <v>0.40600000000000003</v>
      </c>
    </row>
    <row r="62" spans="2:7" x14ac:dyDescent="0.25">
      <c r="B62" s="8">
        <f t="shared" si="11"/>
        <v>173.64999999999998</v>
      </c>
      <c r="C62" s="12">
        <v>8.1667949999999987</v>
      </c>
      <c r="D62" s="14">
        <f t="shared" si="7"/>
        <v>0.876</v>
      </c>
      <c r="E62" s="14">
        <v>0.124</v>
      </c>
      <c r="F62" s="14">
        <f t="shared" si="8"/>
        <v>0.57600000000000007</v>
      </c>
      <c r="G62" s="14">
        <v>0.42399999999999999</v>
      </c>
    </row>
    <row r="63" spans="2:7" x14ac:dyDescent="0.25">
      <c r="B63" s="8">
        <f t="shared" si="11"/>
        <v>173.64999999999998</v>
      </c>
      <c r="C63" s="12">
        <v>8.3795774999999999</v>
      </c>
      <c r="D63" s="14">
        <f t="shared" si="7"/>
        <v>0.86899999999999999</v>
      </c>
      <c r="E63" s="14">
        <v>0.13100000000000001</v>
      </c>
      <c r="F63" s="14">
        <f t="shared" si="8"/>
        <v>0.57600000000000007</v>
      </c>
      <c r="G63" s="14">
        <v>0.42399999999999999</v>
      </c>
    </row>
    <row r="64" spans="2:7" x14ac:dyDescent="0.25">
      <c r="B64" s="8">
        <f t="shared" si="11"/>
        <v>173.64999999999998</v>
      </c>
      <c r="C64" s="12">
        <v>10.051439999999999</v>
      </c>
      <c r="D64" s="14">
        <f t="shared" si="7"/>
        <v>0.81</v>
      </c>
      <c r="E64" s="14">
        <v>0.19</v>
      </c>
      <c r="F64" s="14">
        <f t="shared" si="8"/>
        <v>0.58000000000000007</v>
      </c>
      <c r="G64" s="14">
        <v>0.42</v>
      </c>
    </row>
    <row r="65" spans="1:7" x14ac:dyDescent="0.25">
      <c r="B65" s="8">
        <f t="shared" si="11"/>
        <v>173.64999999999998</v>
      </c>
      <c r="C65" s="12">
        <v>10.335150000000001</v>
      </c>
      <c r="D65" s="14">
        <f t="shared" si="7"/>
        <v>0.79500000000000004</v>
      </c>
      <c r="E65" s="14">
        <v>0.20499999999999999</v>
      </c>
      <c r="F65" s="14">
        <f t="shared" si="8"/>
        <v>0.58899999999999997</v>
      </c>
      <c r="G65" s="14">
        <v>0.41099999999999998</v>
      </c>
    </row>
    <row r="66" spans="1:7" ht="15.75" thickBot="1" x14ac:dyDescent="0.3">
      <c r="A66" s="9"/>
      <c r="B66" s="9">
        <f t="shared" si="11"/>
        <v>173.64999999999998</v>
      </c>
      <c r="C66" s="15">
        <v>10.831642499999999</v>
      </c>
      <c r="D66" s="16">
        <f t="shared" si="7"/>
        <v>0.77500000000000002</v>
      </c>
      <c r="E66" s="16">
        <v>0.22500000000000001</v>
      </c>
      <c r="F66" s="16">
        <f t="shared" si="8"/>
        <v>0.59899999999999998</v>
      </c>
      <c r="G66" s="16">
        <v>0.40100000000000002</v>
      </c>
    </row>
    <row r="67" spans="1:7" x14ac:dyDescent="0.25">
      <c r="A67" s="18" t="s">
        <v>38</v>
      </c>
      <c r="B67" s="8">
        <v>92.3</v>
      </c>
      <c r="C67" s="8">
        <v>0.22</v>
      </c>
      <c r="D67" s="14">
        <v>0.99819999999999998</v>
      </c>
      <c r="E67" s="14">
        <v>1.8E-3</v>
      </c>
      <c r="F67" s="14">
        <v>9.1600000000000015E-2</v>
      </c>
      <c r="G67" s="14">
        <v>0.90839999999999999</v>
      </c>
    </row>
    <row r="68" spans="1:7" x14ac:dyDescent="0.25">
      <c r="B68" s="8">
        <v>92.3</v>
      </c>
      <c r="C68" s="8">
        <v>0.31</v>
      </c>
      <c r="D68" s="14">
        <v>0.99770000000000003</v>
      </c>
      <c r="E68" s="14">
        <v>2.3E-3</v>
      </c>
      <c r="F68" s="14">
        <v>7.4300000000000033E-2</v>
      </c>
      <c r="G68" s="14">
        <v>0.92569999999999997</v>
      </c>
    </row>
    <row r="69" spans="1:7" x14ac:dyDescent="0.25">
      <c r="B69" s="8">
        <v>92.3</v>
      </c>
      <c r="C69" s="8">
        <v>0.38</v>
      </c>
      <c r="D69" s="14">
        <v>0.99690000000000001</v>
      </c>
      <c r="E69" s="14">
        <v>3.0999999999999999E-3</v>
      </c>
      <c r="F69" s="14">
        <v>4.9100000000000033E-2</v>
      </c>
      <c r="G69" s="14">
        <v>0.95089999999999997</v>
      </c>
    </row>
    <row r="70" spans="1:7" x14ac:dyDescent="0.25">
      <c r="B70" s="8">
        <v>92.3</v>
      </c>
      <c r="C70" s="8">
        <v>0.45</v>
      </c>
      <c r="D70" s="14">
        <v>0.99650000000000005</v>
      </c>
      <c r="E70" s="14">
        <v>3.5000000000000001E-3</v>
      </c>
      <c r="F70" s="14">
        <v>4.390000000000005E-2</v>
      </c>
      <c r="G70" s="14">
        <v>0.95609999999999995</v>
      </c>
    </row>
    <row r="71" spans="1:7" x14ac:dyDescent="0.25">
      <c r="B71" s="8">
        <v>92.3</v>
      </c>
      <c r="C71" s="8">
        <v>0.52</v>
      </c>
      <c r="D71" s="14">
        <v>0.996</v>
      </c>
      <c r="E71" s="14">
        <v>4.0000000000000001E-3</v>
      </c>
      <c r="F71" s="14">
        <v>3.7499999999999978E-2</v>
      </c>
      <c r="G71" s="14">
        <v>0.96250000000000002</v>
      </c>
    </row>
    <row r="72" spans="1:7" x14ac:dyDescent="0.25">
      <c r="B72" s="8">
        <v>92.3</v>
      </c>
      <c r="C72" s="8">
        <v>0.59</v>
      </c>
      <c r="D72" s="14">
        <v>0.99560000000000004</v>
      </c>
      <c r="E72" s="14">
        <v>4.4000000000000003E-3</v>
      </c>
      <c r="F72" s="14">
        <v>3.2800000000000051E-2</v>
      </c>
      <c r="G72" s="14">
        <v>0.96719999999999995</v>
      </c>
    </row>
    <row r="73" spans="1:7" x14ac:dyDescent="0.25">
      <c r="B73" s="8">
        <v>92.3</v>
      </c>
      <c r="C73" s="8">
        <v>0.65</v>
      </c>
      <c r="D73" s="14">
        <v>0.995</v>
      </c>
      <c r="E73" s="14">
        <v>5.0000000000000001E-3</v>
      </c>
      <c r="F73" s="14">
        <v>2.7800000000000047E-2</v>
      </c>
      <c r="G73" s="14">
        <v>0.97219999999999995</v>
      </c>
    </row>
    <row r="74" spans="1:7" x14ac:dyDescent="0.25">
      <c r="B74" s="8">
        <v>92.3</v>
      </c>
      <c r="C74" s="8">
        <v>0.79</v>
      </c>
      <c r="D74" s="14">
        <v>0.99399999999999999</v>
      </c>
      <c r="E74" s="14">
        <v>6.0000000000000001E-3</v>
      </c>
      <c r="F74" s="14">
        <v>2.300000000000002E-2</v>
      </c>
      <c r="G74" s="14">
        <v>0.97699999999999998</v>
      </c>
    </row>
    <row r="75" spans="1:7" x14ac:dyDescent="0.25">
      <c r="B75" s="8">
        <v>92.3</v>
      </c>
      <c r="C75" s="8">
        <v>1.1399999999999999</v>
      </c>
      <c r="D75" s="14">
        <v>0.99150000000000005</v>
      </c>
      <c r="E75" s="14">
        <v>8.5000000000000006E-3</v>
      </c>
      <c r="F75" s="14">
        <v>1.7900000000000027E-2</v>
      </c>
      <c r="G75" s="14">
        <v>0.98209999999999997</v>
      </c>
    </row>
    <row r="76" spans="1:7" x14ac:dyDescent="0.25">
      <c r="B76" s="8">
        <v>92.3</v>
      </c>
      <c r="C76" s="8">
        <v>1.48</v>
      </c>
      <c r="D76" s="14">
        <v>0.98870000000000002</v>
      </c>
      <c r="E76" s="14">
        <v>1.1299999999999999E-2</v>
      </c>
      <c r="F76" s="14">
        <v>1.4299999999999979E-2</v>
      </c>
      <c r="G76" s="14">
        <v>0.98570000000000002</v>
      </c>
    </row>
    <row r="77" spans="1:7" x14ac:dyDescent="0.25">
      <c r="B77" s="8">
        <v>92.3</v>
      </c>
      <c r="C77" s="8">
        <v>1.83</v>
      </c>
      <c r="D77" s="14">
        <v>0.98599999999999999</v>
      </c>
      <c r="E77" s="14">
        <v>1.4E-2</v>
      </c>
      <c r="F77" s="14">
        <v>1.2499999999999956E-2</v>
      </c>
      <c r="G77" s="14">
        <v>0.98750000000000004</v>
      </c>
    </row>
    <row r="78" spans="1:7" x14ac:dyDescent="0.25">
      <c r="B78" s="8">
        <v>92.3</v>
      </c>
      <c r="C78" s="8">
        <v>2.1800000000000002</v>
      </c>
      <c r="D78" s="14">
        <v>0.98370000000000002</v>
      </c>
      <c r="E78" s="14">
        <v>1.6299999999999999E-2</v>
      </c>
      <c r="F78" s="14">
        <v>1.1199999999999988E-2</v>
      </c>
      <c r="G78" s="14">
        <v>0.98880000000000001</v>
      </c>
    </row>
    <row r="79" spans="1:7" x14ac:dyDescent="0.25">
      <c r="B79" s="8">
        <v>92.3</v>
      </c>
      <c r="C79" s="8">
        <v>2.87</v>
      </c>
      <c r="D79" s="14">
        <v>0.97909999999999997</v>
      </c>
      <c r="E79" s="14">
        <v>2.0899999999999998E-2</v>
      </c>
      <c r="F79" s="14">
        <v>9.6000000000000529E-3</v>
      </c>
      <c r="G79" s="14">
        <v>0.99039999999999995</v>
      </c>
    </row>
    <row r="80" spans="1:7" x14ac:dyDescent="0.25">
      <c r="B80" s="8">
        <v>92.3</v>
      </c>
      <c r="C80" s="8">
        <v>3.56</v>
      </c>
      <c r="D80" s="14">
        <v>0.97489999999999999</v>
      </c>
      <c r="E80" s="14">
        <v>2.5100000000000001E-2</v>
      </c>
      <c r="F80" s="14">
        <v>8.2999999999999741E-3</v>
      </c>
      <c r="G80" s="14">
        <v>0.99170000000000003</v>
      </c>
    </row>
    <row r="81" spans="2:7" x14ac:dyDescent="0.25">
      <c r="B81" s="8">
        <v>92.3</v>
      </c>
      <c r="C81" s="8">
        <v>4.22</v>
      </c>
      <c r="D81" s="14">
        <v>0.97070000000000001</v>
      </c>
      <c r="E81" s="14">
        <v>2.93E-2</v>
      </c>
    </row>
    <row r="82" spans="2:7" x14ac:dyDescent="0.25">
      <c r="B82" s="8">
        <v>92.3</v>
      </c>
      <c r="C82" s="8">
        <v>5.63</v>
      </c>
      <c r="D82" s="14">
        <v>0.96179999999999999</v>
      </c>
      <c r="E82" s="14">
        <v>3.8199999999999998E-2</v>
      </c>
      <c r="F82" s="14">
        <v>8.600000000000052E-3</v>
      </c>
      <c r="G82" s="14">
        <v>0.99139999999999995</v>
      </c>
    </row>
    <row r="83" spans="2:7" x14ac:dyDescent="0.25">
      <c r="B83" s="8">
        <v>92.3</v>
      </c>
      <c r="C83" s="8">
        <v>7.02</v>
      </c>
      <c r="D83" s="14">
        <v>0.95389999999999997</v>
      </c>
      <c r="E83" s="14">
        <v>4.6100000000000002E-2</v>
      </c>
      <c r="F83" s="14">
        <v>9.6000000000000529E-3</v>
      </c>
      <c r="G83" s="14">
        <v>0.99039999999999995</v>
      </c>
    </row>
    <row r="84" spans="2:7" x14ac:dyDescent="0.25">
      <c r="B84" s="8">
        <v>92.3</v>
      </c>
      <c r="C84" s="8">
        <v>10.42</v>
      </c>
      <c r="D84" s="14">
        <v>0.93530000000000002</v>
      </c>
      <c r="E84" s="14">
        <v>6.4699999999999994E-2</v>
      </c>
      <c r="F84" s="14">
        <v>1.0700000000000043E-2</v>
      </c>
      <c r="G84" s="14">
        <v>0.98929999999999996</v>
      </c>
    </row>
    <row r="85" spans="2:7" x14ac:dyDescent="0.25">
      <c r="B85" s="8">
        <v>92.3</v>
      </c>
      <c r="C85" s="8">
        <v>13.91</v>
      </c>
      <c r="D85" s="14">
        <v>0.91739999999999999</v>
      </c>
      <c r="E85" s="14">
        <v>8.2600000000000007E-2</v>
      </c>
      <c r="F85" s="14">
        <v>1.4000000000000012E-2</v>
      </c>
      <c r="G85" s="14">
        <v>0.98599999999999999</v>
      </c>
    </row>
    <row r="86" spans="2:7" x14ac:dyDescent="0.25">
      <c r="B86" s="8">
        <v>92.3</v>
      </c>
      <c r="C86" s="8">
        <v>17.47</v>
      </c>
      <c r="D86" s="14">
        <v>0.9012</v>
      </c>
      <c r="E86" s="14">
        <v>9.8799999999999999E-2</v>
      </c>
      <c r="F86" s="14">
        <v>1.7900000000000027E-2</v>
      </c>
      <c r="G86" s="14">
        <v>0.98209999999999997</v>
      </c>
    </row>
    <row r="87" spans="2:7" x14ac:dyDescent="0.25">
      <c r="B87" s="8">
        <v>92.3</v>
      </c>
      <c r="C87" s="8">
        <v>20.83</v>
      </c>
      <c r="D87" s="14">
        <v>0.88660000000000005</v>
      </c>
      <c r="E87" s="14">
        <v>0.1134</v>
      </c>
      <c r="F87" s="14">
        <v>2.090000000000003E-2</v>
      </c>
      <c r="G87" s="14">
        <v>0.97909999999999997</v>
      </c>
    </row>
    <row r="88" spans="2:7" x14ac:dyDescent="0.25">
      <c r="B88" s="8">
        <v>92.3</v>
      </c>
      <c r="C88" s="8">
        <v>27.87</v>
      </c>
      <c r="D88" s="14">
        <v>0.85840000000000005</v>
      </c>
      <c r="E88" s="14">
        <v>0.1416</v>
      </c>
      <c r="F88" s="14">
        <v>2.9299999999999993E-2</v>
      </c>
      <c r="G88" s="14">
        <v>0.97070000000000001</v>
      </c>
    </row>
    <row r="89" spans="2:7" x14ac:dyDescent="0.25">
      <c r="B89" s="8">
        <v>92.3</v>
      </c>
      <c r="C89" s="8">
        <v>41.56</v>
      </c>
      <c r="D89" s="14">
        <v>0.80740000000000001</v>
      </c>
      <c r="E89" s="14">
        <v>0.19259999999999999</v>
      </c>
      <c r="F89" s="14">
        <v>4.5399999999999996E-2</v>
      </c>
      <c r="G89" s="14">
        <v>0.9546</v>
      </c>
    </row>
    <row r="90" spans="2:7" x14ac:dyDescent="0.25">
      <c r="B90" s="8">
        <v>92.3</v>
      </c>
      <c r="C90" s="8">
        <v>55.26</v>
      </c>
      <c r="D90" s="14">
        <v>0.76069999999999993</v>
      </c>
      <c r="E90" s="14">
        <v>0.23930000000000001</v>
      </c>
      <c r="F90" s="14">
        <v>6.140000000000001E-2</v>
      </c>
      <c r="G90" s="14">
        <v>0.93859999999999999</v>
      </c>
    </row>
    <row r="91" spans="2:7" x14ac:dyDescent="0.25">
      <c r="B91" s="8">
        <v>92.3</v>
      </c>
      <c r="C91" s="8">
        <v>69.069999999999993</v>
      </c>
      <c r="D91" s="14">
        <v>0.71639999999999993</v>
      </c>
      <c r="E91" s="14">
        <v>0.28360000000000002</v>
      </c>
      <c r="F91" s="14">
        <v>7.669999999999999E-2</v>
      </c>
      <c r="G91" s="14">
        <v>0.92330000000000001</v>
      </c>
    </row>
    <row r="92" spans="2:7" x14ac:dyDescent="0.25">
      <c r="B92" s="8">
        <v>92.3</v>
      </c>
      <c r="C92" s="8">
        <v>82.96</v>
      </c>
      <c r="D92" s="14">
        <v>0.66999999999999993</v>
      </c>
      <c r="E92" s="14">
        <v>0.33</v>
      </c>
      <c r="F92" s="14">
        <v>0.10019999999999996</v>
      </c>
      <c r="G92" s="14">
        <v>0.89980000000000004</v>
      </c>
    </row>
    <row r="93" spans="2:7" x14ac:dyDescent="0.25">
      <c r="B93" s="8">
        <v>92.3</v>
      </c>
      <c r="C93" s="8">
        <v>97.01</v>
      </c>
      <c r="D93" s="14">
        <v>0.622</v>
      </c>
      <c r="E93" s="14">
        <v>0.378</v>
      </c>
      <c r="F93" s="14">
        <v>0.11919999999999997</v>
      </c>
      <c r="G93" s="14">
        <v>0.88080000000000003</v>
      </c>
    </row>
    <row r="94" spans="2:7" x14ac:dyDescent="0.25">
      <c r="B94" s="8">
        <v>92.3</v>
      </c>
      <c r="C94" s="8">
        <v>110.77</v>
      </c>
      <c r="D94" s="14">
        <v>0.56759999999999999</v>
      </c>
      <c r="E94" s="14">
        <v>0.43240000000000001</v>
      </c>
      <c r="F94" s="14">
        <v>0.14290000000000003</v>
      </c>
      <c r="G94" s="14">
        <v>0.85709999999999997</v>
      </c>
    </row>
    <row r="95" spans="2:7" x14ac:dyDescent="0.25">
      <c r="B95" s="8">
        <v>92.3</v>
      </c>
      <c r="C95" s="8">
        <v>125.08</v>
      </c>
      <c r="D95" s="14">
        <v>0.50330000000000008</v>
      </c>
      <c r="E95" s="14">
        <v>0.49669999999999997</v>
      </c>
      <c r="F95" s="14">
        <v>0.17359999999999998</v>
      </c>
      <c r="G95" s="14">
        <v>0.82640000000000002</v>
      </c>
    </row>
    <row r="96" spans="2:7" x14ac:dyDescent="0.25">
      <c r="B96" s="8">
        <v>92.3</v>
      </c>
      <c r="C96" s="8">
        <v>131.38</v>
      </c>
      <c r="D96" s="14">
        <v>0.46389999999999998</v>
      </c>
      <c r="E96" s="14">
        <v>0.53610000000000002</v>
      </c>
      <c r="F96" s="14">
        <v>0.20169999999999999</v>
      </c>
      <c r="G96" s="14">
        <v>0.79830000000000001</v>
      </c>
    </row>
    <row r="97" spans="2:7" x14ac:dyDescent="0.25">
      <c r="B97" s="8">
        <v>92.3</v>
      </c>
      <c r="C97" s="8">
        <v>134.58000000000001</v>
      </c>
      <c r="D97" s="14">
        <v>0.44089999999999996</v>
      </c>
      <c r="E97" s="14">
        <v>0.55910000000000004</v>
      </c>
      <c r="F97" s="14">
        <v>0.20820000000000005</v>
      </c>
      <c r="G97" s="14">
        <v>0.79179999999999995</v>
      </c>
    </row>
    <row r="98" spans="2:7" x14ac:dyDescent="0.25">
      <c r="B98" s="8">
        <v>92.3</v>
      </c>
      <c r="C98" s="8">
        <v>137.97999999999999</v>
      </c>
      <c r="D98" s="14">
        <v>0.41249999999999998</v>
      </c>
      <c r="E98" s="14">
        <v>0.58750000000000002</v>
      </c>
      <c r="F98" s="14">
        <v>0.24370000000000003</v>
      </c>
      <c r="G98" s="14">
        <v>0.75629999999999997</v>
      </c>
    </row>
    <row r="99" spans="2:7" x14ac:dyDescent="0.25">
      <c r="B99" s="8">
        <v>100</v>
      </c>
      <c r="C99" s="8">
        <v>0.51</v>
      </c>
      <c r="D99" s="14">
        <v>0.99590000000000001</v>
      </c>
      <c r="E99" s="14">
        <v>4.1000000000000003E-3</v>
      </c>
      <c r="F99" s="14">
        <v>8.2500000000000018E-2</v>
      </c>
      <c r="G99" s="14">
        <v>0.91749999999999998</v>
      </c>
    </row>
    <row r="100" spans="2:7" x14ac:dyDescent="0.25">
      <c r="B100" s="8">
        <v>100</v>
      </c>
      <c r="C100" s="8">
        <v>0.6</v>
      </c>
      <c r="D100" s="14">
        <v>0.995</v>
      </c>
      <c r="E100" s="14">
        <v>5.0000000000000001E-3</v>
      </c>
      <c r="F100" s="14">
        <v>7.1500000000000008E-2</v>
      </c>
      <c r="G100" s="14">
        <v>0.92849999999999999</v>
      </c>
    </row>
    <row r="101" spans="2:7" x14ac:dyDescent="0.25">
      <c r="B101" s="8">
        <v>100</v>
      </c>
      <c r="C101" s="8">
        <v>0.67</v>
      </c>
      <c r="D101" s="14">
        <v>0.99450000000000005</v>
      </c>
      <c r="E101" s="14">
        <v>5.4999999999999997E-3</v>
      </c>
      <c r="F101" s="14">
        <v>6.4200000000000035E-2</v>
      </c>
      <c r="G101" s="14">
        <v>0.93579999999999997</v>
      </c>
    </row>
    <row r="102" spans="2:7" x14ac:dyDescent="0.25">
      <c r="B102" s="8">
        <v>100</v>
      </c>
      <c r="C102" s="8">
        <v>0.77</v>
      </c>
      <c r="D102" s="14">
        <v>0.99370000000000003</v>
      </c>
      <c r="E102" s="14">
        <v>6.3E-3</v>
      </c>
      <c r="F102" s="14">
        <v>5.8000000000000052E-2</v>
      </c>
      <c r="G102" s="14">
        <v>0.94199999999999995</v>
      </c>
    </row>
    <row r="103" spans="2:7" x14ac:dyDescent="0.25">
      <c r="B103" s="8">
        <v>100</v>
      </c>
      <c r="C103" s="8">
        <v>1.1200000000000001</v>
      </c>
      <c r="D103" s="14">
        <v>0.99060000000000004</v>
      </c>
      <c r="E103" s="14">
        <v>9.4000000000000004E-3</v>
      </c>
    </row>
    <row r="104" spans="2:7" x14ac:dyDescent="0.25">
      <c r="B104" s="8">
        <v>100</v>
      </c>
      <c r="C104" s="8">
        <v>1.4</v>
      </c>
      <c r="D104" s="14">
        <v>0.98839999999999995</v>
      </c>
      <c r="E104" s="14">
        <v>1.1599999999999999E-2</v>
      </c>
      <c r="F104" s="14">
        <v>3.9300000000000002E-2</v>
      </c>
      <c r="G104" s="14">
        <v>0.9607</v>
      </c>
    </row>
    <row r="105" spans="2:7" x14ac:dyDescent="0.25">
      <c r="B105" s="8">
        <v>100</v>
      </c>
      <c r="C105" s="8">
        <v>1.67</v>
      </c>
      <c r="D105" s="14">
        <v>0.98599999999999999</v>
      </c>
      <c r="E105" s="14">
        <v>1.4E-2</v>
      </c>
      <c r="F105" s="14">
        <v>3.3299999999999996E-2</v>
      </c>
      <c r="G105" s="14">
        <v>0.9667</v>
      </c>
    </row>
    <row r="106" spans="2:7" x14ac:dyDescent="0.25">
      <c r="B106" s="8">
        <v>100</v>
      </c>
      <c r="C106" s="8">
        <v>1.96</v>
      </c>
      <c r="D106" s="14">
        <v>0.98370000000000002</v>
      </c>
      <c r="E106" s="14">
        <v>1.6299999999999999E-2</v>
      </c>
      <c r="F106" s="14">
        <v>2.8299999999999992E-2</v>
      </c>
      <c r="G106" s="14">
        <v>0.97170000000000001</v>
      </c>
    </row>
    <row r="107" spans="2:7" x14ac:dyDescent="0.25">
      <c r="B107" s="8">
        <v>100</v>
      </c>
      <c r="C107" s="8">
        <v>2.86</v>
      </c>
      <c r="D107" s="14">
        <v>0.97699999999999998</v>
      </c>
      <c r="E107" s="14">
        <v>2.3E-2</v>
      </c>
      <c r="F107" s="14">
        <v>2.4199999999999999E-2</v>
      </c>
      <c r="G107" s="14">
        <v>0.9758</v>
      </c>
    </row>
    <row r="108" spans="2:7" x14ac:dyDescent="0.25">
      <c r="B108" s="8">
        <v>100</v>
      </c>
      <c r="C108" s="8">
        <v>3.56</v>
      </c>
      <c r="D108" s="14">
        <v>0.97170000000000001</v>
      </c>
      <c r="E108" s="14">
        <v>2.8299999999999999E-2</v>
      </c>
      <c r="F108" s="14">
        <v>2.1399999999999975E-2</v>
      </c>
      <c r="G108" s="14">
        <v>0.97860000000000003</v>
      </c>
    </row>
    <row r="109" spans="2:7" x14ac:dyDescent="0.25">
      <c r="B109" s="8">
        <v>100</v>
      </c>
      <c r="C109" s="8">
        <v>4.2300000000000004</v>
      </c>
      <c r="D109" s="14">
        <v>0.96689999999999998</v>
      </c>
      <c r="E109" s="14">
        <v>3.3099999999999997E-2</v>
      </c>
      <c r="F109" s="14">
        <v>1.859999999999995E-2</v>
      </c>
      <c r="G109" s="14">
        <v>0.98140000000000005</v>
      </c>
    </row>
    <row r="110" spans="2:7" x14ac:dyDescent="0.25">
      <c r="B110" s="8">
        <v>100</v>
      </c>
      <c r="C110" s="8">
        <v>4.92</v>
      </c>
      <c r="D110" s="14">
        <v>0.96120000000000005</v>
      </c>
      <c r="E110" s="14">
        <v>3.8800000000000001E-2</v>
      </c>
      <c r="F110" s="14">
        <v>1.8100000000000005E-2</v>
      </c>
      <c r="G110" s="14">
        <v>0.9819</v>
      </c>
    </row>
    <row r="111" spans="2:7" x14ac:dyDescent="0.25">
      <c r="B111" s="8">
        <v>100</v>
      </c>
      <c r="C111" s="8">
        <v>5.63</v>
      </c>
      <c r="D111" s="14">
        <v>0.95640000000000003</v>
      </c>
      <c r="E111" s="14">
        <v>4.36E-2</v>
      </c>
      <c r="F111" s="14">
        <v>1.8100000000000005E-2</v>
      </c>
      <c r="G111" s="14">
        <v>0.9819</v>
      </c>
    </row>
    <row r="112" spans="2:7" x14ac:dyDescent="0.25">
      <c r="B112" s="8">
        <v>100</v>
      </c>
      <c r="C112" s="8">
        <v>7.04</v>
      </c>
      <c r="D112" s="14">
        <v>0.94699999999999995</v>
      </c>
      <c r="E112" s="14">
        <v>5.2999999999999999E-2</v>
      </c>
      <c r="F112" s="14">
        <v>1.7599999999999949E-2</v>
      </c>
      <c r="G112" s="14">
        <v>0.98240000000000005</v>
      </c>
    </row>
    <row r="113" spans="2:7" x14ac:dyDescent="0.25">
      <c r="B113" s="8">
        <v>100</v>
      </c>
      <c r="C113" s="8">
        <v>10.42</v>
      </c>
      <c r="D113" s="14">
        <v>0.92469999999999997</v>
      </c>
      <c r="E113" s="14">
        <v>7.5300000000000006E-2</v>
      </c>
      <c r="F113" s="14">
        <v>2.0399999999999974E-2</v>
      </c>
      <c r="G113" s="14">
        <v>0.97960000000000003</v>
      </c>
    </row>
    <row r="114" spans="2:7" x14ac:dyDescent="0.25">
      <c r="B114" s="8">
        <v>100</v>
      </c>
      <c r="C114" s="8">
        <v>13.94</v>
      </c>
      <c r="D114" s="14">
        <v>0.90349999999999997</v>
      </c>
      <c r="E114" s="14">
        <v>9.6500000000000002E-2</v>
      </c>
      <c r="F114" s="14">
        <v>2.5800000000000045E-2</v>
      </c>
      <c r="G114" s="14">
        <v>0.97419999999999995</v>
      </c>
    </row>
    <row r="115" spans="2:7" x14ac:dyDescent="0.25">
      <c r="B115" s="8">
        <v>100</v>
      </c>
      <c r="C115" s="8">
        <v>17.32</v>
      </c>
      <c r="D115" s="14">
        <v>0.88380000000000003</v>
      </c>
      <c r="E115" s="14">
        <v>0.1162</v>
      </c>
      <c r="F115" s="14">
        <v>2.9499999999999971E-2</v>
      </c>
      <c r="G115" s="14">
        <v>0.97050000000000003</v>
      </c>
    </row>
    <row r="116" spans="2:7" x14ac:dyDescent="0.25">
      <c r="B116" s="8">
        <v>100</v>
      </c>
      <c r="C116" s="8">
        <v>20.91</v>
      </c>
      <c r="D116" s="14">
        <v>0.86040000000000005</v>
      </c>
      <c r="E116" s="14">
        <v>0.1396</v>
      </c>
      <c r="F116" s="14">
        <v>3.400000000000003E-2</v>
      </c>
      <c r="G116" s="14">
        <v>0.96599999999999997</v>
      </c>
    </row>
    <row r="117" spans="2:7" x14ac:dyDescent="0.25">
      <c r="B117" s="8">
        <v>100</v>
      </c>
      <c r="C117" s="8">
        <v>24.35</v>
      </c>
      <c r="D117" s="14">
        <v>0.84209999999999996</v>
      </c>
      <c r="E117" s="14">
        <v>0.15790000000000001</v>
      </c>
      <c r="F117" s="14">
        <v>3.9300000000000002E-2</v>
      </c>
      <c r="G117" s="14">
        <v>0.9607</v>
      </c>
    </row>
    <row r="118" spans="2:7" x14ac:dyDescent="0.25">
      <c r="B118" s="8">
        <v>100</v>
      </c>
      <c r="C118" s="8">
        <v>27.71</v>
      </c>
      <c r="D118" s="14">
        <v>0.82450000000000001</v>
      </c>
      <c r="E118" s="14">
        <v>0.17549999999999999</v>
      </c>
      <c r="F118" s="14">
        <v>4.4699999999999962E-2</v>
      </c>
      <c r="G118" s="14">
        <v>0.95530000000000004</v>
      </c>
    </row>
    <row r="119" spans="2:7" x14ac:dyDescent="0.25">
      <c r="B119" s="8">
        <v>100</v>
      </c>
      <c r="C119" s="8">
        <v>41.74</v>
      </c>
      <c r="D119" s="14">
        <v>0.75509999999999999</v>
      </c>
      <c r="E119" s="14">
        <v>0.24490000000000001</v>
      </c>
      <c r="F119" s="14">
        <v>7.1999999999999953E-2</v>
      </c>
      <c r="G119" s="14">
        <v>0.92800000000000005</v>
      </c>
    </row>
    <row r="120" spans="2:7" x14ac:dyDescent="0.25">
      <c r="B120" s="8">
        <v>100</v>
      </c>
      <c r="C120" s="8">
        <v>55.37</v>
      </c>
      <c r="D120" s="14">
        <v>0.69199999999999995</v>
      </c>
      <c r="E120" s="14">
        <v>0.308</v>
      </c>
      <c r="F120" s="14">
        <v>9.8400000000000043E-2</v>
      </c>
      <c r="G120" s="14">
        <v>0.90159999999999996</v>
      </c>
    </row>
    <row r="121" spans="2:7" x14ac:dyDescent="0.25">
      <c r="B121" s="8">
        <v>100</v>
      </c>
      <c r="C121" s="8">
        <v>68.95</v>
      </c>
      <c r="D121" s="14">
        <v>0.61870000000000003</v>
      </c>
      <c r="E121" s="14">
        <v>0.38129999999999997</v>
      </c>
      <c r="F121" s="14">
        <v>0.12670000000000003</v>
      </c>
      <c r="G121" s="14">
        <v>0.87329999999999997</v>
      </c>
    </row>
    <row r="122" spans="2:7" x14ac:dyDescent="0.25">
      <c r="B122" s="8">
        <v>100</v>
      </c>
      <c r="C122" s="8">
        <v>82.44</v>
      </c>
      <c r="D122" s="14">
        <v>0.5363</v>
      </c>
      <c r="E122" s="14">
        <v>0.4637</v>
      </c>
      <c r="F122" s="14">
        <v>0.1673</v>
      </c>
      <c r="G122" s="14">
        <v>0.8327</v>
      </c>
    </row>
    <row r="123" spans="2:7" x14ac:dyDescent="0.25">
      <c r="B123" s="8">
        <v>100</v>
      </c>
      <c r="C123" s="8">
        <v>89.78</v>
      </c>
      <c r="D123" s="14">
        <v>0.46760000000000002</v>
      </c>
      <c r="E123" s="14">
        <v>0.53239999999999998</v>
      </c>
      <c r="F123" s="14">
        <v>0.19630000000000003</v>
      </c>
      <c r="G123" s="14">
        <v>0.80369999999999997</v>
      </c>
    </row>
    <row r="124" spans="2:7" x14ac:dyDescent="0.25">
      <c r="B124" s="8">
        <v>100</v>
      </c>
      <c r="C124" s="8">
        <v>93.17</v>
      </c>
      <c r="D124" s="14">
        <v>0.42230000000000001</v>
      </c>
      <c r="E124" s="14">
        <v>0.57769999999999999</v>
      </c>
      <c r="F124" s="14">
        <v>0.24260000000000004</v>
      </c>
      <c r="G124" s="14">
        <v>0.75739999999999996</v>
      </c>
    </row>
    <row r="125" spans="2:7" x14ac:dyDescent="0.25">
      <c r="B125" s="8">
        <v>100</v>
      </c>
      <c r="C125" s="8">
        <v>94.58</v>
      </c>
      <c r="D125" s="14">
        <v>0.38970000000000005</v>
      </c>
      <c r="E125" s="14">
        <v>0.61029999999999995</v>
      </c>
      <c r="F125" s="14">
        <v>0.26039999999999996</v>
      </c>
      <c r="G125" s="14">
        <v>0.73960000000000004</v>
      </c>
    </row>
    <row r="126" spans="2:7" x14ac:dyDescent="0.25">
      <c r="B126" s="8">
        <v>100</v>
      </c>
      <c r="C126" s="8">
        <v>95.61</v>
      </c>
      <c r="F126" s="14">
        <v>0.29039999999999999</v>
      </c>
      <c r="G126" s="14">
        <v>0.70960000000000001</v>
      </c>
    </row>
    <row r="127" spans="2:7" x14ac:dyDescent="0.25">
      <c r="B127" s="8">
        <v>110</v>
      </c>
      <c r="C127" s="8">
        <v>0.34</v>
      </c>
      <c r="D127" s="14">
        <v>0.99790000000000001</v>
      </c>
      <c r="E127" s="14">
        <v>2.0999999999999999E-3</v>
      </c>
      <c r="F127" s="14">
        <v>0.27480000000000004</v>
      </c>
      <c r="G127" s="14">
        <v>0.72519999999999996</v>
      </c>
    </row>
    <row r="128" spans="2:7" x14ac:dyDescent="0.25">
      <c r="B128" s="8">
        <v>110</v>
      </c>
      <c r="C128" s="8">
        <v>0.45</v>
      </c>
      <c r="D128" s="14">
        <v>0.99680000000000002</v>
      </c>
      <c r="E128" s="14">
        <v>3.2000000000000002E-3</v>
      </c>
      <c r="F128" s="14">
        <v>0.16449999999999998</v>
      </c>
      <c r="G128" s="14">
        <v>0.83550000000000002</v>
      </c>
    </row>
    <row r="129" spans="2:7" x14ac:dyDescent="0.25">
      <c r="B129" s="8">
        <v>110</v>
      </c>
      <c r="C129" s="8">
        <v>0.56000000000000005</v>
      </c>
      <c r="F129" s="14">
        <v>0.1351</v>
      </c>
      <c r="G129" s="14">
        <v>0.8649</v>
      </c>
    </row>
    <row r="130" spans="2:7" x14ac:dyDescent="0.25">
      <c r="B130" s="8">
        <v>110</v>
      </c>
      <c r="C130" s="8">
        <v>0.57999999999999996</v>
      </c>
      <c r="D130" s="14">
        <v>0.99539999999999995</v>
      </c>
      <c r="E130" s="14">
        <v>4.5999999999999999E-3</v>
      </c>
    </row>
    <row r="131" spans="2:7" x14ac:dyDescent="0.25">
      <c r="B131" s="8">
        <v>110</v>
      </c>
      <c r="C131" s="8">
        <v>0.78</v>
      </c>
      <c r="D131" s="14">
        <v>0.99319999999999997</v>
      </c>
      <c r="E131" s="14">
        <v>6.7999999999999996E-3</v>
      </c>
      <c r="F131" s="14">
        <v>0.11329999999999996</v>
      </c>
      <c r="G131" s="14">
        <v>0.88670000000000004</v>
      </c>
    </row>
    <row r="132" spans="2:7" x14ac:dyDescent="0.25">
      <c r="B132" s="8">
        <v>110</v>
      </c>
      <c r="C132" s="8">
        <v>1.1100000000000001</v>
      </c>
      <c r="D132" s="14">
        <v>0.99039999999999995</v>
      </c>
      <c r="E132" s="14">
        <v>9.5999999999999992E-3</v>
      </c>
      <c r="F132" s="14">
        <v>0.10419999999999996</v>
      </c>
      <c r="G132" s="14">
        <v>0.89580000000000004</v>
      </c>
    </row>
    <row r="133" spans="2:7" x14ac:dyDescent="0.25">
      <c r="B133" s="8">
        <v>110</v>
      </c>
      <c r="C133" s="8">
        <v>1.49</v>
      </c>
      <c r="D133" s="14">
        <v>0.98640000000000005</v>
      </c>
      <c r="E133" s="14">
        <v>1.3599999999999999E-2</v>
      </c>
      <c r="F133" s="14">
        <v>7.7200000000000046E-2</v>
      </c>
      <c r="G133" s="14">
        <v>0.92279999999999995</v>
      </c>
    </row>
    <row r="134" spans="2:7" x14ac:dyDescent="0.25">
      <c r="B134" s="8">
        <v>110</v>
      </c>
      <c r="C134" s="8">
        <v>1.83</v>
      </c>
      <c r="D134" s="14">
        <v>0.98350000000000004</v>
      </c>
      <c r="E134" s="14">
        <v>1.6500000000000001E-2</v>
      </c>
      <c r="F134" s="14">
        <v>6.9200000000000039E-2</v>
      </c>
      <c r="G134" s="14">
        <v>0.93079999999999996</v>
      </c>
    </row>
    <row r="135" spans="2:7" x14ac:dyDescent="0.25">
      <c r="B135" s="8">
        <v>110</v>
      </c>
      <c r="C135" s="8">
        <v>2.1800000000000002</v>
      </c>
      <c r="D135" s="14">
        <v>0.98019999999999996</v>
      </c>
      <c r="E135" s="14">
        <v>1.9800000000000002E-2</v>
      </c>
      <c r="F135" s="14">
        <v>6.0899999999999954E-2</v>
      </c>
      <c r="G135" s="14">
        <v>0.93910000000000005</v>
      </c>
    </row>
    <row r="136" spans="2:7" x14ac:dyDescent="0.25">
      <c r="B136" s="8">
        <v>110</v>
      </c>
      <c r="C136" s="8">
        <v>2.82</v>
      </c>
      <c r="D136" s="14">
        <v>0.9748</v>
      </c>
      <c r="E136" s="14">
        <v>2.52E-2</v>
      </c>
      <c r="F136" s="14">
        <v>5.149999999999999E-2</v>
      </c>
      <c r="G136" s="14">
        <v>0.94850000000000001</v>
      </c>
    </row>
    <row r="137" spans="2:7" x14ac:dyDescent="0.25">
      <c r="B137" s="8">
        <v>110</v>
      </c>
      <c r="C137" s="8">
        <v>3.56</v>
      </c>
      <c r="D137" s="14">
        <v>0.96819999999999995</v>
      </c>
      <c r="E137" s="14">
        <v>3.1800000000000002E-2</v>
      </c>
      <c r="F137" s="14">
        <v>4.5900000000000052E-2</v>
      </c>
      <c r="G137" s="14">
        <v>0.95409999999999995</v>
      </c>
    </row>
    <row r="138" spans="2:7" x14ac:dyDescent="0.25">
      <c r="B138" s="8">
        <v>110</v>
      </c>
      <c r="C138" s="8">
        <v>4.9800000000000004</v>
      </c>
      <c r="D138" s="14">
        <v>0.95579999999999998</v>
      </c>
      <c r="E138" s="14">
        <v>4.4200000000000003E-2</v>
      </c>
      <c r="F138" s="14">
        <v>3.9300000000000002E-2</v>
      </c>
      <c r="G138" s="14">
        <v>0.9607</v>
      </c>
    </row>
    <row r="139" spans="2:7" x14ac:dyDescent="0.25">
      <c r="B139" s="8">
        <v>110</v>
      </c>
      <c r="C139" s="8">
        <v>6.37</v>
      </c>
      <c r="D139" s="14">
        <v>0.94440000000000002</v>
      </c>
      <c r="E139" s="14">
        <v>5.5599999999999997E-2</v>
      </c>
    </row>
    <row r="140" spans="2:7" x14ac:dyDescent="0.25">
      <c r="B140" s="8">
        <v>110</v>
      </c>
      <c r="C140" s="8">
        <v>7.78</v>
      </c>
      <c r="D140" s="14">
        <v>0.93279999999999996</v>
      </c>
      <c r="E140" s="14">
        <v>6.7199999999999996E-2</v>
      </c>
      <c r="F140" s="14">
        <v>3.6800000000000055E-2</v>
      </c>
      <c r="G140" s="14">
        <v>0.96319999999999995</v>
      </c>
    </row>
    <row r="141" spans="2:7" x14ac:dyDescent="0.25">
      <c r="B141" s="8">
        <v>110</v>
      </c>
      <c r="C141" s="8">
        <v>9.07</v>
      </c>
      <c r="D141" s="14">
        <v>0.92200000000000004</v>
      </c>
      <c r="E141" s="14">
        <v>7.8E-2</v>
      </c>
      <c r="F141" s="14">
        <v>3.6800000000000055E-2</v>
      </c>
      <c r="G141" s="14">
        <v>0.96319999999999995</v>
      </c>
    </row>
    <row r="142" spans="2:7" x14ac:dyDescent="0.25">
      <c r="B142" s="8">
        <v>110</v>
      </c>
      <c r="C142" s="8">
        <v>13.97</v>
      </c>
      <c r="D142" s="14">
        <v>0.88470000000000004</v>
      </c>
      <c r="E142" s="14">
        <v>0.1153</v>
      </c>
      <c r="F142" s="14">
        <v>4.0699999999999958E-2</v>
      </c>
      <c r="G142" s="14">
        <v>0.95930000000000004</v>
      </c>
    </row>
    <row r="143" spans="2:7" x14ac:dyDescent="0.25">
      <c r="B143" s="8">
        <v>110</v>
      </c>
      <c r="C143" s="8">
        <v>17.34</v>
      </c>
      <c r="D143" s="14">
        <v>0.85830000000000006</v>
      </c>
      <c r="E143" s="14">
        <v>0.14169999999999999</v>
      </c>
      <c r="F143" s="14">
        <v>5.0300000000000011E-2</v>
      </c>
      <c r="G143" s="14">
        <v>0.94969999999999999</v>
      </c>
    </row>
    <row r="144" spans="2:7" x14ac:dyDescent="0.25">
      <c r="B144" s="8">
        <v>110</v>
      </c>
      <c r="C144" s="8">
        <v>20.86</v>
      </c>
      <c r="D144" s="14">
        <v>0.83160000000000001</v>
      </c>
      <c r="E144" s="14">
        <v>0.16839999999999999</v>
      </c>
      <c r="F144" s="14">
        <v>5.8000000000000052E-2</v>
      </c>
      <c r="G144" s="14">
        <v>0.94199999999999995</v>
      </c>
    </row>
    <row r="145" spans="2:7" x14ac:dyDescent="0.25">
      <c r="B145" s="8">
        <v>110</v>
      </c>
      <c r="C145" s="8">
        <v>27.64</v>
      </c>
      <c r="D145" s="14">
        <v>0.78359999999999996</v>
      </c>
      <c r="E145" s="14">
        <v>0.21640000000000001</v>
      </c>
      <c r="F145" s="14">
        <v>7.3599999999999999E-2</v>
      </c>
      <c r="G145" s="14">
        <v>0.9264</v>
      </c>
    </row>
    <row r="146" spans="2:7" x14ac:dyDescent="0.25">
      <c r="B146" s="8">
        <v>110</v>
      </c>
      <c r="C146" s="8">
        <v>34.700000000000003</v>
      </c>
      <c r="D146" s="14">
        <v>0.73259999999999992</v>
      </c>
      <c r="E146" s="14">
        <v>0.26740000000000003</v>
      </c>
      <c r="F146" s="14">
        <v>9.4999999999999973E-2</v>
      </c>
      <c r="G146" s="14">
        <v>0.90500000000000003</v>
      </c>
    </row>
    <row r="147" spans="2:7" x14ac:dyDescent="0.25">
      <c r="B147" s="8">
        <v>110</v>
      </c>
      <c r="C147" s="8">
        <v>41.54</v>
      </c>
      <c r="D147" s="14">
        <v>0.68480000000000008</v>
      </c>
      <c r="E147" s="14">
        <v>0.31519999999999998</v>
      </c>
      <c r="F147" s="14">
        <v>0.11629999999999996</v>
      </c>
      <c r="G147" s="14">
        <v>0.88370000000000004</v>
      </c>
    </row>
    <row r="148" spans="2:7" x14ac:dyDescent="0.25">
      <c r="B148" s="8">
        <v>110</v>
      </c>
      <c r="C148" s="8">
        <v>44.89</v>
      </c>
      <c r="D148" s="14">
        <v>0.65870000000000006</v>
      </c>
      <c r="E148" s="14">
        <v>0.34129999999999999</v>
      </c>
      <c r="F148" s="14">
        <v>0.13100000000000001</v>
      </c>
      <c r="G148" s="14">
        <v>0.86899999999999999</v>
      </c>
    </row>
    <row r="149" spans="2:7" x14ac:dyDescent="0.25">
      <c r="B149" s="8">
        <v>110</v>
      </c>
      <c r="C149" s="8">
        <v>48.31</v>
      </c>
      <c r="D149" s="14">
        <v>0.62969999999999993</v>
      </c>
      <c r="E149" s="14">
        <v>0.37030000000000002</v>
      </c>
      <c r="F149" s="14">
        <v>0.14949999999999997</v>
      </c>
      <c r="G149" s="14">
        <v>0.85050000000000003</v>
      </c>
    </row>
    <row r="150" spans="2:7" x14ac:dyDescent="0.25">
      <c r="B150" s="8">
        <v>110</v>
      </c>
      <c r="C150" s="8">
        <v>48.86</v>
      </c>
      <c r="D150" s="14">
        <v>0.62450000000000006</v>
      </c>
      <c r="E150" s="14">
        <v>0.3755</v>
      </c>
      <c r="F150" s="14">
        <v>0.14910000000000001</v>
      </c>
      <c r="G150" s="14">
        <v>0.85089999999999999</v>
      </c>
    </row>
    <row r="151" spans="2:7" x14ac:dyDescent="0.25">
      <c r="B151" s="8">
        <v>110</v>
      </c>
      <c r="C151" s="8">
        <v>51.86</v>
      </c>
      <c r="D151" s="14">
        <v>0.5988</v>
      </c>
      <c r="E151" s="14">
        <v>0.4012</v>
      </c>
      <c r="F151" s="14">
        <v>0.16749999999999998</v>
      </c>
      <c r="G151" s="14">
        <v>0.83250000000000002</v>
      </c>
    </row>
    <row r="152" spans="2:7" x14ac:dyDescent="0.25">
      <c r="B152" s="8">
        <v>110</v>
      </c>
      <c r="C152" s="8">
        <v>53.2</v>
      </c>
      <c r="D152" s="14">
        <v>0.58550000000000002</v>
      </c>
      <c r="E152" s="14">
        <v>0.41449999999999998</v>
      </c>
      <c r="F152" s="14">
        <v>0.17710000000000004</v>
      </c>
      <c r="G152" s="14">
        <v>0.82289999999999996</v>
      </c>
    </row>
    <row r="153" spans="2:7" x14ac:dyDescent="0.25">
      <c r="B153" s="8">
        <v>110</v>
      </c>
      <c r="C153" s="8">
        <v>55.29</v>
      </c>
      <c r="D153" s="14">
        <v>0.56390000000000007</v>
      </c>
      <c r="E153" s="14">
        <v>0.43609999999999999</v>
      </c>
      <c r="F153" s="14">
        <v>0.18189999999999995</v>
      </c>
      <c r="G153" s="14">
        <v>0.81810000000000005</v>
      </c>
    </row>
    <row r="154" spans="2:7" x14ac:dyDescent="0.25">
      <c r="B154" s="8">
        <v>110</v>
      </c>
      <c r="C154" s="8">
        <v>55.39</v>
      </c>
      <c r="D154" s="14">
        <v>0.56279999999999997</v>
      </c>
      <c r="E154" s="14">
        <v>0.43719999999999998</v>
      </c>
      <c r="F154" s="14">
        <v>0.18920000000000003</v>
      </c>
      <c r="G154" s="14">
        <v>0.81079999999999997</v>
      </c>
    </row>
    <row r="155" spans="2:7" x14ac:dyDescent="0.25">
      <c r="B155" s="8">
        <v>110</v>
      </c>
      <c r="C155" s="8">
        <v>57.32</v>
      </c>
      <c r="D155" s="14">
        <v>0.54079999999999995</v>
      </c>
      <c r="E155" s="14">
        <v>0.4592</v>
      </c>
      <c r="F155" s="14">
        <v>0.19830000000000003</v>
      </c>
      <c r="G155" s="14">
        <v>0.80169999999999997</v>
      </c>
    </row>
    <row r="156" spans="2:7" x14ac:dyDescent="0.25">
      <c r="B156" s="8">
        <v>110</v>
      </c>
      <c r="C156" s="8">
        <v>58.85</v>
      </c>
      <c r="D156" s="14">
        <v>0.5232</v>
      </c>
      <c r="E156" s="14">
        <v>0.4768</v>
      </c>
      <c r="F156" s="14">
        <v>0.20269999999999999</v>
      </c>
      <c r="G156" s="14">
        <v>0.79730000000000001</v>
      </c>
    </row>
    <row r="157" spans="2:7" x14ac:dyDescent="0.25">
      <c r="B157" s="8">
        <v>110</v>
      </c>
      <c r="C157" s="8">
        <v>62.28</v>
      </c>
      <c r="D157" s="14">
        <v>0.45999999999999996</v>
      </c>
      <c r="E157" s="14">
        <v>0.54</v>
      </c>
      <c r="F157" s="14">
        <v>0.23660000000000003</v>
      </c>
      <c r="G157" s="14">
        <v>0.76339999999999997</v>
      </c>
    </row>
    <row r="158" spans="2:7" x14ac:dyDescent="0.25">
      <c r="B158" s="8">
        <v>110</v>
      </c>
      <c r="C158" s="8">
        <v>63.58</v>
      </c>
      <c r="D158" s="14">
        <v>0.41700000000000004</v>
      </c>
      <c r="E158" s="14">
        <v>0.58299999999999996</v>
      </c>
      <c r="F158" s="14">
        <v>0.29469999999999996</v>
      </c>
      <c r="G158" s="14">
        <v>0.70530000000000004</v>
      </c>
    </row>
    <row r="159" spans="2:7" x14ac:dyDescent="0.25">
      <c r="B159" s="8">
        <v>110</v>
      </c>
      <c r="C159" s="8">
        <v>63.9</v>
      </c>
      <c r="D159" s="14">
        <v>0.39349999999999996</v>
      </c>
      <c r="E159" s="14">
        <v>0.60650000000000004</v>
      </c>
      <c r="F159" s="14">
        <v>0.30979999999999996</v>
      </c>
      <c r="G159" s="14">
        <v>0.69020000000000004</v>
      </c>
    </row>
    <row r="160" spans="2:7" x14ac:dyDescent="0.25">
      <c r="B160" s="8">
        <v>120</v>
      </c>
      <c r="C160" s="8">
        <v>0.79</v>
      </c>
      <c r="D160" s="14">
        <v>0.99380000000000002</v>
      </c>
      <c r="E160" s="14">
        <v>6.1999999999999998E-3</v>
      </c>
      <c r="F160" s="14">
        <v>0.28220000000000001</v>
      </c>
      <c r="G160" s="14">
        <v>0.71779999999999999</v>
      </c>
    </row>
    <row r="161" spans="2:7" x14ac:dyDescent="0.25">
      <c r="B161" s="8">
        <v>120</v>
      </c>
      <c r="C161" s="8">
        <v>1.1299999999999999</v>
      </c>
      <c r="D161" s="14">
        <v>0.9899</v>
      </c>
      <c r="E161" s="14">
        <v>1.01E-2</v>
      </c>
      <c r="F161" s="14">
        <v>0.2107</v>
      </c>
      <c r="G161" s="14">
        <v>0.7893</v>
      </c>
    </row>
    <row r="162" spans="2:7" x14ac:dyDescent="0.25">
      <c r="B162" s="8">
        <v>120</v>
      </c>
      <c r="C162" s="8">
        <v>1.51</v>
      </c>
      <c r="D162" s="14">
        <v>0.98619999999999997</v>
      </c>
      <c r="E162" s="14">
        <v>1.38E-2</v>
      </c>
      <c r="F162" s="14">
        <v>0.17000000000000004</v>
      </c>
      <c r="G162" s="14">
        <v>0.83</v>
      </c>
    </row>
    <row r="163" spans="2:7" x14ac:dyDescent="0.25">
      <c r="B163" s="8">
        <v>120</v>
      </c>
      <c r="C163" s="8">
        <v>2.1800000000000002</v>
      </c>
      <c r="D163" s="14">
        <v>0.97940000000000005</v>
      </c>
      <c r="E163" s="14">
        <v>2.06E-2</v>
      </c>
      <c r="F163" s="14">
        <v>0.12590000000000001</v>
      </c>
      <c r="G163" s="14">
        <v>0.87409999999999999</v>
      </c>
    </row>
    <row r="164" spans="2:7" x14ac:dyDescent="0.25">
      <c r="B164" s="8">
        <v>120</v>
      </c>
      <c r="C164" s="8">
        <v>3.58</v>
      </c>
      <c r="D164" s="14">
        <v>0.96550000000000002</v>
      </c>
      <c r="E164" s="14">
        <v>3.4500000000000003E-2</v>
      </c>
      <c r="F164" s="14">
        <v>8.9600000000000013E-2</v>
      </c>
      <c r="G164" s="14">
        <v>0.91039999999999999</v>
      </c>
    </row>
    <row r="165" spans="2:7" x14ac:dyDescent="0.25">
      <c r="B165" s="8">
        <v>120</v>
      </c>
      <c r="C165" s="8">
        <v>5.65</v>
      </c>
      <c r="D165" s="14">
        <v>0.94510000000000005</v>
      </c>
      <c r="E165" s="14">
        <v>5.4899999999999997E-2</v>
      </c>
      <c r="F165" s="14">
        <v>7.1999999999999953E-2</v>
      </c>
      <c r="G165" s="14">
        <v>0.92800000000000005</v>
      </c>
    </row>
    <row r="166" spans="2:7" x14ac:dyDescent="0.25">
      <c r="B166" s="8">
        <v>120</v>
      </c>
      <c r="C166" s="8">
        <v>7.2</v>
      </c>
      <c r="D166" s="14">
        <v>0.92979999999999996</v>
      </c>
      <c r="E166" s="14">
        <v>7.0199999999999999E-2</v>
      </c>
      <c r="F166" s="14">
        <v>6.7500000000000004E-2</v>
      </c>
      <c r="G166" s="14">
        <v>0.9325</v>
      </c>
    </row>
    <row r="167" spans="2:7" x14ac:dyDescent="0.25">
      <c r="B167" s="8">
        <v>120</v>
      </c>
      <c r="C167" s="8">
        <v>9.5399999999999991</v>
      </c>
      <c r="D167" s="14">
        <v>0.90579999999999994</v>
      </c>
      <c r="E167" s="14">
        <v>9.4200000000000006E-2</v>
      </c>
      <c r="F167" s="14">
        <v>6.8500000000000005E-2</v>
      </c>
      <c r="G167" s="14">
        <v>0.93149999999999999</v>
      </c>
    </row>
    <row r="168" spans="2:7" x14ac:dyDescent="0.25">
      <c r="B168" s="8">
        <v>120</v>
      </c>
      <c r="C168" s="8">
        <v>12.22</v>
      </c>
      <c r="D168" s="14">
        <v>0.87960000000000005</v>
      </c>
      <c r="E168" s="14">
        <v>0.12039999999999999</v>
      </c>
      <c r="F168" s="14">
        <v>6.4899999999999958E-2</v>
      </c>
      <c r="G168" s="14">
        <v>0.93510000000000004</v>
      </c>
    </row>
    <row r="169" spans="2:7" x14ac:dyDescent="0.25">
      <c r="B169" s="8">
        <v>120</v>
      </c>
      <c r="C169" s="8">
        <v>13.95</v>
      </c>
      <c r="D169" s="14">
        <v>0.86380000000000001</v>
      </c>
      <c r="E169" s="14">
        <v>0.13619999999999999</v>
      </c>
      <c r="F169" s="14">
        <v>7.0799999999999974E-2</v>
      </c>
      <c r="G169" s="14">
        <v>0.92920000000000003</v>
      </c>
    </row>
    <row r="170" spans="2:7" x14ac:dyDescent="0.25">
      <c r="B170" s="8">
        <v>120</v>
      </c>
      <c r="C170" s="8">
        <v>17.53</v>
      </c>
      <c r="D170" s="14">
        <v>0.82899999999999996</v>
      </c>
      <c r="E170" s="14">
        <v>0.17100000000000001</v>
      </c>
      <c r="F170" s="14">
        <v>8.1799999999999984E-2</v>
      </c>
      <c r="G170" s="14">
        <v>0.91820000000000002</v>
      </c>
    </row>
    <row r="171" spans="2:7" x14ac:dyDescent="0.25">
      <c r="B171" s="8">
        <v>120</v>
      </c>
      <c r="C171" s="8">
        <v>20.94</v>
      </c>
      <c r="D171" s="14">
        <v>0.79730000000000001</v>
      </c>
      <c r="E171" s="14">
        <v>0.20269999999999999</v>
      </c>
      <c r="F171" s="14">
        <v>8.9600000000000013E-2</v>
      </c>
      <c r="G171" s="14">
        <v>0.91039999999999999</v>
      </c>
    </row>
    <row r="172" spans="2:7" x14ac:dyDescent="0.25">
      <c r="B172" s="8">
        <v>120</v>
      </c>
      <c r="C172" s="8">
        <v>24.21</v>
      </c>
      <c r="D172" s="14">
        <v>0.76680000000000004</v>
      </c>
      <c r="E172" s="14">
        <v>0.23319999999999999</v>
      </c>
      <c r="F172" s="14">
        <v>0.1018</v>
      </c>
      <c r="G172" s="14">
        <v>0.8982</v>
      </c>
    </row>
    <row r="173" spans="2:7" x14ac:dyDescent="0.25">
      <c r="B173" s="8">
        <v>120</v>
      </c>
      <c r="C173" s="8">
        <v>27.82</v>
      </c>
      <c r="D173" s="14">
        <v>0.73070000000000002</v>
      </c>
      <c r="E173" s="14">
        <v>0.26929999999999998</v>
      </c>
      <c r="F173" s="14">
        <v>0.11219999999999997</v>
      </c>
      <c r="G173" s="14">
        <v>0.88780000000000003</v>
      </c>
    </row>
    <row r="174" spans="2:7" x14ac:dyDescent="0.25">
      <c r="B174" s="8">
        <v>120</v>
      </c>
      <c r="C174" s="8">
        <v>31.29</v>
      </c>
      <c r="D174" s="14">
        <v>0.69690000000000007</v>
      </c>
      <c r="E174" s="14">
        <v>0.30309999999999998</v>
      </c>
      <c r="F174" s="14">
        <v>0.13149999999999995</v>
      </c>
      <c r="G174" s="14">
        <v>0.86850000000000005</v>
      </c>
    </row>
    <row r="175" spans="2:7" x14ac:dyDescent="0.25">
      <c r="B175" s="8">
        <v>120</v>
      </c>
      <c r="C175" s="8">
        <v>34.58</v>
      </c>
      <c r="D175" s="14">
        <v>0.66159999999999997</v>
      </c>
      <c r="E175" s="14">
        <v>0.33839999999999998</v>
      </c>
      <c r="F175" s="14">
        <v>0.15629999999999999</v>
      </c>
      <c r="G175" s="14">
        <v>0.84370000000000001</v>
      </c>
    </row>
    <row r="176" spans="2:7" x14ac:dyDescent="0.25">
      <c r="B176" s="8">
        <v>120</v>
      </c>
      <c r="C176" s="8">
        <v>38.17</v>
      </c>
      <c r="D176" s="14">
        <v>0.61809999999999998</v>
      </c>
      <c r="E176" s="14">
        <v>0.38190000000000002</v>
      </c>
      <c r="F176" s="14">
        <v>0.16749999999999998</v>
      </c>
      <c r="G176" s="14">
        <v>0.83250000000000002</v>
      </c>
    </row>
    <row r="177" spans="2:7" x14ac:dyDescent="0.25">
      <c r="B177" s="8">
        <v>120</v>
      </c>
      <c r="C177" s="8">
        <v>42.51</v>
      </c>
      <c r="D177" s="14">
        <v>0.57069999999999999</v>
      </c>
      <c r="E177" s="14">
        <v>0.42930000000000001</v>
      </c>
      <c r="F177" s="14">
        <v>0.19650000000000001</v>
      </c>
      <c r="G177" s="14">
        <v>0.80349999999999999</v>
      </c>
    </row>
    <row r="178" spans="2:7" x14ac:dyDescent="0.25">
      <c r="B178" s="8">
        <v>120</v>
      </c>
      <c r="C178" s="8">
        <v>43.51</v>
      </c>
      <c r="D178" s="14">
        <v>0.53489999999999993</v>
      </c>
      <c r="E178" s="14">
        <v>0.46510000000000001</v>
      </c>
      <c r="F178" s="14">
        <v>0.21609999999999996</v>
      </c>
      <c r="G178" s="14">
        <v>0.78390000000000004</v>
      </c>
    </row>
    <row r="179" spans="2:7" x14ac:dyDescent="0.25">
      <c r="B179" s="8">
        <v>120</v>
      </c>
      <c r="C179" s="8">
        <v>44.87</v>
      </c>
      <c r="D179" s="14">
        <v>0.50370000000000004</v>
      </c>
      <c r="E179" s="14">
        <v>0.49630000000000002</v>
      </c>
      <c r="F179" s="14">
        <v>0.24399999999999999</v>
      </c>
      <c r="G179" s="14">
        <v>0.75600000000000001</v>
      </c>
    </row>
    <row r="180" spans="2:7" x14ac:dyDescent="0.25">
      <c r="B180" s="8">
        <v>120</v>
      </c>
      <c r="C180" s="8">
        <v>46.73</v>
      </c>
      <c r="D180" s="14">
        <v>0.4254</v>
      </c>
      <c r="E180" s="14">
        <v>0.5746</v>
      </c>
      <c r="F180" s="14">
        <v>0.30589999999999995</v>
      </c>
      <c r="G180" s="14">
        <v>0.69410000000000005</v>
      </c>
    </row>
    <row r="181" spans="2:7" x14ac:dyDescent="0.25">
      <c r="B181" s="8">
        <v>130</v>
      </c>
      <c r="C181" s="8">
        <v>0.81</v>
      </c>
      <c r="D181" s="14">
        <v>0.99470000000000003</v>
      </c>
      <c r="E181" s="14">
        <v>5.3E-3</v>
      </c>
      <c r="F181" s="14">
        <v>0.37549999999999994</v>
      </c>
      <c r="G181" s="14">
        <v>0.62450000000000006</v>
      </c>
    </row>
    <row r="182" spans="2:7" x14ac:dyDescent="0.25">
      <c r="B182" s="8">
        <v>130</v>
      </c>
      <c r="C182" s="8">
        <v>1.48</v>
      </c>
      <c r="D182" s="14">
        <v>0.98609999999999998</v>
      </c>
      <c r="E182" s="14">
        <v>1.3899999999999999E-2</v>
      </c>
      <c r="F182" s="14">
        <v>0.24280000000000002</v>
      </c>
      <c r="G182" s="14">
        <v>0.75719999999999998</v>
      </c>
    </row>
    <row r="183" spans="2:7" x14ac:dyDescent="0.25">
      <c r="B183" s="8">
        <v>130</v>
      </c>
      <c r="C183" s="8">
        <v>2.17</v>
      </c>
      <c r="D183" s="14">
        <v>0.9788</v>
      </c>
      <c r="E183" s="14">
        <v>2.12E-2</v>
      </c>
      <c r="F183" s="14">
        <v>0.18720000000000003</v>
      </c>
      <c r="G183" s="14">
        <v>0.81279999999999997</v>
      </c>
    </row>
    <row r="184" spans="2:7" x14ac:dyDescent="0.25">
      <c r="B184" s="8">
        <v>130</v>
      </c>
      <c r="C184" s="8">
        <v>2.87</v>
      </c>
      <c r="D184" s="14">
        <v>0.97109999999999996</v>
      </c>
      <c r="E184" s="14">
        <v>2.8899999999999999E-2</v>
      </c>
      <c r="F184" s="14">
        <v>0.1522</v>
      </c>
      <c r="G184" s="14">
        <v>0.8478</v>
      </c>
    </row>
    <row r="185" spans="2:7" x14ac:dyDescent="0.25">
      <c r="B185" s="8">
        <v>130</v>
      </c>
      <c r="C185" s="8">
        <v>4.2</v>
      </c>
      <c r="D185" s="14">
        <v>0.9556</v>
      </c>
      <c r="E185" s="14">
        <v>4.4400000000000002E-2</v>
      </c>
      <c r="F185" s="14">
        <v>0.13439999999999996</v>
      </c>
      <c r="G185" s="14">
        <v>0.86560000000000004</v>
      </c>
    </row>
    <row r="186" spans="2:7" x14ac:dyDescent="0.25">
      <c r="B186" s="8">
        <v>130</v>
      </c>
      <c r="C186" s="8">
        <v>5.66</v>
      </c>
      <c r="D186" s="14">
        <v>0.93979999999999997</v>
      </c>
      <c r="E186" s="14">
        <v>6.0199999999999997E-2</v>
      </c>
      <c r="F186" s="14">
        <v>0.12260000000000004</v>
      </c>
      <c r="G186" s="14">
        <v>0.87739999999999996</v>
      </c>
    </row>
    <row r="187" spans="2:7" x14ac:dyDescent="0.25">
      <c r="B187" s="8">
        <v>130</v>
      </c>
      <c r="C187" s="8">
        <v>6.99</v>
      </c>
      <c r="D187" s="14">
        <v>0.92520000000000002</v>
      </c>
      <c r="E187" s="14">
        <v>7.4800000000000005E-2</v>
      </c>
      <c r="F187" s="14">
        <v>0.11499999999999999</v>
      </c>
      <c r="G187" s="14">
        <v>0.88500000000000001</v>
      </c>
    </row>
    <row r="188" spans="2:7" x14ac:dyDescent="0.25">
      <c r="B188" s="8">
        <v>130</v>
      </c>
      <c r="C188" s="8">
        <v>9.75</v>
      </c>
      <c r="D188" s="14">
        <v>0.89300000000000002</v>
      </c>
      <c r="E188" s="14">
        <v>0.107</v>
      </c>
      <c r="F188" s="14">
        <v>0.10729999999999995</v>
      </c>
      <c r="G188" s="14">
        <v>0.89270000000000005</v>
      </c>
    </row>
    <row r="189" spans="2:7" x14ac:dyDescent="0.25">
      <c r="B189" s="8">
        <v>130</v>
      </c>
      <c r="C189" s="8">
        <v>12.49</v>
      </c>
      <c r="D189" s="14">
        <v>0.86060000000000003</v>
      </c>
      <c r="E189" s="14">
        <v>0.1394</v>
      </c>
      <c r="F189" s="14">
        <v>0.11060000000000003</v>
      </c>
      <c r="G189" s="14">
        <v>0.88939999999999997</v>
      </c>
    </row>
    <row r="190" spans="2:7" x14ac:dyDescent="0.25">
      <c r="B190" s="8">
        <v>130</v>
      </c>
      <c r="C190" s="8">
        <v>15.26</v>
      </c>
      <c r="D190" s="14">
        <v>0.82810000000000006</v>
      </c>
      <c r="E190" s="14">
        <v>0.1719</v>
      </c>
      <c r="F190" s="14">
        <v>0.11329999999999996</v>
      </c>
      <c r="G190" s="14">
        <v>0.88670000000000004</v>
      </c>
    </row>
    <row r="191" spans="2:7" x14ac:dyDescent="0.25">
      <c r="B191" s="8">
        <v>130</v>
      </c>
      <c r="C191" s="8">
        <v>20.97</v>
      </c>
      <c r="D191" s="14">
        <v>0.76139999999999997</v>
      </c>
      <c r="E191" s="14">
        <v>0.23860000000000001</v>
      </c>
      <c r="F191" s="14">
        <v>0.1351</v>
      </c>
      <c r="G191" s="14">
        <v>0.8649</v>
      </c>
    </row>
    <row r="192" spans="2:7" x14ac:dyDescent="0.25">
      <c r="B192" s="8">
        <v>130</v>
      </c>
      <c r="C192" s="8">
        <v>24.41</v>
      </c>
      <c r="D192" s="14">
        <v>0.71660000000000001</v>
      </c>
      <c r="E192" s="14">
        <v>0.28339999999999999</v>
      </c>
      <c r="F192" s="14">
        <v>0.15529999999999999</v>
      </c>
      <c r="G192" s="14">
        <v>0.84470000000000001</v>
      </c>
    </row>
    <row r="193" spans="2:7" x14ac:dyDescent="0.25">
      <c r="B193" s="8">
        <v>130</v>
      </c>
      <c r="C193" s="8">
        <v>27.63</v>
      </c>
      <c r="D193" s="14">
        <v>0.67049999999999998</v>
      </c>
      <c r="E193" s="14">
        <v>0.32950000000000002</v>
      </c>
      <c r="F193" s="14">
        <v>0.17459999999999998</v>
      </c>
      <c r="G193" s="14">
        <v>0.82540000000000002</v>
      </c>
    </row>
    <row r="194" spans="2:7" x14ac:dyDescent="0.25">
      <c r="B194" s="8">
        <v>130</v>
      </c>
      <c r="C194" s="8">
        <v>31.07</v>
      </c>
      <c r="D194" s="14">
        <v>0.61260000000000003</v>
      </c>
      <c r="E194" s="14">
        <v>0.38740000000000002</v>
      </c>
      <c r="F194" s="14">
        <v>0.20650000000000002</v>
      </c>
      <c r="G194" s="14">
        <v>0.79349999999999998</v>
      </c>
    </row>
    <row r="195" spans="2:7" x14ac:dyDescent="0.25">
      <c r="B195" s="8">
        <v>130</v>
      </c>
      <c r="C195" s="8">
        <v>33.200000000000003</v>
      </c>
      <c r="D195" s="14">
        <v>0.56800000000000006</v>
      </c>
      <c r="E195" s="14">
        <v>0.432</v>
      </c>
      <c r="F195" s="14">
        <v>0.23829999999999996</v>
      </c>
      <c r="G195" s="14">
        <v>0.76170000000000004</v>
      </c>
    </row>
    <row r="196" spans="2:7" x14ac:dyDescent="0.25">
      <c r="B196" s="8">
        <v>130</v>
      </c>
      <c r="C196" s="8">
        <v>34.01</v>
      </c>
      <c r="D196" s="14">
        <v>0.54790000000000005</v>
      </c>
      <c r="E196" s="14">
        <v>0.4521</v>
      </c>
      <c r="F196" s="14">
        <v>0.25439999999999996</v>
      </c>
      <c r="G196" s="14">
        <v>0.74560000000000004</v>
      </c>
    </row>
    <row r="197" spans="2:7" x14ac:dyDescent="0.25">
      <c r="B197" s="8">
        <v>130</v>
      </c>
      <c r="C197" s="8">
        <v>34.6</v>
      </c>
      <c r="F197" s="14">
        <v>0.26949999999999996</v>
      </c>
      <c r="G197" s="14">
        <v>0.73050000000000004</v>
      </c>
    </row>
    <row r="198" spans="2:7" x14ac:dyDescent="0.25">
      <c r="B198" s="8">
        <v>130</v>
      </c>
      <c r="C198" s="8">
        <v>36.270000000000003</v>
      </c>
      <c r="F198" s="14">
        <v>0.36370000000000002</v>
      </c>
      <c r="G198" s="14">
        <v>0.63629999999999998</v>
      </c>
    </row>
    <row r="199" spans="2:7" x14ac:dyDescent="0.25">
      <c r="B199" s="8">
        <v>140</v>
      </c>
      <c r="C199" s="8">
        <v>1.59</v>
      </c>
      <c r="D199" s="14">
        <v>0.98760000000000003</v>
      </c>
      <c r="E199" s="14">
        <v>1.24E-2</v>
      </c>
    </row>
    <row r="200" spans="2:7" x14ac:dyDescent="0.25">
      <c r="B200" s="8">
        <v>140</v>
      </c>
      <c r="C200" s="8">
        <v>1.85</v>
      </c>
      <c r="D200" s="14">
        <v>0.98480000000000001</v>
      </c>
      <c r="E200" s="14">
        <v>1.52E-2</v>
      </c>
      <c r="F200" s="14">
        <v>0.42179999999999995</v>
      </c>
      <c r="G200" s="14">
        <v>0.57820000000000005</v>
      </c>
    </row>
    <row r="201" spans="2:7" x14ac:dyDescent="0.25">
      <c r="B201" s="8">
        <v>140</v>
      </c>
      <c r="C201" s="8">
        <v>2.4900000000000002</v>
      </c>
      <c r="F201" s="14">
        <v>0.34419999999999995</v>
      </c>
      <c r="G201" s="14">
        <v>0.65580000000000005</v>
      </c>
    </row>
    <row r="202" spans="2:7" x14ac:dyDescent="0.25">
      <c r="B202" s="8">
        <v>140</v>
      </c>
      <c r="C202" s="8">
        <v>2.89</v>
      </c>
      <c r="D202" s="14">
        <v>0.97150000000000003</v>
      </c>
      <c r="E202" s="14">
        <v>2.8500000000000001E-2</v>
      </c>
    </row>
    <row r="203" spans="2:7" x14ac:dyDescent="0.25">
      <c r="B203" s="8">
        <v>140</v>
      </c>
      <c r="C203" s="8">
        <v>3.18</v>
      </c>
      <c r="F203" s="14">
        <v>0.27090000000000003</v>
      </c>
      <c r="G203" s="14">
        <v>0.72909999999999997</v>
      </c>
    </row>
    <row r="204" spans="2:7" x14ac:dyDescent="0.25">
      <c r="B204" s="8">
        <v>140</v>
      </c>
      <c r="C204" s="8">
        <v>2.89</v>
      </c>
      <c r="D204" s="14">
        <v>0.97150000000000003</v>
      </c>
      <c r="E204" s="14">
        <v>2.8500000000000001E-2</v>
      </c>
      <c r="F204" s="14">
        <v>0.28000000000000003</v>
      </c>
      <c r="G204" s="14">
        <v>0.72</v>
      </c>
    </row>
    <row r="205" spans="2:7" x14ac:dyDescent="0.25">
      <c r="B205" s="8">
        <v>140</v>
      </c>
      <c r="C205" s="8">
        <v>4.26</v>
      </c>
      <c r="D205" s="14">
        <v>0.9536</v>
      </c>
      <c r="E205" s="14">
        <v>4.6399999999999997E-2</v>
      </c>
      <c r="F205" s="14">
        <v>0.23719999999999997</v>
      </c>
      <c r="G205" s="14">
        <v>0.76280000000000003</v>
      </c>
    </row>
    <row r="206" spans="2:7" x14ac:dyDescent="0.25">
      <c r="B206" s="8">
        <v>140</v>
      </c>
      <c r="C206" s="8">
        <v>5.66</v>
      </c>
      <c r="D206" s="14">
        <v>0.9365</v>
      </c>
      <c r="E206" s="14">
        <v>6.3500000000000001E-2</v>
      </c>
      <c r="F206" s="14">
        <v>0.20289999999999997</v>
      </c>
      <c r="G206" s="14">
        <v>0.79710000000000003</v>
      </c>
    </row>
    <row r="207" spans="2:7" x14ac:dyDescent="0.25">
      <c r="B207" s="8">
        <v>140</v>
      </c>
      <c r="C207" s="8">
        <v>8.33</v>
      </c>
      <c r="D207" s="14">
        <v>0.9002</v>
      </c>
      <c r="E207" s="14">
        <v>9.98E-2</v>
      </c>
      <c r="F207" s="14">
        <v>0.17569999999999997</v>
      </c>
      <c r="G207" s="14">
        <v>0.82430000000000003</v>
      </c>
    </row>
    <row r="208" spans="2:7" x14ac:dyDescent="0.25">
      <c r="B208" s="8">
        <v>140</v>
      </c>
      <c r="C208" s="8">
        <v>11.15</v>
      </c>
      <c r="D208" s="14">
        <v>0.86139999999999994</v>
      </c>
      <c r="E208" s="14">
        <v>0.1386</v>
      </c>
      <c r="F208" s="14">
        <v>0.16949999999999998</v>
      </c>
      <c r="G208" s="14">
        <v>0.83050000000000002</v>
      </c>
    </row>
    <row r="209" spans="2:7" x14ac:dyDescent="0.25">
      <c r="B209" s="8">
        <v>140</v>
      </c>
      <c r="C209" s="8">
        <v>13.9</v>
      </c>
      <c r="D209" s="14">
        <v>0.82200000000000006</v>
      </c>
      <c r="E209" s="14">
        <v>0.17799999999999999</v>
      </c>
      <c r="F209" s="14">
        <v>0.1724</v>
      </c>
      <c r="G209" s="14">
        <v>0.8276</v>
      </c>
    </row>
    <row r="210" spans="2:7" x14ac:dyDescent="0.25">
      <c r="B210" s="8">
        <v>140</v>
      </c>
      <c r="C210" s="8">
        <v>17.28</v>
      </c>
      <c r="D210" s="14">
        <v>0.7722</v>
      </c>
      <c r="E210" s="14">
        <v>0.2278</v>
      </c>
      <c r="F210" s="14">
        <v>0.18620000000000003</v>
      </c>
      <c r="G210" s="14">
        <v>0.81379999999999997</v>
      </c>
    </row>
    <row r="211" spans="2:7" x14ac:dyDescent="0.25">
      <c r="B211" s="8">
        <v>140</v>
      </c>
      <c r="C211" s="8">
        <v>20.239999999999998</v>
      </c>
      <c r="D211" s="14">
        <v>0.72540000000000004</v>
      </c>
      <c r="E211" s="14">
        <v>0.27460000000000001</v>
      </c>
      <c r="F211" s="14">
        <v>0.20709999999999995</v>
      </c>
      <c r="G211" s="14">
        <v>0.79290000000000005</v>
      </c>
    </row>
    <row r="212" spans="2:7" x14ac:dyDescent="0.25">
      <c r="B212" s="8">
        <v>140</v>
      </c>
      <c r="C212" s="8">
        <v>21.17</v>
      </c>
      <c r="D212" s="14">
        <v>0.70879999999999999</v>
      </c>
      <c r="E212" s="14">
        <v>0.29120000000000001</v>
      </c>
      <c r="F212" s="14">
        <v>0.21440000000000003</v>
      </c>
      <c r="G212" s="14">
        <v>0.78559999999999997</v>
      </c>
    </row>
    <row r="213" spans="2:7" x14ac:dyDescent="0.25">
      <c r="B213" s="8">
        <v>140</v>
      </c>
      <c r="C213" s="8">
        <v>22.95</v>
      </c>
      <c r="D213" s="14">
        <v>0.67579999999999996</v>
      </c>
      <c r="E213" s="14">
        <v>0.32419999999999999</v>
      </c>
      <c r="F213" s="14">
        <v>0.23260000000000003</v>
      </c>
      <c r="G213" s="14">
        <v>0.76739999999999997</v>
      </c>
    </row>
    <row r="214" spans="2:7" x14ac:dyDescent="0.25">
      <c r="B214" s="8">
        <v>140</v>
      </c>
      <c r="C214" s="8">
        <v>25.83</v>
      </c>
      <c r="D214" s="14">
        <v>0.60770000000000002</v>
      </c>
      <c r="E214" s="14">
        <v>0.39229999999999998</v>
      </c>
      <c r="F214" s="14">
        <v>0.2712</v>
      </c>
      <c r="G214" s="14">
        <v>0.7288</v>
      </c>
    </row>
    <row r="215" spans="2:7" x14ac:dyDescent="0.25">
      <c r="B215" s="8">
        <v>140</v>
      </c>
      <c r="C215" s="8">
        <v>27.85</v>
      </c>
      <c r="D215" s="14">
        <v>0.52489999999999992</v>
      </c>
      <c r="E215" s="14">
        <v>0.47510000000000002</v>
      </c>
      <c r="F215" s="14">
        <v>0.33479999999999999</v>
      </c>
      <c r="G215" s="14">
        <v>0.66520000000000001</v>
      </c>
    </row>
    <row r="216" spans="2:7" x14ac:dyDescent="0.25">
      <c r="B216" s="8">
        <v>150</v>
      </c>
      <c r="C216" s="8">
        <v>1.55</v>
      </c>
      <c r="D216" s="14">
        <v>0.99109999999999998</v>
      </c>
      <c r="E216" s="14">
        <v>8.8999999999999999E-3</v>
      </c>
      <c r="F216" s="14">
        <v>0.55719999999999992</v>
      </c>
      <c r="G216" s="14">
        <v>0.44280000000000003</v>
      </c>
    </row>
    <row r="217" spans="2:7" x14ac:dyDescent="0.25">
      <c r="B217" s="8">
        <v>150</v>
      </c>
      <c r="C217" s="8">
        <v>3.22</v>
      </c>
      <c r="D217" s="14">
        <v>0.96750000000000003</v>
      </c>
      <c r="E217" s="14">
        <v>3.2500000000000001E-2</v>
      </c>
      <c r="F217" s="14">
        <v>0.34889999999999999</v>
      </c>
      <c r="G217" s="14">
        <v>0.65110000000000001</v>
      </c>
    </row>
    <row r="218" spans="2:7" x14ac:dyDescent="0.25">
      <c r="B218" s="8">
        <v>150</v>
      </c>
      <c r="C218" s="8">
        <v>4.26</v>
      </c>
      <c r="D218" s="14">
        <v>0.95320000000000005</v>
      </c>
      <c r="E218" s="14">
        <v>4.6800000000000001E-2</v>
      </c>
      <c r="F218" s="14">
        <v>0.30900000000000005</v>
      </c>
      <c r="G218" s="14">
        <v>0.69099999999999995</v>
      </c>
    </row>
    <row r="219" spans="2:7" x14ac:dyDescent="0.25">
      <c r="B219" s="8">
        <v>150</v>
      </c>
      <c r="C219" s="8">
        <v>5.58</v>
      </c>
      <c r="D219" s="14">
        <v>0.93430000000000002</v>
      </c>
      <c r="E219" s="14">
        <v>6.5699999999999995E-2</v>
      </c>
      <c r="F219" s="14">
        <v>0.28069999999999995</v>
      </c>
      <c r="G219" s="14">
        <v>0.71930000000000005</v>
      </c>
    </row>
    <row r="220" spans="2:7" x14ac:dyDescent="0.25">
      <c r="B220" s="8">
        <v>150</v>
      </c>
      <c r="C220" s="8">
        <v>7.01</v>
      </c>
      <c r="D220" s="14">
        <v>0.91290000000000004</v>
      </c>
      <c r="E220" s="14">
        <v>8.7099999999999997E-2</v>
      </c>
      <c r="F220" s="14">
        <v>0.2671</v>
      </c>
      <c r="G220" s="14">
        <v>0.7329</v>
      </c>
    </row>
    <row r="221" spans="2:7" x14ac:dyDescent="0.25">
      <c r="B221" s="8">
        <v>150</v>
      </c>
      <c r="C221" s="8">
        <v>8.4700000000000006</v>
      </c>
      <c r="D221" s="14">
        <v>0.88980000000000004</v>
      </c>
      <c r="E221" s="14">
        <v>0.11020000000000001</v>
      </c>
      <c r="F221" s="14">
        <v>0.25509999999999999</v>
      </c>
      <c r="G221" s="14">
        <v>0.74490000000000001</v>
      </c>
    </row>
    <row r="222" spans="2:7" x14ac:dyDescent="0.25">
      <c r="B222" s="8">
        <v>150</v>
      </c>
      <c r="C222" s="8">
        <v>9.6999999999999993</v>
      </c>
      <c r="D222" s="14">
        <v>0.86890000000000001</v>
      </c>
      <c r="E222" s="14">
        <v>0.13109999999999999</v>
      </c>
      <c r="F222" s="14">
        <v>0.25080000000000002</v>
      </c>
      <c r="G222" s="14">
        <v>0.74919999999999998</v>
      </c>
    </row>
    <row r="223" spans="2:7" x14ac:dyDescent="0.25">
      <c r="B223" s="8">
        <v>150</v>
      </c>
      <c r="C223" s="8">
        <v>12.52</v>
      </c>
      <c r="D223" s="14">
        <v>0.8216</v>
      </c>
      <c r="E223" s="14">
        <v>0.1784</v>
      </c>
      <c r="F223" s="14">
        <v>0.25319999999999998</v>
      </c>
      <c r="G223" s="14">
        <v>0.74680000000000002</v>
      </c>
    </row>
    <row r="224" spans="2:7" x14ac:dyDescent="0.25">
      <c r="B224" s="8">
        <v>150</v>
      </c>
      <c r="C224" s="8">
        <v>15.38</v>
      </c>
      <c r="D224" s="14">
        <v>0.76949999999999996</v>
      </c>
      <c r="E224" s="14">
        <v>0.23050000000000001</v>
      </c>
      <c r="F224" s="14">
        <v>0.26339999999999997</v>
      </c>
      <c r="G224" s="14">
        <v>0.73660000000000003</v>
      </c>
    </row>
    <row r="225" spans="2:7" x14ac:dyDescent="0.25">
      <c r="B225" s="8">
        <v>150</v>
      </c>
      <c r="C225" s="8">
        <v>17.77</v>
      </c>
      <c r="D225" s="14">
        <v>0.7218</v>
      </c>
      <c r="E225" s="14">
        <v>0.2782</v>
      </c>
      <c r="F225" s="14">
        <v>0.28849999999999998</v>
      </c>
      <c r="G225" s="14">
        <v>0.71150000000000002</v>
      </c>
    </row>
    <row r="226" spans="2:7" x14ac:dyDescent="0.25">
      <c r="B226" s="8">
        <v>150</v>
      </c>
      <c r="C226" s="8">
        <v>20.21</v>
      </c>
      <c r="D226" s="14">
        <v>0.65510000000000002</v>
      </c>
      <c r="E226" s="14">
        <v>0.34489999999999998</v>
      </c>
      <c r="F226" s="14">
        <v>0.32199999999999995</v>
      </c>
      <c r="G226" s="14">
        <v>0.67800000000000005</v>
      </c>
    </row>
    <row r="227" spans="2:7" x14ac:dyDescent="0.25">
      <c r="B227" s="8">
        <v>150</v>
      </c>
      <c r="C227" s="8">
        <v>20.9</v>
      </c>
      <c r="D227" s="14">
        <v>0.63050000000000006</v>
      </c>
      <c r="E227" s="14">
        <v>0.3695</v>
      </c>
      <c r="F227" s="14">
        <v>0.33950000000000002</v>
      </c>
      <c r="G227" s="14">
        <v>0.66049999999999998</v>
      </c>
    </row>
    <row r="228" spans="2:7" x14ac:dyDescent="0.25">
      <c r="B228" s="8">
        <v>150</v>
      </c>
      <c r="C228" s="8">
        <v>21.59</v>
      </c>
      <c r="D228" s="14">
        <v>0.60149999999999992</v>
      </c>
      <c r="E228" s="14">
        <v>0.39850000000000002</v>
      </c>
      <c r="F228" s="14">
        <v>0.36080000000000001</v>
      </c>
      <c r="G228" s="14">
        <v>0.63919999999999999</v>
      </c>
    </row>
    <row r="229" spans="2:7" x14ac:dyDescent="0.25">
      <c r="B229" s="8">
        <v>150</v>
      </c>
      <c r="C229" s="8">
        <v>22.41</v>
      </c>
      <c r="D229" s="14">
        <v>0.5292</v>
      </c>
      <c r="E229" s="14">
        <v>0.4708</v>
      </c>
      <c r="F229" s="14">
        <v>0.41400000000000003</v>
      </c>
      <c r="G229" s="14">
        <v>0.58599999999999997</v>
      </c>
    </row>
    <row r="230" spans="2:7" x14ac:dyDescent="0.25">
      <c r="B230" s="8">
        <v>159.19999999999999</v>
      </c>
      <c r="C230" s="8">
        <v>2.4300000000000002</v>
      </c>
      <c r="D230" s="14">
        <v>0.98540000000000005</v>
      </c>
      <c r="E230" s="14">
        <v>1.46E-2</v>
      </c>
      <c r="F230" s="14">
        <v>0.7339</v>
      </c>
      <c r="G230" s="14">
        <v>0.2661</v>
      </c>
    </row>
    <row r="231" spans="2:7" x14ac:dyDescent="0.25">
      <c r="B231" s="8">
        <v>159.19999999999999</v>
      </c>
      <c r="C231" s="8">
        <v>2.84</v>
      </c>
      <c r="D231" s="14">
        <v>0.97960000000000003</v>
      </c>
      <c r="E231" s="14">
        <v>2.0400000000000001E-2</v>
      </c>
      <c r="F231" s="14">
        <v>0.66369999999999996</v>
      </c>
      <c r="G231" s="14">
        <v>0.33629999999999999</v>
      </c>
    </row>
    <row r="232" spans="2:7" x14ac:dyDescent="0.25">
      <c r="B232" s="8">
        <v>159.19999999999999</v>
      </c>
      <c r="C232" s="8">
        <v>3.68</v>
      </c>
      <c r="D232" s="14">
        <v>0.96450000000000002</v>
      </c>
      <c r="E232" s="14">
        <v>3.5499999999999997E-2</v>
      </c>
      <c r="F232" s="14">
        <v>0.54949999999999999</v>
      </c>
      <c r="G232" s="14">
        <v>0.45050000000000001</v>
      </c>
    </row>
    <row r="233" spans="2:7" x14ac:dyDescent="0.25">
      <c r="B233" s="8">
        <v>159.19999999999999</v>
      </c>
      <c r="C233" s="8">
        <v>5.07</v>
      </c>
      <c r="D233" s="14">
        <v>0.94179999999999997</v>
      </c>
      <c r="E233" s="14">
        <v>5.8200000000000002E-2</v>
      </c>
      <c r="F233" s="14">
        <v>0.45430000000000004</v>
      </c>
      <c r="G233" s="14">
        <v>0.54569999999999996</v>
      </c>
    </row>
    <row r="234" spans="2:7" x14ac:dyDescent="0.25">
      <c r="B234" s="8">
        <v>159.19999999999999</v>
      </c>
      <c r="C234" s="8">
        <v>6.26</v>
      </c>
      <c r="D234" s="14">
        <v>0.92069999999999996</v>
      </c>
      <c r="E234" s="14">
        <v>7.9299999999999995E-2</v>
      </c>
      <c r="F234" s="14">
        <v>0.40500000000000003</v>
      </c>
      <c r="G234" s="14">
        <v>0.59499999999999997</v>
      </c>
    </row>
    <row r="235" spans="2:7" x14ac:dyDescent="0.25">
      <c r="B235" s="8">
        <v>159.19999999999999</v>
      </c>
      <c r="C235" s="8">
        <v>8.7100000000000009</v>
      </c>
      <c r="D235" s="14">
        <v>0.87690000000000001</v>
      </c>
      <c r="E235" s="14">
        <v>0.1231</v>
      </c>
      <c r="F235" s="14">
        <v>0.36160000000000003</v>
      </c>
      <c r="G235" s="14">
        <v>0.63839999999999997</v>
      </c>
    </row>
    <row r="236" spans="2:7" x14ac:dyDescent="0.25">
      <c r="B236" s="8">
        <v>159.19999999999999</v>
      </c>
      <c r="C236" s="8">
        <v>10.43</v>
      </c>
      <c r="D236" s="14">
        <v>0.84309999999999996</v>
      </c>
      <c r="E236" s="14">
        <v>0.15690000000000001</v>
      </c>
      <c r="F236" s="14">
        <v>0.35089999999999999</v>
      </c>
      <c r="G236" s="14">
        <v>0.64910000000000001</v>
      </c>
    </row>
    <row r="237" spans="2:7" x14ac:dyDescent="0.25">
      <c r="B237" s="8">
        <v>159.19999999999999</v>
      </c>
      <c r="C237" s="8">
        <v>11.75</v>
      </c>
      <c r="D237" s="14">
        <v>0.81620000000000004</v>
      </c>
      <c r="E237" s="14">
        <v>0.18379999999999999</v>
      </c>
      <c r="F237" s="14">
        <v>0.35089999999999999</v>
      </c>
      <c r="G237" s="14">
        <v>0.64910000000000001</v>
      </c>
    </row>
    <row r="238" spans="2:7" x14ac:dyDescent="0.25">
      <c r="B238" s="8">
        <v>159.19999999999999</v>
      </c>
      <c r="C238" s="8">
        <v>12.79</v>
      </c>
      <c r="D238" s="14">
        <v>0.79410000000000003</v>
      </c>
      <c r="E238" s="14">
        <v>0.2059</v>
      </c>
      <c r="F238" s="14">
        <v>0.35340000000000005</v>
      </c>
      <c r="G238" s="14">
        <v>0.64659999999999995</v>
      </c>
    </row>
    <row r="239" spans="2:7" x14ac:dyDescent="0.25">
      <c r="B239" s="8">
        <v>159.19999999999999</v>
      </c>
      <c r="C239" s="8">
        <v>14.03</v>
      </c>
      <c r="D239" s="14">
        <v>0.76360000000000006</v>
      </c>
      <c r="E239" s="14">
        <v>0.2364</v>
      </c>
      <c r="F239" s="14">
        <v>0.36429999999999996</v>
      </c>
      <c r="G239" s="14">
        <v>0.63570000000000004</v>
      </c>
    </row>
    <row r="240" spans="2:7" x14ac:dyDescent="0.25">
      <c r="B240" s="8">
        <v>159.19999999999999</v>
      </c>
      <c r="C240" s="8">
        <v>15.27</v>
      </c>
      <c r="D240" s="14">
        <v>0.72750000000000004</v>
      </c>
      <c r="E240" s="14">
        <v>0.27250000000000002</v>
      </c>
      <c r="F240" s="14">
        <v>0.38190000000000002</v>
      </c>
      <c r="G240" s="14">
        <v>0.61809999999999998</v>
      </c>
    </row>
    <row r="241" spans="2:7" x14ac:dyDescent="0.25">
      <c r="B241" s="8">
        <v>159.19999999999999</v>
      </c>
      <c r="C241" s="8">
        <v>16.059999999999999</v>
      </c>
      <c r="D241" s="14">
        <v>0.69940000000000002</v>
      </c>
      <c r="E241" s="14">
        <v>0.30059999999999998</v>
      </c>
      <c r="F241" s="14">
        <v>0.39700000000000002</v>
      </c>
      <c r="G241" s="14">
        <v>0.60299999999999998</v>
      </c>
    </row>
    <row r="242" spans="2:7" x14ac:dyDescent="0.25">
      <c r="B242" s="8">
        <v>159.19999999999999</v>
      </c>
      <c r="C242" s="8">
        <v>16.64</v>
      </c>
      <c r="D242" s="14">
        <v>0.67620000000000002</v>
      </c>
      <c r="E242" s="14">
        <v>0.32379999999999998</v>
      </c>
      <c r="F242" s="14">
        <v>0.41579999999999995</v>
      </c>
      <c r="G242" s="14">
        <v>0.58420000000000005</v>
      </c>
    </row>
    <row r="243" spans="2:7" x14ac:dyDescent="0.25">
      <c r="B243" s="8">
        <v>159.19999999999999</v>
      </c>
      <c r="C243" s="8">
        <v>17.32</v>
      </c>
      <c r="D243" s="14">
        <v>0.6371</v>
      </c>
      <c r="E243" s="14">
        <v>0.3629</v>
      </c>
      <c r="F243" s="14">
        <v>0.44730000000000003</v>
      </c>
      <c r="G243" s="14">
        <v>0.55269999999999997</v>
      </c>
    </row>
    <row r="244" spans="2:7" x14ac:dyDescent="0.25">
      <c r="B244" s="8">
        <v>170</v>
      </c>
      <c r="C244" s="8">
        <v>3.74</v>
      </c>
      <c r="D244" s="14">
        <v>0.97289999999999999</v>
      </c>
      <c r="E244" s="14">
        <v>2.7099999999999999E-2</v>
      </c>
      <c r="F244" s="14">
        <v>0.75639999999999996</v>
      </c>
      <c r="G244" s="14">
        <v>0.24360000000000001</v>
      </c>
    </row>
    <row r="245" spans="2:7" x14ac:dyDescent="0.25">
      <c r="B245" s="8">
        <v>170</v>
      </c>
      <c r="C245" s="8">
        <v>4.4400000000000004</v>
      </c>
      <c r="D245" s="14">
        <v>0.95950000000000002</v>
      </c>
      <c r="E245" s="14">
        <v>4.0500000000000001E-2</v>
      </c>
      <c r="F245" s="14">
        <v>0.68630000000000002</v>
      </c>
      <c r="G245" s="14">
        <v>0.31369999999999998</v>
      </c>
    </row>
    <row r="246" spans="2:7" x14ac:dyDescent="0.25">
      <c r="B246" s="8">
        <v>170</v>
      </c>
      <c r="C246" s="8">
        <v>5.76</v>
      </c>
      <c r="D246" s="14">
        <v>0.93379999999999996</v>
      </c>
      <c r="E246" s="14">
        <v>6.6199999999999995E-2</v>
      </c>
      <c r="F246" s="14">
        <v>0.60050000000000003</v>
      </c>
      <c r="G246" s="14">
        <v>0.39950000000000002</v>
      </c>
    </row>
    <row r="247" spans="2:7" x14ac:dyDescent="0.25">
      <c r="B247" s="8">
        <v>170</v>
      </c>
      <c r="C247" s="8">
        <v>7.1</v>
      </c>
      <c r="D247" s="14">
        <v>0.90510000000000002</v>
      </c>
      <c r="E247" s="14">
        <v>9.4899999999999998E-2</v>
      </c>
      <c r="F247" s="14">
        <v>0.55190000000000006</v>
      </c>
      <c r="G247" s="14">
        <v>0.4481</v>
      </c>
    </row>
    <row r="248" spans="2:7" x14ac:dyDescent="0.25">
      <c r="B248" s="8">
        <v>170</v>
      </c>
      <c r="C248" s="8">
        <v>8.56</v>
      </c>
      <c r="D248" s="14">
        <v>0.86929999999999996</v>
      </c>
      <c r="E248" s="14">
        <v>0.13070000000000001</v>
      </c>
      <c r="F248" s="14">
        <v>0.52500000000000002</v>
      </c>
      <c r="G248" s="14">
        <v>0.47499999999999998</v>
      </c>
    </row>
    <row r="249" spans="2:7" x14ac:dyDescent="0.25">
      <c r="B249" s="8">
        <v>170</v>
      </c>
      <c r="C249" s="8">
        <v>9.7799999999999994</v>
      </c>
      <c r="D249" s="14">
        <v>0.83830000000000005</v>
      </c>
      <c r="E249" s="14">
        <v>0.16170000000000001</v>
      </c>
      <c r="F249" s="14">
        <v>0.51839999999999997</v>
      </c>
      <c r="G249" s="14">
        <v>0.48159999999999997</v>
      </c>
    </row>
    <row r="250" spans="2:7" x14ac:dyDescent="0.25">
      <c r="B250" s="8">
        <v>170</v>
      </c>
      <c r="C250" s="8">
        <v>11.14</v>
      </c>
      <c r="D250" s="14">
        <v>0.79339999999999999</v>
      </c>
      <c r="E250" s="14">
        <v>0.20660000000000001</v>
      </c>
      <c r="F250" s="14">
        <v>0.52459999999999996</v>
      </c>
      <c r="G250" s="14">
        <v>0.47539999999999999</v>
      </c>
    </row>
    <row r="251" spans="2:7" x14ac:dyDescent="0.25">
      <c r="B251" s="8">
        <v>170</v>
      </c>
      <c r="C251" s="8">
        <v>11.79</v>
      </c>
      <c r="D251" s="14">
        <v>0.77249999999999996</v>
      </c>
      <c r="E251" s="14">
        <v>0.22750000000000001</v>
      </c>
      <c r="F251" s="14">
        <v>0.5353</v>
      </c>
      <c r="G251" s="14">
        <v>0.4647</v>
      </c>
    </row>
    <row r="252" spans="2:7" x14ac:dyDescent="0.25">
      <c r="B252" s="8">
        <v>170</v>
      </c>
      <c r="C252" s="8">
        <v>12.58</v>
      </c>
      <c r="D252" s="14">
        <v>0.7298</v>
      </c>
      <c r="E252" s="14">
        <v>0.2702</v>
      </c>
      <c r="F252" s="14">
        <v>0.56159999999999999</v>
      </c>
      <c r="G252" s="14">
        <v>0.43840000000000001</v>
      </c>
    </row>
    <row r="253" spans="2:7" x14ac:dyDescent="0.25">
      <c r="B253" s="8">
        <v>170</v>
      </c>
      <c r="C253" s="8">
        <v>12.82</v>
      </c>
      <c r="D253" s="14">
        <v>0.70669999999999999</v>
      </c>
      <c r="E253" s="14">
        <v>0.29330000000000001</v>
      </c>
      <c r="F253" s="14">
        <v>0.58529999999999993</v>
      </c>
      <c r="G253" s="14">
        <v>0.41470000000000001</v>
      </c>
    </row>
    <row r="254" spans="2:7" x14ac:dyDescent="0.25">
      <c r="B254" s="8">
        <v>180</v>
      </c>
      <c r="C254" s="8">
        <v>4.76</v>
      </c>
      <c r="D254" s="14">
        <v>0.96679999999999999</v>
      </c>
      <c r="E254" s="14">
        <v>3.32E-2</v>
      </c>
      <c r="F254" s="14">
        <v>0.83919999999999995</v>
      </c>
      <c r="G254" s="14">
        <v>0.1608</v>
      </c>
    </row>
    <row r="255" spans="2:7" x14ac:dyDescent="0.25">
      <c r="B255" s="8">
        <v>180</v>
      </c>
      <c r="C255" s="8">
        <v>5.3</v>
      </c>
      <c r="D255" s="14">
        <v>0.95399999999999996</v>
      </c>
      <c r="E255" s="14">
        <v>4.5999999999999999E-2</v>
      </c>
      <c r="F255" s="14">
        <v>0.80469999999999997</v>
      </c>
      <c r="G255" s="14">
        <v>0.1953</v>
      </c>
    </row>
    <row r="256" spans="2:7" x14ac:dyDescent="0.25">
      <c r="B256" s="8">
        <v>180</v>
      </c>
      <c r="C256" s="8">
        <v>5.8</v>
      </c>
      <c r="D256" s="14">
        <v>0.94110000000000005</v>
      </c>
      <c r="E256" s="14">
        <v>5.8900000000000001E-2</v>
      </c>
      <c r="F256" s="14">
        <v>0.77580000000000005</v>
      </c>
      <c r="G256" s="14">
        <v>0.22420000000000001</v>
      </c>
    </row>
    <row r="257" spans="1:7" x14ac:dyDescent="0.25">
      <c r="B257" s="8">
        <v>180</v>
      </c>
      <c r="C257" s="8">
        <v>6.19</v>
      </c>
      <c r="D257" s="14">
        <v>0.92999999999999994</v>
      </c>
      <c r="E257" s="14">
        <v>7.0000000000000007E-2</v>
      </c>
      <c r="F257" s="14">
        <v>0.7601</v>
      </c>
      <c r="G257" s="14">
        <v>0.2399</v>
      </c>
    </row>
    <row r="258" spans="1:7" x14ac:dyDescent="0.25">
      <c r="B258" s="8">
        <v>180</v>
      </c>
      <c r="C258" s="8">
        <v>6.73</v>
      </c>
      <c r="D258" s="14">
        <v>0.91269999999999996</v>
      </c>
      <c r="E258" s="14">
        <v>8.7300000000000003E-2</v>
      </c>
      <c r="F258" s="14">
        <v>0.7419</v>
      </c>
      <c r="G258" s="14">
        <v>0.2581</v>
      </c>
    </row>
    <row r="259" spans="1:7" x14ac:dyDescent="0.25">
      <c r="B259" s="8">
        <v>180</v>
      </c>
      <c r="C259" s="8">
        <v>7.21</v>
      </c>
      <c r="D259" s="14">
        <v>0.89769999999999994</v>
      </c>
      <c r="E259" s="14">
        <v>0.1023</v>
      </c>
      <c r="F259" s="14">
        <v>0.48409999999999997</v>
      </c>
      <c r="G259" s="14">
        <v>0.51590000000000003</v>
      </c>
    </row>
    <row r="260" spans="1:7" x14ac:dyDescent="0.25">
      <c r="B260" s="8">
        <v>180</v>
      </c>
      <c r="C260" s="8">
        <v>7.77</v>
      </c>
      <c r="D260" s="14">
        <v>0.87590000000000001</v>
      </c>
      <c r="E260" s="14">
        <v>0.1241</v>
      </c>
      <c r="F260" s="14">
        <v>0.72740000000000005</v>
      </c>
      <c r="G260" s="14">
        <v>0.27260000000000001</v>
      </c>
    </row>
    <row r="261" spans="1:7" x14ac:dyDescent="0.25">
      <c r="B261" s="8">
        <v>180</v>
      </c>
      <c r="C261" s="8">
        <v>8.33</v>
      </c>
      <c r="D261" s="14">
        <v>0.84830000000000005</v>
      </c>
      <c r="E261" s="14">
        <v>0.1517</v>
      </c>
      <c r="F261" s="14">
        <v>0.73330000000000006</v>
      </c>
      <c r="G261" s="14">
        <v>0.26669999999999999</v>
      </c>
    </row>
    <row r="262" spans="1:7" ht="15.75" thickBot="1" x14ac:dyDescent="0.3">
      <c r="A262" s="9"/>
      <c r="B262" s="9">
        <v>180</v>
      </c>
      <c r="C262" s="9">
        <v>8.67</v>
      </c>
      <c r="D262" s="16">
        <v>0.81899999999999995</v>
      </c>
      <c r="E262" s="16">
        <v>0.18099999999999999</v>
      </c>
      <c r="F262" s="16">
        <v>0.74719999999999998</v>
      </c>
      <c r="G262" s="16">
        <v>0.25280000000000002</v>
      </c>
    </row>
    <row r="263" spans="1:7" x14ac:dyDescent="0.25">
      <c r="A263" s="18" t="s">
        <v>46</v>
      </c>
      <c r="B263" s="8">
        <f>-180+273.15</f>
        <v>93.149999999999977</v>
      </c>
      <c r="C263" s="8">
        <f>100*101325/1000000</f>
        <v>10.1325</v>
      </c>
      <c r="D263" s="14">
        <f>1-E263</f>
        <v>0.95399999999999996</v>
      </c>
      <c r="E263" s="14">
        <v>4.5999999999999999E-2</v>
      </c>
      <c r="F263" s="14">
        <f>1-G263</f>
        <v>1.3499999999999956E-2</v>
      </c>
      <c r="G263" s="14">
        <v>0.98650000000000004</v>
      </c>
    </row>
    <row r="264" spans="1:7" x14ac:dyDescent="0.25">
      <c r="B264" s="8">
        <f>-180+273.15</f>
        <v>93.149999999999977</v>
      </c>
      <c r="C264" s="8">
        <f>125*101325/1000000</f>
        <v>12.665625</v>
      </c>
      <c r="D264" s="14">
        <f t="shared" ref="D264:D265" si="12">1-E264</f>
        <v>0.91989999999999994</v>
      </c>
      <c r="E264" s="14">
        <v>8.0100000000000005E-2</v>
      </c>
      <c r="F264" s="14">
        <f t="shared" ref="F264:F265" si="13">1-G264</f>
        <v>1.9000000000000017E-2</v>
      </c>
      <c r="G264" s="14">
        <v>0.98099999999999998</v>
      </c>
    </row>
    <row r="265" spans="1:7" ht="15.75" thickBot="1" x14ac:dyDescent="0.3">
      <c r="A265" s="9"/>
      <c r="B265" s="9">
        <f>-180+273.15</f>
        <v>93.149999999999977</v>
      </c>
      <c r="C265" s="9">
        <f>150*101325/1000000</f>
        <v>15.19875</v>
      </c>
      <c r="D265" s="16">
        <f t="shared" si="12"/>
        <v>0.92999999999999994</v>
      </c>
      <c r="E265" s="16">
        <v>7.0000000000000007E-2</v>
      </c>
      <c r="F265" s="16">
        <f t="shared" si="13"/>
        <v>2.3399999999999976E-2</v>
      </c>
      <c r="G265" s="16">
        <v>0.97660000000000002</v>
      </c>
    </row>
    <row r="266" spans="1:7" x14ac:dyDescent="0.25">
      <c r="A266" s="18" t="s">
        <v>43</v>
      </c>
      <c r="B266" s="13">
        <v>183.12</v>
      </c>
      <c r="C266" s="8">
        <v>3.6389999999999998</v>
      </c>
      <c r="D266" s="14">
        <v>1</v>
      </c>
      <c r="E266" s="14">
        <f>1-D266</f>
        <v>0</v>
      </c>
      <c r="F266" s="14">
        <v>1</v>
      </c>
      <c r="G266" s="14">
        <f>1-F266</f>
        <v>0</v>
      </c>
    </row>
    <row r="267" spans="1:7" x14ac:dyDescent="0.25">
      <c r="B267" s="13">
        <v>183.12</v>
      </c>
      <c r="C267" s="8">
        <v>3.9159999999999999</v>
      </c>
      <c r="D267" s="14">
        <v>0.99319999999999997</v>
      </c>
      <c r="E267" s="14">
        <f t="shared" ref="E267:E330" si="14">1-D267</f>
        <v>6.8000000000000282E-3</v>
      </c>
      <c r="F267" s="14">
        <v>0.96619999999999995</v>
      </c>
      <c r="G267" s="14">
        <f t="shared" ref="G267:G330" si="15">1-F267</f>
        <v>3.3800000000000052E-2</v>
      </c>
    </row>
    <row r="268" spans="1:7" x14ac:dyDescent="0.25">
      <c r="B268" s="13">
        <v>183.12</v>
      </c>
      <c r="C268" s="8">
        <v>4.016</v>
      </c>
      <c r="D268" s="14">
        <v>0.98929999999999996</v>
      </c>
      <c r="E268" s="14">
        <f t="shared" si="14"/>
        <v>1.0700000000000043E-2</v>
      </c>
      <c r="F268" s="14">
        <v>0.95209999999999995</v>
      </c>
      <c r="G268" s="14">
        <f t="shared" si="15"/>
        <v>4.7900000000000054E-2</v>
      </c>
    </row>
    <row r="269" spans="1:7" x14ac:dyDescent="0.25">
      <c r="B269" s="13">
        <v>183.12</v>
      </c>
      <c r="C269" s="8">
        <v>4.016</v>
      </c>
      <c r="D269" s="14">
        <v>0.98929999999999996</v>
      </c>
      <c r="E269" s="14">
        <f t="shared" si="14"/>
        <v>1.0700000000000043E-2</v>
      </c>
      <c r="F269" s="14">
        <v>0.95109999999999995</v>
      </c>
      <c r="G269" s="14">
        <f t="shared" si="15"/>
        <v>4.8900000000000055E-2</v>
      </c>
    </row>
    <row r="270" spans="1:7" x14ac:dyDescent="0.25">
      <c r="B270" s="13">
        <v>183.12</v>
      </c>
      <c r="C270" s="8">
        <v>4.1989999999999998</v>
      </c>
      <c r="D270" s="14">
        <v>0.98829999999999996</v>
      </c>
      <c r="E270" s="14">
        <f t="shared" si="14"/>
        <v>1.1700000000000044E-2</v>
      </c>
      <c r="F270" s="14">
        <v>0.94110000000000005</v>
      </c>
      <c r="G270" s="14">
        <f t="shared" si="15"/>
        <v>5.8899999999999952E-2</v>
      </c>
    </row>
    <row r="271" spans="1:7" x14ac:dyDescent="0.25">
      <c r="B271" s="13">
        <v>183.12</v>
      </c>
      <c r="C271" s="8">
        <v>4.3440000000000003</v>
      </c>
      <c r="D271" s="14">
        <v>0.98270000000000002</v>
      </c>
      <c r="E271" s="14">
        <f t="shared" si="14"/>
        <v>1.7299999999999982E-2</v>
      </c>
      <c r="F271" s="14">
        <v>0.92110000000000003</v>
      </c>
      <c r="G271" s="14">
        <f t="shared" si="15"/>
        <v>7.889999999999997E-2</v>
      </c>
    </row>
    <row r="272" spans="1:7" x14ac:dyDescent="0.25">
      <c r="B272" s="13">
        <v>183.12</v>
      </c>
      <c r="C272" s="8">
        <v>4.4880000000000004</v>
      </c>
      <c r="D272" s="14">
        <v>0.97970000000000002</v>
      </c>
      <c r="E272" s="14">
        <f t="shared" si="14"/>
        <v>2.0299999999999985E-2</v>
      </c>
      <c r="F272" s="14">
        <v>0.9093</v>
      </c>
      <c r="G272" s="14">
        <f t="shared" si="15"/>
        <v>9.0700000000000003E-2</v>
      </c>
    </row>
    <row r="273" spans="2:7" x14ac:dyDescent="0.25">
      <c r="B273" s="13">
        <v>183.12</v>
      </c>
      <c r="C273" s="8">
        <v>4.9260000000000002</v>
      </c>
      <c r="D273" s="14">
        <v>0.96719999999999995</v>
      </c>
      <c r="E273" s="14">
        <f t="shared" si="14"/>
        <v>3.2800000000000051E-2</v>
      </c>
      <c r="F273" s="14">
        <v>0.87080000000000002</v>
      </c>
      <c r="G273" s="14">
        <f t="shared" si="15"/>
        <v>0.12919999999999998</v>
      </c>
    </row>
    <row r="274" spans="2:7" x14ac:dyDescent="0.25">
      <c r="B274" s="13">
        <v>183.12</v>
      </c>
      <c r="C274" s="8">
        <v>5.6189999999999998</v>
      </c>
      <c r="D274" s="14">
        <v>0.94710000000000005</v>
      </c>
      <c r="E274" s="14">
        <f t="shared" si="14"/>
        <v>5.2899999999999947E-2</v>
      </c>
      <c r="F274" s="14">
        <v>0.82940000000000003</v>
      </c>
      <c r="G274" s="14">
        <f t="shared" si="15"/>
        <v>0.17059999999999997</v>
      </c>
    </row>
    <row r="275" spans="2:7" x14ac:dyDescent="0.25">
      <c r="B275" s="13">
        <v>183.12</v>
      </c>
      <c r="C275" s="8">
        <v>6.3090000000000002</v>
      </c>
      <c r="D275" s="14">
        <v>0.92600000000000005</v>
      </c>
      <c r="E275" s="14">
        <f t="shared" si="14"/>
        <v>7.3999999999999955E-2</v>
      </c>
      <c r="F275" s="14">
        <v>0.80320000000000003</v>
      </c>
      <c r="G275" s="14">
        <f t="shared" si="15"/>
        <v>0.19679999999999997</v>
      </c>
    </row>
    <row r="276" spans="2:7" x14ac:dyDescent="0.25">
      <c r="B276" s="13">
        <v>183.12</v>
      </c>
      <c r="C276" s="8">
        <v>6.343</v>
      </c>
      <c r="D276" s="14">
        <v>0.92659999999999998</v>
      </c>
      <c r="E276" s="14">
        <f t="shared" si="14"/>
        <v>7.3400000000000021E-2</v>
      </c>
      <c r="F276" s="14">
        <v>0.80930000000000002</v>
      </c>
      <c r="G276" s="14">
        <f t="shared" si="15"/>
        <v>0.19069999999999998</v>
      </c>
    </row>
    <row r="277" spans="2:7" x14ac:dyDescent="0.25">
      <c r="B277" s="13">
        <v>183.12</v>
      </c>
      <c r="C277" s="8">
        <v>6.9020000000000001</v>
      </c>
      <c r="D277" s="14">
        <v>0.90059999999999996</v>
      </c>
      <c r="E277" s="14">
        <f t="shared" si="14"/>
        <v>9.9400000000000044E-2</v>
      </c>
      <c r="F277" s="14">
        <v>0.79720000000000002</v>
      </c>
      <c r="G277" s="14">
        <f t="shared" si="15"/>
        <v>0.20279999999999998</v>
      </c>
    </row>
    <row r="278" spans="2:7" x14ac:dyDescent="0.25">
      <c r="B278" s="13">
        <v>183.12</v>
      </c>
      <c r="C278" s="8">
        <v>7.1050000000000004</v>
      </c>
      <c r="D278" s="14">
        <v>0.89159999999999995</v>
      </c>
      <c r="E278" s="14">
        <f t="shared" si="14"/>
        <v>0.10840000000000005</v>
      </c>
      <c r="F278" s="14">
        <v>0.80100000000000005</v>
      </c>
      <c r="G278" s="14">
        <f t="shared" si="15"/>
        <v>0.19899999999999995</v>
      </c>
    </row>
    <row r="279" spans="2:7" x14ac:dyDescent="0.25">
      <c r="B279" s="13">
        <v>183.12</v>
      </c>
      <c r="C279" s="8">
        <v>7.3419999999999996</v>
      </c>
      <c r="D279" s="14">
        <v>0.87660000000000005</v>
      </c>
      <c r="E279" s="14">
        <f t="shared" si="14"/>
        <v>0.12339999999999995</v>
      </c>
      <c r="F279" s="14">
        <v>0.80069999999999997</v>
      </c>
      <c r="G279" s="14">
        <f t="shared" si="15"/>
        <v>0.19930000000000003</v>
      </c>
    </row>
    <row r="280" spans="2:7" x14ac:dyDescent="0.25">
      <c r="B280" s="13">
        <v>183.12</v>
      </c>
      <c r="C280" s="8">
        <v>7.4119999999999999</v>
      </c>
      <c r="D280" s="14">
        <v>0.87309999999999999</v>
      </c>
      <c r="E280" s="14">
        <f t="shared" si="14"/>
        <v>0.12690000000000001</v>
      </c>
      <c r="F280" s="14">
        <v>0.81040000000000001</v>
      </c>
      <c r="G280" s="14">
        <f t="shared" si="15"/>
        <v>0.18959999999999999</v>
      </c>
    </row>
    <row r="281" spans="2:7" x14ac:dyDescent="0.25">
      <c r="B281" s="13">
        <v>183.12</v>
      </c>
      <c r="C281" s="8">
        <v>7.4329999999999998</v>
      </c>
      <c r="D281" s="14">
        <v>0.87429999999999997</v>
      </c>
      <c r="E281" s="14">
        <f t="shared" si="14"/>
        <v>0.12570000000000003</v>
      </c>
      <c r="F281" s="14">
        <v>0.8115</v>
      </c>
      <c r="G281" s="14">
        <f t="shared" si="15"/>
        <v>0.1885</v>
      </c>
    </row>
    <row r="282" spans="2:7" x14ac:dyDescent="0.25">
      <c r="B282" s="13">
        <v>183.12</v>
      </c>
      <c r="C282" s="8">
        <v>7.5389999999999997</v>
      </c>
      <c r="D282" s="14">
        <v>0.85129999999999995</v>
      </c>
      <c r="E282" s="14">
        <f t="shared" si="14"/>
        <v>0.14870000000000005</v>
      </c>
      <c r="F282" s="14">
        <v>0.81830000000000003</v>
      </c>
      <c r="G282" s="14">
        <f t="shared" si="15"/>
        <v>0.18169999999999997</v>
      </c>
    </row>
    <row r="283" spans="2:7" x14ac:dyDescent="0.25">
      <c r="B283" s="13">
        <v>173.25</v>
      </c>
      <c r="C283" s="8">
        <v>2.6160000000000001</v>
      </c>
      <c r="D283" s="14">
        <v>1</v>
      </c>
      <c r="E283" s="14">
        <f t="shared" si="14"/>
        <v>0</v>
      </c>
      <c r="F283" s="14">
        <v>1</v>
      </c>
      <c r="G283" s="14">
        <f t="shared" si="15"/>
        <v>0</v>
      </c>
    </row>
    <row r="284" spans="2:7" x14ac:dyDescent="0.25">
      <c r="B284" s="13">
        <v>173.25</v>
      </c>
      <c r="C284" s="8">
        <v>3.0640000000000001</v>
      </c>
      <c r="D284" s="14">
        <v>0.99129999999999996</v>
      </c>
      <c r="E284" s="14">
        <f t="shared" si="14"/>
        <v>8.700000000000041E-3</v>
      </c>
      <c r="F284" s="14">
        <v>0.91180000000000005</v>
      </c>
      <c r="G284" s="14">
        <f t="shared" si="15"/>
        <v>8.8199999999999945E-2</v>
      </c>
    </row>
    <row r="285" spans="2:7" x14ac:dyDescent="0.25">
      <c r="B285" s="13">
        <v>173.25</v>
      </c>
      <c r="C285" s="8">
        <v>3.6440000000000001</v>
      </c>
      <c r="D285" s="14">
        <v>0.98040000000000005</v>
      </c>
      <c r="E285" s="14">
        <f t="shared" si="14"/>
        <v>1.9599999999999951E-2</v>
      </c>
      <c r="F285" s="14">
        <v>0.82450000000000001</v>
      </c>
      <c r="G285" s="14">
        <f t="shared" si="15"/>
        <v>0.17549999999999999</v>
      </c>
    </row>
    <row r="286" spans="2:7" x14ac:dyDescent="0.25">
      <c r="B286" s="13">
        <v>173.25</v>
      </c>
      <c r="C286" s="8">
        <v>4.2370000000000001</v>
      </c>
      <c r="D286" s="14">
        <v>0.96730000000000005</v>
      </c>
      <c r="E286" s="14">
        <f t="shared" si="14"/>
        <v>3.2699999999999951E-2</v>
      </c>
      <c r="F286" s="14">
        <v>0.75780000000000003</v>
      </c>
      <c r="G286" s="14">
        <f t="shared" si="15"/>
        <v>0.24219999999999997</v>
      </c>
    </row>
    <row r="287" spans="2:7" x14ac:dyDescent="0.25">
      <c r="B287" s="13">
        <v>173.25</v>
      </c>
      <c r="C287" s="8">
        <v>4.9059999999999997</v>
      </c>
      <c r="D287" s="14">
        <v>0.95579999999999998</v>
      </c>
      <c r="E287" s="14">
        <f t="shared" si="14"/>
        <v>4.4200000000000017E-2</v>
      </c>
      <c r="F287" s="14">
        <v>0.70489999999999997</v>
      </c>
      <c r="G287" s="14">
        <f t="shared" si="15"/>
        <v>0.29510000000000003</v>
      </c>
    </row>
    <row r="288" spans="2:7" x14ac:dyDescent="0.25">
      <c r="B288" s="13">
        <v>173.25</v>
      </c>
      <c r="C288" s="8">
        <v>5.5330000000000004</v>
      </c>
      <c r="D288" s="14">
        <v>0.94099999999999995</v>
      </c>
      <c r="E288" s="14">
        <f t="shared" si="14"/>
        <v>5.9000000000000052E-2</v>
      </c>
      <c r="F288" s="14">
        <v>0.66359999999999997</v>
      </c>
      <c r="G288" s="14">
        <f t="shared" si="15"/>
        <v>0.33640000000000003</v>
      </c>
    </row>
    <row r="289" spans="2:7" x14ac:dyDescent="0.25">
      <c r="B289" s="13">
        <v>173.25</v>
      </c>
      <c r="C289" s="8">
        <v>6.2050000000000001</v>
      </c>
      <c r="D289" s="14">
        <v>0.92549999999999999</v>
      </c>
      <c r="E289" s="14">
        <f t="shared" si="14"/>
        <v>7.4500000000000011E-2</v>
      </c>
      <c r="F289" s="14">
        <v>0.63439999999999996</v>
      </c>
      <c r="G289" s="14">
        <f t="shared" si="15"/>
        <v>0.36560000000000004</v>
      </c>
    </row>
    <row r="290" spans="2:7" x14ac:dyDescent="0.25">
      <c r="B290" s="13">
        <v>173.25</v>
      </c>
      <c r="C290" s="8">
        <v>6.9950000000000001</v>
      </c>
      <c r="D290" s="14">
        <v>0.90269999999999995</v>
      </c>
      <c r="E290" s="14">
        <f t="shared" si="14"/>
        <v>9.7300000000000053E-2</v>
      </c>
      <c r="F290" s="14">
        <v>0.60340000000000005</v>
      </c>
      <c r="G290" s="14">
        <f t="shared" si="15"/>
        <v>0.39659999999999995</v>
      </c>
    </row>
    <row r="291" spans="2:7" x14ac:dyDescent="0.25">
      <c r="B291" s="13">
        <v>173.25</v>
      </c>
      <c r="C291" s="8">
        <v>8.3740000000000006</v>
      </c>
      <c r="D291" s="14">
        <v>0.86419999999999997</v>
      </c>
      <c r="E291" s="14">
        <f t="shared" si="14"/>
        <v>0.13580000000000003</v>
      </c>
      <c r="F291" s="14">
        <v>0.57399999999999995</v>
      </c>
      <c r="G291" s="14">
        <f t="shared" si="15"/>
        <v>0.42600000000000005</v>
      </c>
    </row>
    <row r="292" spans="2:7" x14ac:dyDescent="0.25">
      <c r="B292" s="13">
        <v>173.25</v>
      </c>
      <c r="C292" s="8">
        <v>9.7560000000000002</v>
      </c>
      <c r="D292" s="14">
        <v>0.83150000000000002</v>
      </c>
      <c r="E292" s="14">
        <f t="shared" si="14"/>
        <v>0.16849999999999998</v>
      </c>
      <c r="F292" s="14">
        <v>0.57709999999999995</v>
      </c>
      <c r="G292" s="14">
        <f t="shared" si="15"/>
        <v>0.42290000000000005</v>
      </c>
    </row>
    <row r="293" spans="2:7" x14ac:dyDescent="0.25">
      <c r="B293" s="13">
        <v>173.25</v>
      </c>
      <c r="C293" s="8">
        <v>10.342000000000001</v>
      </c>
      <c r="D293" s="14">
        <v>0.80589999999999995</v>
      </c>
      <c r="E293" s="14">
        <f>1-D293</f>
        <v>0.19410000000000005</v>
      </c>
      <c r="F293" s="14">
        <v>0.5837</v>
      </c>
      <c r="G293" s="14">
        <f t="shared" si="15"/>
        <v>0.4163</v>
      </c>
    </row>
    <row r="294" spans="2:7" x14ac:dyDescent="0.25">
      <c r="B294" s="13">
        <v>173.25</v>
      </c>
      <c r="C294" s="8">
        <v>11.032</v>
      </c>
      <c r="D294" s="14">
        <v>0.77280000000000004</v>
      </c>
      <c r="E294" s="14">
        <f t="shared" si="14"/>
        <v>0.22719999999999996</v>
      </c>
      <c r="F294" s="14">
        <v>0.60509999999999997</v>
      </c>
      <c r="G294" s="14">
        <f t="shared" si="15"/>
        <v>0.39490000000000003</v>
      </c>
    </row>
    <row r="295" spans="2:7" x14ac:dyDescent="0.25">
      <c r="B295" s="13">
        <v>173.25</v>
      </c>
      <c r="C295" s="8">
        <v>11.4</v>
      </c>
      <c r="D295" s="14">
        <v>0.75129999999999997</v>
      </c>
      <c r="E295" s="14">
        <f t="shared" si="14"/>
        <v>0.24870000000000003</v>
      </c>
      <c r="F295" s="14">
        <v>0.63790000000000002</v>
      </c>
      <c r="G295" s="14">
        <f t="shared" si="15"/>
        <v>0.36209999999999998</v>
      </c>
    </row>
    <row r="296" spans="2:7" x14ac:dyDescent="0.25">
      <c r="B296" s="13">
        <v>173.25</v>
      </c>
      <c r="C296" s="8">
        <v>11.483000000000001</v>
      </c>
      <c r="D296" s="14">
        <v>0.73770000000000002</v>
      </c>
      <c r="E296" s="14">
        <f t="shared" si="14"/>
        <v>0.26229999999999998</v>
      </c>
      <c r="F296" s="14">
        <v>0.6371</v>
      </c>
      <c r="G296" s="14">
        <f t="shared" si="15"/>
        <v>0.3629</v>
      </c>
    </row>
    <row r="297" spans="2:7" x14ac:dyDescent="0.25">
      <c r="B297" s="13">
        <v>173.25</v>
      </c>
      <c r="C297" s="8">
        <v>11.625</v>
      </c>
      <c r="F297" s="14">
        <v>0.69179999999999997</v>
      </c>
      <c r="G297" s="14">
        <f t="shared" si="15"/>
        <v>0.30820000000000003</v>
      </c>
    </row>
    <row r="298" spans="2:7" x14ac:dyDescent="0.25">
      <c r="B298" s="13">
        <v>163.16999999999999</v>
      </c>
      <c r="C298" s="8">
        <v>1.806</v>
      </c>
      <c r="D298" s="14">
        <v>1</v>
      </c>
      <c r="E298" s="14">
        <f t="shared" si="14"/>
        <v>0</v>
      </c>
      <c r="F298" s="14">
        <v>1</v>
      </c>
      <c r="G298" s="14">
        <f t="shared" si="15"/>
        <v>0</v>
      </c>
    </row>
    <row r="299" spans="2:7" x14ac:dyDescent="0.25">
      <c r="B299" s="13">
        <v>163.16999999999999</v>
      </c>
      <c r="C299" s="8">
        <v>2.1680000000000001</v>
      </c>
      <c r="D299" s="14">
        <v>0.99370000000000003</v>
      </c>
      <c r="E299" s="14">
        <f t="shared" si="14"/>
        <v>6.2999999999999723E-3</v>
      </c>
      <c r="F299" s="14">
        <v>0.88080000000000003</v>
      </c>
      <c r="G299" s="14">
        <f t="shared" si="15"/>
        <v>0.11919999999999997</v>
      </c>
    </row>
    <row r="300" spans="2:7" x14ac:dyDescent="0.25">
      <c r="B300" s="13">
        <v>163.16999999999999</v>
      </c>
      <c r="C300" s="8">
        <v>2.444</v>
      </c>
      <c r="D300" s="14">
        <v>0.9889</v>
      </c>
      <c r="E300" s="14">
        <f t="shared" si="14"/>
        <v>1.1099999999999999E-2</v>
      </c>
      <c r="F300" s="14">
        <v>0.80820000000000003</v>
      </c>
      <c r="G300" s="14">
        <f t="shared" si="15"/>
        <v>0.19179999999999997</v>
      </c>
    </row>
    <row r="301" spans="2:7" x14ac:dyDescent="0.25">
      <c r="B301" s="13">
        <v>163.16999999999999</v>
      </c>
      <c r="C301" s="8">
        <v>2.8719999999999999</v>
      </c>
      <c r="D301" s="14">
        <v>0.98119999999999996</v>
      </c>
      <c r="E301" s="14">
        <f t="shared" si="14"/>
        <v>1.8800000000000039E-2</v>
      </c>
      <c r="F301" s="14">
        <v>0.73140000000000005</v>
      </c>
      <c r="G301" s="14">
        <f t="shared" si="15"/>
        <v>0.26859999999999995</v>
      </c>
    </row>
    <row r="302" spans="2:7" x14ac:dyDescent="0.25">
      <c r="B302" s="13">
        <v>163.16999999999999</v>
      </c>
      <c r="C302" s="8">
        <v>4.04</v>
      </c>
      <c r="D302" s="14">
        <v>0.9597</v>
      </c>
      <c r="E302" s="14">
        <f t="shared" si="14"/>
        <v>4.0300000000000002E-2</v>
      </c>
      <c r="F302" s="14">
        <v>0.58479999999999999</v>
      </c>
      <c r="G302" s="14">
        <f t="shared" si="15"/>
        <v>0.41520000000000001</v>
      </c>
    </row>
    <row r="303" spans="2:7" x14ac:dyDescent="0.25">
      <c r="B303" s="13">
        <v>163.16999999999999</v>
      </c>
      <c r="C303" s="8">
        <v>5.6159999999999997</v>
      </c>
      <c r="D303" s="14">
        <v>0.93120000000000003</v>
      </c>
      <c r="E303" s="14">
        <f t="shared" si="14"/>
        <v>6.8799999999999972E-2</v>
      </c>
      <c r="F303" s="14">
        <v>0.4869</v>
      </c>
      <c r="G303" s="14">
        <f t="shared" si="15"/>
        <v>0.5131</v>
      </c>
    </row>
    <row r="304" spans="2:7" x14ac:dyDescent="0.25">
      <c r="B304" s="13">
        <v>163.16999999999999</v>
      </c>
      <c r="C304" s="8">
        <v>6.9950000000000001</v>
      </c>
      <c r="D304" s="14">
        <v>0.90300000000000002</v>
      </c>
      <c r="E304" s="14">
        <f t="shared" si="14"/>
        <v>9.6999999999999975E-2</v>
      </c>
      <c r="F304" s="14">
        <v>0.442</v>
      </c>
      <c r="G304" s="14">
        <f t="shared" si="15"/>
        <v>0.55800000000000005</v>
      </c>
    </row>
    <row r="305" spans="2:7" x14ac:dyDescent="0.25">
      <c r="B305" s="13">
        <v>163.16999999999999</v>
      </c>
      <c r="C305" s="8">
        <v>8.3740000000000006</v>
      </c>
      <c r="D305" s="14">
        <v>0.87780000000000002</v>
      </c>
      <c r="E305" s="14">
        <f t="shared" si="14"/>
        <v>0.12219999999999998</v>
      </c>
      <c r="F305" s="14">
        <v>0.41749999999999998</v>
      </c>
      <c r="G305" s="14">
        <f t="shared" si="15"/>
        <v>0.58250000000000002</v>
      </c>
    </row>
    <row r="306" spans="2:7" x14ac:dyDescent="0.25">
      <c r="B306" s="13">
        <v>163.16999999999999</v>
      </c>
      <c r="C306" s="8">
        <v>9.7530000000000001</v>
      </c>
      <c r="D306" s="14">
        <v>0.85050000000000003</v>
      </c>
      <c r="E306" s="14">
        <f t="shared" si="14"/>
        <v>0.14949999999999997</v>
      </c>
      <c r="F306" s="14">
        <v>0.40529999999999999</v>
      </c>
      <c r="G306" s="14">
        <f t="shared" si="15"/>
        <v>0.59470000000000001</v>
      </c>
    </row>
    <row r="307" spans="2:7" x14ac:dyDescent="0.25">
      <c r="B307" s="13">
        <v>163.16999999999999</v>
      </c>
      <c r="C307" s="8">
        <v>11.132</v>
      </c>
      <c r="D307" s="14">
        <v>0.81979999999999997</v>
      </c>
      <c r="E307" s="14">
        <f t="shared" si="14"/>
        <v>0.18020000000000003</v>
      </c>
      <c r="F307" s="14">
        <v>0.40379999999999999</v>
      </c>
      <c r="G307" s="14">
        <f t="shared" si="15"/>
        <v>0.59620000000000006</v>
      </c>
    </row>
    <row r="308" spans="2:7" x14ac:dyDescent="0.25">
      <c r="B308" s="13">
        <v>163.16999999999999</v>
      </c>
      <c r="C308" s="8">
        <v>12.510999999999999</v>
      </c>
      <c r="D308" s="14">
        <v>0.78449999999999998</v>
      </c>
      <c r="E308" s="14">
        <f t="shared" si="14"/>
        <v>0.21550000000000002</v>
      </c>
      <c r="F308" s="14">
        <v>0.40760000000000002</v>
      </c>
      <c r="G308" s="14">
        <f t="shared" si="15"/>
        <v>0.59240000000000004</v>
      </c>
    </row>
    <row r="309" spans="2:7" x14ac:dyDescent="0.25">
      <c r="B309" s="13">
        <v>163.16999999999999</v>
      </c>
      <c r="C309" s="8">
        <v>13.82</v>
      </c>
      <c r="D309" s="14">
        <v>0.74939999999999996</v>
      </c>
      <c r="E309" s="14">
        <f t="shared" si="14"/>
        <v>0.25060000000000004</v>
      </c>
      <c r="F309" s="14">
        <v>0.42549999999999999</v>
      </c>
      <c r="G309" s="14">
        <f t="shared" si="15"/>
        <v>0.57450000000000001</v>
      </c>
    </row>
    <row r="310" spans="2:7" x14ac:dyDescent="0.25">
      <c r="B310" s="13">
        <v>163.16999999999999</v>
      </c>
      <c r="C310" s="8">
        <v>15.199</v>
      </c>
      <c r="D310" s="14">
        <v>0.6905</v>
      </c>
      <c r="E310" s="14">
        <f t="shared" si="14"/>
        <v>0.3095</v>
      </c>
      <c r="F310" s="14">
        <v>0.47099999999999997</v>
      </c>
      <c r="G310" s="14">
        <f t="shared" si="15"/>
        <v>0.52900000000000003</v>
      </c>
    </row>
    <row r="311" spans="2:7" x14ac:dyDescent="0.25">
      <c r="B311" s="13">
        <v>163.16999999999999</v>
      </c>
      <c r="C311" s="8">
        <v>15.544</v>
      </c>
      <c r="D311" s="14">
        <v>0.67169999999999996</v>
      </c>
      <c r="E311" s="14">
        <f t="shared" si="14"/>
        <v>0.32830000000000004</v>
      </c>
      <c r="F311" s="14">
        <v>0.4844</v>
      </c>
      <c r="G311" s="14">
        <f t="shared" si="15"/>
        <v>0.51560000000000006</v>
      </c>
    </row>
    <row r="312" spans="2:7" x14ac:dyDescent="0.25">
      <c r="B312" s="13">
        <v>163.16999999999999</v>
      </c>
      <c r="C312" s="8">
        <v>15.888999999999999</v>
      </c>
      <c r="D312" s="14">
        <v>0.63390000000000002</v>
      </c>
      <c r="E312" s="14">
        <f t="shared" si="14"/>
        <v>0.36609999999999998</v>
      </c>
      <c r="F312" s="14">
        <v>0.51729999999999998</v>
      </c>
      <c r="G312" s="14">
        <f t="shared" si="15"/>
        <v>0.48270000000000002</v>
      </c>
    </row>
    <row r="313" spans="2:7" x14ac:dyDescent="0.25">
      <c r="B313" s="13">
        <v>163.16999999999999</v>
      </c>
      <c r="C313" s="8">
        <v>15.958</v>
      </c>
      <c r="D313" s="14">
        <v>0.62</v>
      </c>
      <c r="E313" s="14">
        <f t="shared" si="14"/>
        <v>0.38</v>
      </c>
      <c r="F313" s="14">
        <v>0.52669999999999995</v>
      </c>
      <c r="G313" s="14">
        <f t="shared" si="15"/>
        <v>0.47330000000000005</v>
      </c>
    </row>
    <row r="314" spans="2:7" x14ac:dyDescent="0.25">
      <c r="B314" s="13">
        <v>163.16999999999999</v>
      </c>
      <c r="C314" s="8">
        <v>15.992000000000001</v>
      </c>
      <c r="F314" s="14">
        <v>0.55349999999999999</v>
      </c>
      <c r="G314" s="14">
        <f t="shared" si="15"/>
        <v>0.44650000000000001</v>
      </c>
    </row>
    <row r="315" spans="2:7" x14ac:dyDescent="0.25">
      <c r="B315" s="13">
        <v>153.21</v>
      </c>
      <c r="C315" s="8">
        <v>1.2</v>
      </c>
      <c r="D315" s="14">
        <v>1</v>
      </c>
      <c r="E315" s="14">
        <f t="shared" si="14"/>
        <v>0</v>
      </c>
      <c r="F315" s="14">
        <v>1</v>
      </c>
      <c r="G315" s="14">
        <f t="shared" si="15"/>
        <v>0</v>
      </c>
    </row>
    <row r="316" spans="2:7" x14ac:dyDescent="0.25">
      <c r="B316" s="13">
        <v>153.21</v>
      </c>
      <c r="C316" s="8">
        <v>3.6160000000000001</v>
      </c>
      <c r="D316" s="14">
        <v>0.96430000000000005</v>
      </c>
      <c r="E316" s="14">
        <f t="shared" si="14"/>
        <v>3.5699999999999954E-2</v>
      </c>
      <c r="F316" s="14">
        <v>0.44350000000000001</v>
      </c>
      <c r="G316" s="14">
        <f t="shared" si="15"/>
        <v>0.55649999999999999</v>
      </c>
    </row>
    <row r="317" spans="2:7" x14ac:dyDescent="0.25">
      <c r="B317" s="13">
        <v>153.21</v>
      </c>
      <c r="C317" s="8">
        <v>4.1369999999999996</v>
      </c>
      <c r="D317" s="14">
        <v>0.95569999999999999</v>
      </c>
      <c r="E317" s="14">
        <f t="shared" si="14"/>
        <v>4.4300000000000006E-2</v>
      </c>
      <c r="F317" s="14">
        <v>0.40460000000000002</v>
      </c>
      <c r="G317" s="14">
        <f t="shared" si="15"/>
        <v>0.59539999999999993</v>
      </c>
    </row>
    <row r="318" spans="2:7" x14ac:dyDescent="0.25">
      <c r="B318" s="13">
        <v>153.21</v>
      </c>
      <c r="C318" s="8">
        <v>4.1369999999999996</v>
      </c>
      <c r="D318" s="14">
        <v>0.95540000000000003</v>
      </c>
      <c r="E318" s="14">
        <f t="shared" si="14"/>
        <v>4.4599999999999973E-2</v>
      </c>
      <c r="F318" s="14">
        <v>0.40839999999999999</v>
      </c>
      <c r="G318" s="14">
        <f t="shared" si="15"/>
        <v>0.59160000000000001</v>
      </c>
    </row>
    <row r="319" spans="2:7" x14ac:dyDescent="0.25">
      <c r="B319" s="13">
        <v>153.21</v>
      </c>
      <c r="C319" s="8">
        <v>5.2370000000000001</v>
      </c>
      <c r="D319" s="14">
        <v>0.93779999999999997</v>
      </c>
      <c r="E319" s="14">
        <f t="shared" si="14"/>
        <v>6.2200000000000033E-2</v>
      </c>
      <c r="F319" s="14">
        <v>0.35699999999999998</v>
      </c>
      <c r="G319" s="14">
        <f t="shared" si="15"/>
        <v>0.64300000000000002</v>
      </c>
    </row>
    <row r="320" spans="2:7" x14ac:dyDescent="0.25">
      <c r="B320" s="13">
        <v>153.21</v>
      </c>
      <c r="C320" s="8">
        <v>6.2050000000000001</v>
      </c>
      <c r="D320" s="14">
        <v>0.92559999999999998</v>
      </c>
      <c r="E320" s="14">
        <f t="shared" si="14"/>
        <v>7.4400000000000022E-2</v>
      </c>
      <c r="F320" s="14">
        <v>0.32679999999999998</v>
      </c>
      <c r="G320" s="14">
        <f t="shared" si="15"/>
        <v>0.67320000000000002</v>
      </c>
    </row>
    <row r="321" spans="2:7" x14ac:dyDescent="0.25">
      <c r="B321" s="13">
        <v>153.21</v>
      </c>
      <c r="C321" s="8">
        <v>6.3739999999999997</v>
      </c>
      <c r="D321" s="14">
        <v>0.92049999999999998</v>
      </c>
      <c r="E321" s="14">
        <f t="shared" si="14"/>
        <v>7.9500000000000015E-2</v>
      </c>
      <c r="F321" s="14">
        <v>0.32479999999999998</v>
      </c>
      <c r="G321" s="14">
        <f t="shared" si="15"/>
        <v>0.67520000000000002</v>
      </c>
    </row>
    <row r="322" spans="2:7" x14ac:dyDescent="0.25">
      <c r="B322" s="13">
        <v>153.21</v>
      </c>
      <c r="C322" s="8">
        <v>7.5910000000000002</v>
      </c>
      <c r="D322" s="14">
        <v>0.90259999999999996</v>
      </c>
      <c r="E322" s="14">
        <f t="shared" si="14"/>
        <v>9.7400000000000042E-2</v>
      </c>
      <c r="F322" s="14">
        <v>0.30270000000000002</v>
      </c>
      <c r="G322" s="14">
        <f t="shared" si="15"/>
        <v>0.69730000000000003</v>
      </c>
    </row>
    <row r="323" spans="2:7" x14ac:dyDescent="0.25">
      <c r="B323" s="13">
        <v>153.21</v>
      </c>
      <c r="C323" s="8">
        <v>8.2739999999999991</v>
      </c>
      <c r="D323" s="14">
        <v>0.89329999999999998</v>
      </c>
      <c r="E323" s="14">
        <f t="shared" si="14"/>
        <v>0.10670000000000002</v>
      </c>
      <c r="F323" s="14">
        <v>0.29849999999999999</v>
      </c>
      <c r="G323" s="14">
        <f t="shared" si="15"/>
        <v>0.70150000000000001</v>
      </c>
    </row>
    <row r="324" spans="2:7" x14ac:dyDescent="0.25">
      <c r="B324" s="13">
        <v>153.21</v>
      </c>
      <c r="C324" s="8">
        <v>8.9629999999999992</v>
      </c>
      <c r="D324" s="14">
        <v>0.87980000000000003</v>
      </c>
      <c r="E324" s="14">
        <f t="shared" si="14"/>
        <v>0.12019999999999997</v>
      </c>
      <c r="F324" s="14">
        <v>0.28949999999999998</v>
      </c>
      <c r="G324" s="14">
        <f t="shared" si="15"/>
        <v>0.71050000000000002</v>
      </c>
    </row>
    <row r="325" spans="2:7" x14ac:dyDescent="0.25">
      <c r="B325" s="13">
        <v>153.21</v>
      </c>
      <c r="C325" s="8">
        <v>10.342000000000001</v>
      </c>
      <c r="D325" s="14">
        <v>0.85829999999999995</v>
      </c>
      <c r="E325" s="14">
        <f t="shared" si="14"/>
        <v>0.14170000000000005</v>
      </c>
      <c r="F325" s="14">
        <v>0.2823</v>
      </c>
      <c r="G325" s="14">
        <f t="shared" si="15"/>
        <v>0.7177</v>
      </c>
    </row>
    <row r="326" spans="2:7" x14ac:dyDescent="0.25">
      <c r="B326" s="13">
        <v>153.21</v>
      </c>
      <c r="C326" s="8">
        <v>11.721</v>
      </c>
      <c r="D326" s="14">
        <v>0.83260000000000001</v>
      </c>
      <c r="E326" s="14">
        <f t="shared" si="14"/>
        <v>0.16739999999999999</v>
      </c>
      <c r="F326" s="14">
        <v>0.2802</v>
      </c>
      <c r="G326" s="14">
        <f t="shared" si="15"/>
        <v>0.7198</v>
      </c>
    </row>
    <row r="327" spans="2:7" x14ac:dyDescent="0.25">
      <c r="B327" s="13">
        <v>153.21</v>
      </c>
      <c r="C327" s="8">
        <v>13.789</v>
      </c>
      <c r="D327" s="14">
        <v>0.79290000000000005</v>
      </c>
      <c r="E327" s="14">
        <f t="shared" si="14"/>
        <v>0.20709999999999995</v>
      </c>
      <c r="F327" s="14">
        <v>0.28860000000000002</v>
      </c>
      <c r="G327" s="14">
        <f t="shared" si="15"/>
        <v>0.71140000000000003</v>
      </c>
    </row>
    <row r="328" spans="2:7" x14ac:dyDescent="0.25">
      <c r="B328" s="13">
        <v>153.21</v>
      </c>
      <c r="C328" s="8">
        <v>15.513</v>
      </c>
      <c r="D328" s="14">
        <v>0.75749999999999995</v>
      </c>
      <c r="E328" s="14">
        <f t="shared" si="14"/>
        <v>0.24250000000000005</v>
      </c>
      <c r="F328" s="14">
        <v>0.3024</v>
      </c>
      <c r="G328" s="14">
        <f t="shared" si="15"/>
        <v>0.6976</v>
      </c>
    </row>
    <row r="329" spans="2:7" x14ac:dyDescent="0.25">
      <c r="B329" s="13">
        <v>153.21</v>
      </c>
      <c r="C329" s="8">
        <v>17.236999999999998</v>
      </c>
      <c r="D329" s="14">
        <v>0.7157</v>
      </c>
      <c r="E329" s="14">
        <f t="shared" si="14"/>
        <v>0.2843</v>
      </c>
      <c r="F329" s="14">
        <v>0.32240000000000002</v>
      </c>
      <c r="G329" s="14">
        <f t="shared" si="15"/>
        <v>0.67759999999999998</v>
      </c>
    </row>
    <row r="330" spans="2:7" x14ac:dyDescent="0.25">
      <c r="B330" s="13">
        <v>153.21</v>
      </c>
      <c r="C330" s="8">
        <v>19.099</v>
      </c>
      <c r="D330" s="14">
        <v>0.66149999999999998</v>
      </c>
      <c r="E330" s="14">
        <f t="shared" si="14"/>
        <v>0.33850000000000002</v>
      </c>
      <c r="F330" s="14">
        <v>0.3594</v>
      </c>
      <c r="G330" s="14">
        <f t="shared" si="15"/>
        <v>0.64060000000000006</v>
      </c>
    </row>
    <row r="331" spans="2:7" x14ac:dyDescent="0.25">
      <c r="B331" s="13">
        <v>153.21</v>
      </c>
      <c r="C331" s="8">
        <v>19.890999999999998</v>
      </c>
      <c r="D331" s="14">
        <v>0.62270000000000003</v>
      </c>
      <c r="E331" s="14">
        <f t="shared" ref="E331:E394" si="16">1-D331</f>
        <v>0.37729999999999997</v>
      </c>
      <c r="F331" s="14">
        <v>0.38569999999999999</v>
      </c>
      <c r="G331" s="14">
        <f t="shared" ref="G331:G394" si="17">1-F331</f>
        <v>0.61430000000000007</v>
      </c>
    </row>
    <row r="332" spans="2:7" x14ac:dyDescent="0.25">
      <c r="B332" s="13">
        <v>153.21</v>
      </c>
      <c r="C332" s="8">
        <v>20.271000000000001</v>
      </c>
      <c r="D332" s="14">
        <v>0.60360000000000003</v>
      </c>
      <c r="E332" s="14">
        <f t="shared" si="16"/>
        <v>0.39639999999999997</v>
      </c>
      <c r="F332" s="14">
        <v>0.4027</v>
      </c>
      <c r="G332" s="14">
        <f t="shared" si="17"/>
        <v>0.59729999999999994</v>
      </c>
    </row>
    <row r="333" spans="2:7" x14ac:dyDescent="0.25">
      <c r="B333" s="13">
        <v>153.21</v>
      </c>
      <c r="C333" s="8">
        <v>20.512</v>
      </c>
      <c r="D333" s="14">
        <v>0.58689999999999998</v>
      </c>
      <c r="E333" s="14">
        <f t="shared" si="16"/>
        <v>0.41310000000000002</v>
      </c>
      <c r="F333" s="14">
        <v>0.42299999999999999</v>
      </c>
      <c r="G333" s="14">
        <f t="shared" si="17"/>
        <v>0.57699999999999996</v>
      </c>
    </row>
    <row r="334" spans="2:7" x14ac:dyDescent="0.25">
      <c r="B334" s="13">
        <v>153.21</v>
      </c>
      <c r="C334" s="8">
        <v>20.719000000000001</v>
      </c>
      <c r="D334" s="14">
        <v>0.55659999999999998</v>
      </c>
      <c r="E334" s="14">
        <f t="shared" si="16"/>
        <v>0.44340000000000002</v>
      </c>
      <c r="F334" s="14">
        <v>0.44319999999999998</v>
      </c>
      <c r="G334" s="14">
        <f t="shared" si="17"/>
        <v>0.55679999999999996</v>
      </c>
    </row>
    <row r="335" spans="2:7" x14ac:dyDescent="0.25">
      <c r="B335" s="13">
        <v>153.21</v>
      </c>
      <c r="C335" s="8">
        <v>20.821999999999999</v>
      </c>
      <c r="F335" s="14">
        <v>0.48430000000000001</v>
      </c>
      <c r="G335" s="14">
        <f t="shared" si="17"/>
        <v>0.51570000000000005</v>
      </c>
    </row>
    <row r="336" spans="2:7" x14ac:dyDescent="0.25">
      <c r="B336" s="13">
        <v>143.47999999999999</v>
      </c>
      <c r="C336" s="8">
        <v>0.751</v>
      </c>
      <c r="D336" s="14">
        <v>1</v>
      </c>
      <c r="E336" s="14">
        <f t="shared" si="16"/>
        <v>0</v>
      </c>
      <c r="F336" s="14">
        <v>1</v>
      </c>
      <c r="G336" s="14">
        <f t="shared" si="17"/>
        <v>0</v>
      </c>
    </row>
    <row r="337" spans="2:7" x14ac:dyDescent="0.25">
      <c r="B337" s="13">
        <v>143.47999999999999</v>
      </c>
      <c r="C337" s="8">
        <v>1.3859999999999999</v>
      </c>
      <c r="D337" s="14">
        <v>0.99209999999999998</v>
      </c>
      <c r="E337" s="14">
        <f t="shared" si="16"/>
        <v>7.9000000000000181E-3</v>
      </c>
      <c r="F337" s="14">
        <v>0.60119999999999996</v>
      </c>
      <c r="G337" s="14">
        <f t="shared" si="17"/>
        <v>0.39880000000000004</v>
      </c>
    </row>
    <row r="338" spans="2:7" x14ac:dyDescent="0.25">
      <c r="B338" s="13">
        <v>143.47999999999999</v>
      </c>
      <c r="C338" s="8">
        <v>3.4510000000000001</v>
      </c>
      <c r="D338" s="14">
        <v>0.96340000000000003</v>
      </c>
      <c r="E338" s="14">
        <f t="shared" si="16"/>
        <v>3.6599999999999966E-2</v>
      </c>
      <c r="F338" s="14">
        <v>0.30380000000000001</v>
      </c>
      <c r="G338" s="14">
        <f t="shared" si="17"/>
        <v>0.69619999999999993</v>
      </c>
    </row>
    <row r="339" spans="2:7" x14ac:dyDescent="0.25">
      <c r="B339" s="13">
        <v>143.47999999999999</v>
      </c>
      <c r="C339" s="8">
        <v>4.1539999999999999</v>
      </c>
      <c r="D339" s="14">
        <v>0.95389999999999997</v>
      </c>
      <c r="E339" s="14">
        <f t="shared" si="16"/>
        <v>4.610000000000003E-2</v>
      </c>
      <c r="F339" s="14">
        <v>0.26929999999999998</v>
      </c>
      <c r="G339" s="14">
        <f t="shared" si="17"/>
        <v>0.73070000000000002</v>
      </c>
    </row>
    <row r="340" spans="2:7" x14ac:dyDescent="0.25">
      <c r="B340" s="13">
        <v>143.47999999999999</v>
      </c>
      <c r="C340" s="8">
        <v>5.5259999999999998</v>
      </c>
      <c r="D340" s="14">
        <v>0.93430000000000002</v>
      </c>
      <c r="E340" s="14">
        <f t="shared" si="16"/>
        <v>6.5699999999999981E-2</v>
      </c>
      <c r="F340" s="14">
        <v>0.2303</v>
      </c>
      <c r="G340" s="14">
        <f t="shared" si="17"/>
        <v>0.76970000000000005</v>
      </c>
    </row>
    <row r="341" spans="2:7" x14ac:dyDescent="0.25">
      <c r="B341" s="13">
        <v>143.47999999999999</v>
      </c>
      <c r="C341" s="8">
        <v>6.891</v>
      </c>
      <c r="D341" s="14">
        <v>0.91579999999999995</v>
      </c>
      <c r="E341" s="14">
        <f t="shared" si="16"/>
        <v>8.4200000000000053E-2</v>
      </c>
      <c r="F341" s="14">
        <v>0.20910000000000001</v>
      </c>
      <c r="G341" s="14">
        <f t="shared" si="17"/>
        <v>0.79089999999999994</v>
      </c>
    </row>
    <row r="342" spans="2:7" x14ac:dyDescent="0.25">
      <c r="B342" s="13">
        <v>143.47999999999999</v>
      </c>
      <c r="C342" s="8">
        <v>8.2739999999999991</v>
      </c>
      <c r="D342" s="14">
        <v>0.89810000000000001</v>
      </c>
      <c r="E342" s="14">
        <f t="shared" si="16"/>
        <v>0.10189999999999999</v>
      </c>
      <c r="F342" s="14">
        <v>0.1938</v>
      </c>
      <c r="G342" s="14">
        <f t="shared" si="17"/>
        <v>0.80620000000000003</v>
      </c>
    </row>
    <row r="343" spans="2:7" x14ac:dyDescent="0.25">
      <c r="B343" s="13">
        <v>143.47999999999999</v>
      </c>
      <c r="C343" s="8">
        <v>8.6180000000000003</v>
      </c>
      <c r="D343" s="14">
        <v>0.89329999999999998</v>
      </c>
      <c r="E343" s="14">
        <f t="shared" si="16"/>
        <v>0.10670000000000002</v>
      </c>
      <c r="F343" s="14">
        <v>0.19670000000000001</v>
      </c>
      <c r="G343" s="14">
        <f t="shared" si="17"/>
        <v>0.80330000000000001</v>
      </c>
    </row>
    <row r="344" spans="2:7" x14ac:dyDescent="0.25">
      <c r="B344" s="13">
        <v>143.47999999999999</v>
      </c>
      <c r="C344" s="8">
        <v>10.342000000000001</v>
      </c>
      <c r="D344" s="14">
        <v>0.87170000000000003</v>
      </c>
      <c r="E344" s="14">
        <f t="shared" si="16"/>
        <v>0.12829999999999997</v>
      </c>
      <c r="F344" s="14">
        <v>0.19170000000000001</v>
      </c>
      <c r="G344" s="14">
        <f t="shared" si="17"/>
        <v>0.80830000000000002</v>
      </c>
    </row>
    <row r="345" spans="2:7" x14ac:dyDescent="0.25">
      <c r="B345" s="13">
        <v>143.47999999999999</v>
      </c>
      <c r="C345" s="8">
        <v>13.789</v>
      </c>
      <c r="D345" s="14">
        <v>0.8206</v>
      </c>
      <c r="E345" s="14">
        <f t="shared" si="16"/>
        <v>0.1794</v>
      </c>
      <c r="F345" s="14">
        <v>0.19370000000000001</v>
      </c>
      <c r="G345" s="14">
        <f t="shared" si="17"/>
        <v>0.80630000000000002</v>
      </c>
    </row>
    <row r="346" spans="2:7" x14ac:dyDescent="0.25">
      <c r="B346" s="13">
        <v>143.47999999999999</v>
      </c>
      <c r="C346" s="8">
        <v>17.236999999999998</v>
      </c>
      <c r="D346" s="14">
        <v>0.76339999999999997</v>
      </c>
      <c r="E346" s="14">
        <f t="shared" si="16"/>
        <v>0.23660000000000003</v>
      </c>
      <c r="F346" s="14">
        <v>0.2099</v>
      </c>
      <c r="G346" s="14">
        <f t="shared" si="17"/>
        <v>0.79010000000000002</v>
      </c>
    </row>
    <row r="347" spans="2:7" x14ac:dyDescent="0.25">
      <c r="B347" s="13">
        <v>143.47999999999999</v>
      </c>
      <c r="C347" s="8">
        <v>20.684000000000001</v>
      </c>
      <c r="D347" s="14">
        <v>0.70169999999999999</v>
      </c>
      <c r="E347" s="14">
        <f t="shared" si="16"/>
        <v>0.29830000000000001</v>
      </c>
      <c r="F347" s="14">
        <v>0.23910000000000001</v>
      </c>
      <c r="G347" s="14">
        <f t="shared" si="17"/>
        <v>0.76090000000000002</v>
      </c>
    </row>
    <row r="348" spans="2:7" x14ac:dyDescent="0.25">
      <c r="B348" s="13">
        <v>143.47999999999999</v>
      </c>
      <c r="C348" s="8">
        <v>22.408000000000001</v>
      </c>
      <c r="D348" s="14">
        <v>0.6673</v>
      </c>
      <c r="E348" s="14">
        <f t="shared" si="16"/>
        <v>0.3327</v>
      </c>
      <c r="F348" s="14">
        <v>0.2606</v>
      </c>
      <c r="G348" s="14">
        <f t="shared" si="17"/>
        <v>0.73940000000000006</v>
      </c>
    </row>
    <row r="349" spans="2:7" x14ac:dyDescent="0.25">
      <c r="B349" s="13">
        <v>143.47999999999999</v>
      </c>
      <c r="C349" s="8">
        <v>24.132000000000001</v>
      </c>
      <c r="D349" s="14">
        <v>0.62119999999999997</v>
      </c>
      <c r="E349" s="14">
        <f t="shared" si="16"/>
        <v>0.37880000000000003</v>
      </c>
      <c r="F349" s="14">
        <v>0.2898</v>
      </c>
      <c r="G349" s="14">
        <f t="shared" si="17"/>
        <v>0.71019999999999994</v>
      </c>
    </row>
    <row r="350" spans="2:7" x14ac:dyDescent="0.25">
      <c r="B350" s="13">
        <v>143.47999999999999</v>
      </c>
      <c r="C350" s="8">
        <v>25.864999999999998</v>
      </c>
      <c r="D350" s="14">
        <v>0.53920000000000001</v>
      </c>
      <c r="E350" s="14">
        <f t="shared" si="16"/>
        <v>0.46079999999999999</v>
      </c>
      <c r="F350" s="14">
        <v>0.3553</v>
      </c>
      <c r="G350" s="14">
        <f t="shared" si="17"/>
        <v>0.64470000000000005</v>
      </c>
    </row>
    <row r="351" spans="2:7" x14ac:dyDescent="0.25">
      <c r="B351" s="13">
        <v>143.47999999999999</v>
      </c>
      <c r="C351" s="8">
        <v>26.303000000000001</v>
      </c>
      <c r="D351" s="14">
        <v>0.51080000000000003</v>
      </c>
      <c r="E351" s="14">
        <f t="shared" si="16"/>
        <v>0.48919999999999997</v>
      </c>
      <c r="F351" s="14">
        <v>0.38329999999999997</v>
      </c>
      <c r="G351" s="14">
        <f t="shared" si="17"/>
        <v>0.61670000000000003</v>
      </c>
    </row>
    <row r="352" spans="2:7" x14ac:dyDescent="0.25">
      <c r="B352" s="13">
        <v>143.47999999999999</v>
      </c>
      <c r="C352" s="8">
        <v>26.407</v>
      </c>
      <c r="F352" s="14">
        <v>0.39539999999999997</v>
      </c>
      <c r="G352" s="14">
        <f t="shared" si="17"/>
        <v>0.60460000000000003</v>
      </c>
    </row>
    <row r="353" spans="2:7" x14ac:dyDescent="0.25">
      <c r="B353" s="13">
        <v>133.13999999999999</v>
      </c>
      <c r="C353" s="8">
        <v>0.442</v>
      </c>
      <c r="D353" s="14">
        <v>1</v>
      </c>
      <c r="E353" s="14">
        <f t="shared" si="16"/>
        <v>0</v>
      </c>
      <c r="F353" s="14">
        <v>1</v>
      </c>
      <c r="G353" s="14">
        <f t="shared" si="17"/>
        <v>0</v>
      </c>
    </row>
    <row r="354" spans="2:7" x14ac:dyDescent="0.25">
      <c r="B354" s="13">
        <v>133.13999999999999</v>
      </c>
      <c r="C354" s="8">
        <v>2.754</v>
      </c>
      <c r="D354" s="14">
        <v>0.97319999999999995</v>
      </c>
      <c r="E354" s="14">
        <f t="shared" si="16"/>
        <v>2.6800000000000046E-2</v>
      </c>
      <c r="F354" s="14">
        <v>0.22</v>
      </c>
      <c r="G354" s="14">
        <f t="shared" si="17"/>
        <v>0.78</v>
      </c>
    </row>
    <row r="355" spans="2:7" x14ac:dyDescent="0.25">
      <c r="B355" s="13">
        <v>133.13999999999999</v>
      </c>
      <c r="C355" s="8">
        <v>3.5510000000000002</v>
      </c>
      <c r="D355" s="14">
        <v>0.96240000000000003</v>
      </c>
      <c r="E355" s="14">
        <f t="shared" si="16"/>
        <v>3.7599999999999967E-2</v>
      </c>
      <c r="F355" s="14">
        <v>0.18390000000000001</v>
      </c>
      <c r="G355" s="14">
        <f t="shared" si="17"/>
        <v>0.81610000000000005</v>
      </c>
    </row>
    <row r="356" spans="2:7" x14ac:dyDescent="0.25">
      <c r="B356" s="13">
        <v>133.13999999999999</v>
      </c>
      <c r="C356" s="8">
        <v>4.1399999999999997</v>
      </c>
      <c r="D356" s="14">
        <v>0.95640000000000003</v>
      </c>
      <c r="E356" s="14">
        <f t="shared" si="16"/>
        <v>4.3599999999999972E-2</v>
      </c>
      <c r="F356" s="14">
        <v>0.16880000000000001</v>
      </c>
      <c r="G356" s="14">
        <f t="shared" si="17"/>
        <v>0.83119999999999994</v>
      </c>
    </row>
    <row r="357" spans="2:7" x14ac:dyDescent="0.25">
      <c r="B357" s="13">
        <v>133.13999999999999</v>
      </c>
      <c r="C357" s="8">
        <v>5.5190000000000001</v>
      </c>
      <c r="D357" s="14">
        <v>0.93959999999999999</v>
      </c>
      <c r="E357" s="14">
        <f t="shared" si="16"/>
        <v>6.0400000000000009E-2</v>
      </c>
      <c r="F357" s="14">
        <v>0.1457</v>
      </c>
      <c r="G357" s="14">
        <f t="shared" si="17"/>
        <v>0.85430000000000006</v>
      </c>
    </row>
    <row r="358" spans="2:7" x14ac:dyDescent="0.25">
      <c r="B358" s="13">
        <v>133.13999999999999</v>
      </c>
      <c r="C358" s="8">
        <v>6.86</v>
      </c>
      <c r="D358" s="14">
        <v>0.92620000000000002</v>
      </c>
      <c r="E358" s="14">
        <f t="shared" si="16"/>
        <v>7.3799999999999977E-2</v>
      </c>
      <c r="F358" s="14">
        <v>0.13370000000000001</v>
      </c>
      <c r="G358" s="14">
        <f t="shared" si="17"/>
        <v>0.86629999999999996</v>
      </c>
    </row>
    <row r="359" spans="2:7" x14ac:dyDescent="0.25">
      <c r="B359" s="13">
        <v>133.13999999999999</v>
      </c>
      <c r="C359" s="8">
        <v>6.9530000000000003</v>
      </c>
      <c r="D359" s="14">
        <v>0.9224</v>
      </c>
      <c r="E359" s="14">
        <f t="shared" si="16"/>
        <v>7.7600000000000002E-2</v>
      </c>
      <c r="F359" s="14">
        <v>0.13420000000000001</v>
      </c>
      <c r="G359" s="14">
        <f t="shared" si="17"/>
        <v>0.86580000000000001</v>
      </c>
    </row>
    <row r="360" spans="2:7" x14ac:dyDescent="0.25">
      <c r="B360" s="13">
        <v>133.13999999999999</v>
      </c>
      <c r="C360" s="8">
        <v>9.6419999999999995</v>
      </c>
      <c r="D360" s="14">
        <v>0.89319999999999999</v>
      </c>
      <c r="E360" s="14">
        <f t="shared" si="16"/>
        <v>0.10680000000000001</v>
      </c>
      <c r="F360" s="14">
        <v>0.1249</v>
      </c>
      <c r="G360" s="14">
        <f t="shared" si="17"/>
        <v>0.87509999999999999</v>
      </c>
    </row>
    <row r="361" spans="2:7" x14ac:dyDescent="0.25">
      <c r="B361" s="13">
        <v>133.13999999999999</v>
      </c>
      <c r="C361" s="8">
        <v>13.755000000000001</v>
      </c>
      <c r="D361" s="14">
        <v>0.85119999999999996</v>
      </c>
      <c r="E361" s="14">
        <f t="shared" si="16"/>
        <v>0.14880000000000004</v>
      </c>
      <c r="F361" s="14">
        <v>0.12889999999999999</v>
      </c>
      <c r="G361" s="14">
        <f t="shared" si="17"/>
        <v>0.87109999999999999</v>
      </c>
    </row>
    <row r="362" spans="2:7" x14ac:dyDescent="0.25">
      <c r="B362" s="13">
        <v>133.13999999999999</v>
      </c>
      <c r="C362" s="8">
        <v>17.236999999999998</v>
      </c>
      <c r="D362" s="14">
        <v>0.80279999999999996</v>
      </c>
      <c r="E362" s="14">
        <f t="shared" si="16"/>
        <v>0.19720000000000004</v>
      </c>
      <c r="F362" s="14">
        <v>0.1411</v>
      </c>
      <c r="G362" s="14">
        <f t="shared" si="17"/>
        <v>0.8589</v>
      </c>
    </row>
    <row r="363" spans="2:7" x14ac:dyDescent="0.25">
      <c r="B363" s="13">
        <v>133.13999999999999</v>
      </c>
      <c r="C363" s="8">
        <v>20.739000000000001</v>
      </c>
      <c r="D363" s="14">
        <v>0.76149999999999995</v>
      </c>
      <c r="E363" s="14">
        <f t="shared" si="16"/>
        <v>0.23850000000000005</v>
      </c>
      <c r="F363" s="14">
        <v>0.159</v>
      </c>
      <c r="G363" s="14">
        <f t="shared" si="17"/>
        <v>0.84099999999999997</v>
      </c>
    </row>
    <row r="364" spans="2:7" x14ac:dyDescent="0.25">
      <c r="B364" s="13">
        <v>133.13999999999999</v>
      </c>
      <c r="C364" s="8">
        <v>24.132000000000001</v>
      </c>
      <c r="D364" s="14">
        <v>0.70409999999999995</v>
      </c>
      <c r="E364" s="14">
        <f t="shared" si="16"/>
        <v>0.29590000000000005</v>
      </c>
      <c r="F364" s="14">
        <v>0.1799</v>
      </c>
      <c r="G364" s="14">
        <f t="shared" si="17"/>
        <v>0.82010000000000005</v>
      </c>
    </row>
    <row r="365" spans="2:7" x14ac:dyDescent="0.25">
      <c r="B365" s="13">
        <v>133.13999999999999</v>
      </c>
      <c r="C365" s="8">
        <v>27.58</v>
      </c>
      <c r="D365" s="14">
        <v>0.64349999999999996</v>
      </c>
      <c r="E365" s="14">
        <f t="shared" si="16"/>
        <v>0.35650000000000004</v>
      </c>
      <c r="F365" s="14">
        <v>0.21060000000000001</v>
      </c>
      <c r="G365" s="14">
        <f t="shared" si="17"/>
        <v>0.78939999999999999</v>
      </c>
    </row>
    <row r="366" spans="2:7" x14ac:dyDescent="0.25">
      <c r="B366" s="13">
        <v>123.05</v>
      </c>
      <c r="C366" s="8">
        <v>0.23699999999999999</v>
      </c>
      <c r="D366" s="14">
        <v>1</v>
      </c>
      <c r="E366" s="14">
        <f t="shared" si="16"/>
        <v>0</v>
      </c>
      <c r="F366" s="14">
        <v>1</v>
      </c>
      <c r="G366" s="14">
        <f t="shared" si="17"/>
        <v>0</v>
      </c>
    </row>
    <row r="367" spans="2:7" x14ac:dyDescent="0.25">
      <c r="B367" s="13">
        <v>123.05</v>
      </c>
      <c r="C367" s="8">
        <v>4.516</v>
      </c>
      <c r="D367" s="14">
        <v>0.95609999999999995</v>
      </c>
      <c r="E367" s="14">
        <f t="shared" si="16"/>
        <v>4.390000000000005E-2</v>
      </c>
      <c r="F367" s="14">
        <v>9.1200000000000003E-2</v>
      </c>
      <c r="G367" s="14">
        <f t="shared" si="17"/>
        <v>0.90880000000000005</v>
      </c>
    </row>
    <row r="368" spans="2:7" x14ac:dyDescent="0.25">
      <c r="B368" s="13">
        <v>123.05</v>
      </c>
      <c r="C368" s="8">
        <v>5.516</v>
      </c>
      <c r="D368" s="14">
        <v>0.9446</v>
      </c>
      <c r="E368" s="14">
        <f t="shared" si="16"/>
        <v>5.5400000000000005E-2</v>
      </c>
      <c r="F368" s="14">
        <v>8.4830000000000003E-2</v>
      </c>
      <c r="G368" s="14">
        <f t="shared" si="17"/>
        <v>0.91517000000000004</v>
      </c>
    </row>
    <row r="369" spans="2:7" x14ac:dyDescent="0.25">
      <c r="B369" s="13">
        <v>123.05</v>
      </c>
      <c r="C369" s="8">
        <v>5.8949999999999996</v>
      </c>
      <c r="D369" s="14">
        <v>0.93889999999999996</v>
      </c>
      <c r="E369" s="14">
        <f t="shared" si="16"/>
        <v>6.1100000000000043E-2</v>
      </c>
      <c r="F369" s="14">
        <v>8.2199999999999995E-2</v>
      </c>
      <c r="G369" s="14">
        <f t="shared" si="17"/>
        <v>0.91779999999999995</v>
      </c>
    </row>
    <row r="370" spans="2:7" x14ac:dyDescent="0.25">
      <c r="B370" s="13">
        <v>123.05</v>
      </c>
      <c r="C370" s="8">
        <v>6.8949999999999996</v>
      </c>
      <c r="D370" s="14">
        <v>0.93089999999999995</v>
      </c>
      <c r="E370" s="14">
        <f t="shared" si="16"/>
        <v>6.910000000000005E-2</v>
      </c>
      <c r="F370" s="14">
        <v>7.9439999999999997E-2</v>
      </c>
      <c r="G370" s="14">
        <f t="shared" si="17"/>
        <v>0.92056000000000004</v>
      </c>
    </row>
    <row r="371" spans="2:7" x14ac:dyDescent="0.25">
      <c r="B371" s="13">
        <v>123.05</v>
      </c>
      <c r="C371" s="8">
        <v>6.8949999999999996</v>
      </c>
      <c r="D371" s="14">
        <v>0.93069999999999997</v>
      </c>
      <c r="E371" s="14">
        <f t="shared" si="16"/>
        <v>6.9300000000000028E-2</v>
      </c>
      <c r="F371" s="14">
        <v>7.8899999999999998E-2</v>
      </c>
      <c r="G371" s="14">
        <f t="shared" si="17"/>
        <v>0.92110000000000003</v>
      </c>
    </row>
    <row r="372" spans="2:7" x14ac:dyDescent="0.25">
      <c r="B372" s="13">
        <v>123.05</v>
      </c>
      <c r="C372" s="8">
        <v>8.6180000000000003</v>
      </c>
      <c r="D372" s="14">
        <v>0.91590000000000005</v>
      </c>
      <c r="E372" s="14">
        <f t="shared" si="16"/>
        <v>8.4099999999999953E-2</v>
      </c>
      <c r="F372" s="14">
        <v>7.8299999999999995E-2</v>
      </c>
      <c r="G372" s="14">
        <f t="shared" si="17"/>
        <v>0.92169999999999996</v>
      </c>
    </row>
    <row r="373" spans="2:7" x14ac:dyDescent="0.25">
      <c r="B373" s="13">
        <v>123.05</v>
      </c>
      <c r="C373" s="8">
        <v>10.342000000000001</v>
      </c>
      <c r="D373" s="14">
        <v>0.89629999999999999</v>
      </c>
      <c r="E373" s="14">
        <f t="shared" si="16"/>
        <v>0.10370000000000001</v>
      </c>
      <c r="F373" s="14">
        <v>7.6749999999999999E-2</v>
      </c>
      <c r="G373" s="14">
        <f t="shared" si="17"/>
        <v>0.92325000000000002</v>
      </c>
    </row>
    <row r="374" spans="2:7" x14ac:dyDescent="0.25">
      <c r="B374" s="13">
        <v>123.05</v>
      </c>
      <c r="C374" s="8">
        <v>13.845000000000001</v>
      </c>
      <c r="D374" s="14">
        <v>0.8589</v>
      </c>
      <c r="E374" s="14">
        <f t="shared" si="16"/>
        <v>0.1411</v>
      </c>
      <c r="F374" s="14">
        <v>8.0689999999999998E-2</v>
      </c>
      <c r="G374" s="14">
        <f t="shared" si="17"/>
        <v>0.91930999999999996</v>
      </c>
    </row>
    <row r="375" spans="2:7" x14ac:dyDescent="0.25">
      <c r="B375" s="13">
        <v>123.05</v>
      </c>
      <c r="C375" s="8">
        <v>13.858000000000001</v>
      </c>
      <c r="D375" s="14">
        <v>0.85980000000000001</v>
      </c>
      <c r="E375" s="14">
        <f t="shared" si="16"/>
        <v>0.14019999999999999</v>
      </c>
      <c r="F375" s="14">
        <v>8.1699999999999995E-2</v>
      </c>
      <c r="G375" s="14">
        <f t="shared" si="17"/>
        <v>0.91830000000000001</v>
      </c>
    </row>
    <row r="376" spans="2:7" x14ac:dyDescent="0.25">
      <c r="B376" s="13">
        <v>123.05</v>
      </c>
      <c r="C376" s="8">
        <v>17.202000000000002</v>
      </c>
      <c r="D376" s="14">
        <v>0.8276</v>
      </c>
      <c r="E376" s="14">
        <f t="shared" si="16"/>
        <v>0.1724</v>
      </c>
      <c r="F376" s="14">
        <v>9.0200000000000002E-2</v>
      </c>
      <c r="G376" s="14">
        <f t="shared" si="17"/>
        <v>0.90979999999999994</v>
      </c>
    </row>
    <row r="377" spans="2:7" x14ac:dyDescent="0.25">
      <c r="B377" s="13">
        <v>123.05</v>
      </c>
      <c r="C377" s="8">
        <v>20.614999999999998</v>
      </c>
      <c r="D377" s="14">
        <v>0.78539999999999999</v>
      </c>
      <c r="E377" s="14">
        <f t="shared" si="16"/>
        <v>0.21460000000000001</v>
      </c>
      <c r="F377" s="14">
        <v>0.10050000000000001</v>
      </c>
      <c r="G377" s="14">
        <f t="shared" si="17"/>
        <v>0.89949999999999997</v>
      </c>
    </row>
    <row r="378" spans="2:7" x14ac:dyDescent="0.25">
      <c r="B378" s="13">
        <v>118.19</v>
      </c>
      <c r="C378" s="8">
        <v>0.16800000000000001</v>
      </c>
      <c r="D378" s="14">
        <v>1</v>
      </c>
      <c r="E378" s="14">
        <f t="shared" si="16"/>
        <v>0</v>
      </c>
      <c r="F378" s="14">
        <v>1</v>
      </c>
      <c r="G378" s="14">
        <f t="shared" si="17"/>
        <v>0</v>
      </c>
    </row>
    <row r="379" spans="2:7" x14ac:dyDescent="0.25">
      <c r="B379" s="13">
        <v>118.19</v>
      </c>
      <c r="C379" s="8">
        <v>4.1710000000000003</v>
      </c>
      <c r="D379" s="14">
        <v>0.96140000000000003</v>
      </c>
      <c r="E379" s="14">
        <f t="shared" si="16"/>
        <v>3.8599999999999968E-2</v>
      </c>
      <c r="F379" s="14">
        <v>7.1650000000000005E-2</v>
      </c>
      <c r="G379" s="14">
        <f t="shared" si="17"/>
        <v>0.92835000000000001</v>
      </c>
    </row>
    <row r="380" spans="2:7" x14ac:dyDescent="0.25">
      <c r="B380" s="13">
        <v>118.19</v>
      </c>
      <c r="C380" s="8">
        <v>5.5430000000000001</v>
      </c>
      <c r="D380" s="14">
        <v>0.94820000000000004</v>
      </c>
      <c r="E380" s="14">
        <f t="shared" si="16"/>
        <v>5.1799999999999957E-2</v>
      </c>
      <c r="F380" s="14">
        <v>6.4600000000000005E-2</v>
      </c>
      <c r="G380" s="14">
        <f t="shared" si="17"/>
        <v>0.93540000000000001</v>
      </c>
    </row>
    <row r="381" spans="2:7" x14ac:dyDescent="0.25">
      <c r="B381" s="13">
        <v>118.19</v>
      </c>
      <c r="C381" s="8">
        <v>6.9219999999999997</v>
      </c>
      <c r="D381" s="14">
        <v>0.93379999999999996</v>
      </c>
      <c r="E381" s="14">
        <f t="shared" si="16"/>
        <v>6.6200000000000037E-2</v>
      </c>
      <c r="F381" s="14">
        <v>6.028E-2</v>
      </c>
      <c r="G381" s="14">
        <f t="shared" si="17"/>
        <v>0.93972</v>
      </c>
    </row>
    <row r="382" spans="2:7" x14ac:dyDescent="0.25">
      <c r="B382" s="13">
        <v>118.19</v>
      </c>
      <c r="C382" s="8">
        <v>10.342000000000001</v>
      </c>
      <c r="D382" s="14">
        <v>0.90249999999999997</v>
      </c>
      <c r="E382" s="14">
        <f t="shared" si="16"/>
        <v>9.7500000000000031E-2</v>
      </c>
      <c r="F382" s="14">
        <v>5.9029999999999999E-2</v>
      </c>
      <c r="G382" s="14">
        <f t="shared" si="17"/>
        <v>0.94096999999999997</v>
      </c>
    </row>
    <row r="383" spans="2:7" x14ac:dyDescent="0.25">
      <c r="B383" s="13">
        <v>118.19</v>
      </c>
      <c r="C383" s="8">
        <v>13.824</v>
      </c>
      <c r="D383" s="14">
        <v>0.86960000000000004</v>
      </c>
      <c r="E383" s="14">
        <f t="shared" si="16"/>
        <v>0.13039999999999996</v>
      </c>
      <c r="F383" s="14">
        <v>6.4750000000000002E-2</v>
      </c>
      <c r="G383" s="14">
        <f t="shared" si="17"/>
        <v>0.93525000000000003</v>
      </c>
    </row>
    <row r="384" spans="2:7" x14ac:dyDescent="0.25">
      <c r="B384" s="13">
        <v>118.19</v>
      </c>
      <c r="C384" s="8">
        <v>17.236999999999998</v>
      </c>
      <c r="D384" s="14">
        <v>0.83889999999999998</v>
      </c>
      <c r="E384" s="14">
        <f t="shared" si="16"/>
        <v>0.16110000000000002</v>
      </c>
      <c r="F384" s="14">
        <v>7.1459999999999996E-2</v>
      </c>
      <c r="G384" s="14">
        <f t="shared" si="17"/>
        <v>0.92854000000000003</v>
      </c>
    </row>
    <row r="385" spans="2:7" x14ac:dyDescent="0.25">
      <c r="B385" s="13">
        <v>118.19</v>
      </c>
      <c r="C385" s="8">
        <v>20.684000000000001</v>
      </c>
      <c r="D385" s="14">
        <v>0.8075</v>
      </c>
      <c r="E385" s="14">
        <f t="shared" si="16"/>
        <v>0.1925</v>
      </c>
      <c r="F385" s="14">
        <v>8.133E-2</v>
      </c>
      <c r="G385" s="14">
        <f t="shared" si="17"/>
        <v>0.91866999999999999</v>
      </c>
    </row>
    <row r="386" spans="2:7" x14ac:dyDescent="0.25">
      <c r="B386" s="13">
        <v>118.19</v>
      </c>
      <c r="C386" s="8">
        <v>20.65</v>
      </c>
      <c r="D386" s="14">
        <v>0.80589999999999995</v>
      </c>
      <c r="E386" s="14">
        <f t="shared" si="16"/>
        <v>0.19410000000000005</v>
      </c>
      <c r="F386" s="14">
        <v>8.1890000000000004E-2</v>
      </c>
      <c r="G386" s="14">
        <f t="shared" si="17"/>
        <v>0.91810999999999998</v>
      </c>
    </row>
    <row r="387" spans="2:7" x14ac:dyDescent="0.25">
      <c r="B387" s="13">
        <v>113.14</v>
      </c>
      <c r="C387" s="8">
        <v>0.1145</v>
      </c>
      <c r="D387" s="14">
        <v>1</v>
      </c>
      <c r="E387" s="14">
        <f t="shared" si="16"/>
        <v>0</v>
      </c>
      <c r="F387" s="14">
        <v>1</v>
      </c>
    </row>
    <row r="388" spans="2:7" x14ac:dyDescent="0.25">
      <c r="B388" s="13">
        <v>113.14</v>
      </c>
      <c r="C388" s="8">
        <v>2.82</v>
      </c>
      <c r="D388" s="14">
        <v>0.97599999999999998</v>
      </c>
      <c r="E388" s="14">
        <f t="shared" si="16"/>
        <v>2.4000000000000021E-2</v>
      </c>
      <c r="F388" s="14">
        <v>6.6000000000000003E-2</v>
      </c>
      <c r="G388" s="14">
        <f t="shared" si="17"/>
        <v>0.93399999999999994</v>
      </c>
    </row>
    <row r="389" spans="2:7" x14ac:dyDescent="0.25">
      <c r="B389" s="13">
        <v>113.14</v>
      </c>
      <c r="C389" s="8">
        <v>4.1639999999999997</v>
      </c>
      <c r="D389" s="14">
        <v>0.96479999999999999</v>
      </c>
      <c r="E389" s="14">
        <f t="shared" si="16"/>
        <v>3.5200000000000009E-2</v>
      </c>
      <c r="F389" s="14">
        <v>5.0999999999999997E-2</v>
      </c>
      <c r="G389" s="14">
        <f t="shared" si="17"/>
        <v>0.94899999999999995</v>
      </c>
    </row>
    <row r="390" spans="2:7" x14ac:dyDescent="0.25">
      <c r="B390" s="13">
        <v>113.14</v>
      </c>
      <c r="C390" s="8">
        <v>5.53</v>
      </c>
      <c r="D390" s="14">
        <v>0.95409999999999995</v>
      </c>
      <c r="E390" s="14">
        <f t="shared" si="16"/>
        <v>4.5900000000000052E-2</v>
      </c>
      <c r="F390" s="14">
        <v>4.5699999999999998E-2</v>
      </c>
      <c r="G390" s="14">
        <f t="shared" si="17"/>
        <v>0.95430000000000004</v>
      </c>
    </row>
    <row r="391" spans="2:7" x14ac:dyDescent="0.25">
      <c r="B391" s="13">
        <v>113.14</v>
      </c>
      <c r="C391" s="8">
        <v>6.9089999999999998</v>
      </c>
      <c r="D391" s="14">
        <v>0.94059999999999999</v>
      </c>
      <c r="E391" s="14">
        <f t="shared" si="16"/>
        <v>5.9400000000000008E-2</v>
      </c>
      <c r="F391" s="14">
        <v>4.2799999999999998E-2</v>
      </c>
      <c r="G391" s="14">
        <f t="shared" si="17"/>
        <v>0.95720000000000005</v>
      </c>
    </row>
    <row r="392" spans="2:7" x14ac:dyDescent="0.25">
      <c r="B392" s="13">
        <v>113.14</v>
      </c>
      <c r="C392" s="8">
        <v>8.5909999999999993</v>
      </c>
      <c r="D392" s="14">
        <v>0.92479999999999996</v>
      </c>
      <c r="E392" s="14">
        <f t="shared" si="16"/>
        <v>7.5200000000000045E-2</v>
      </c>
      <c r="F392" s="14">
        <v>4.3099999999999999E-2</v>
      </c>
      <c r="G392" s="14">
        <f t="shared" si="17"/>
        <v>0.95689999999999997</v>
      </c>
    </row>
    <row r="393" spans="2:7" x14ac:dyDescent="0.25">
      <c r="B393" s="13">
        <v>113.14</v>
      </c>
      <c r="C393" s="8">
        <v>10.356</v>
      </c>
      <c r="D393" s="14">
        <v>0.91</v>
      </c>
      <c r="E393" s="14">
        <f t="shared" si="16"/>
        <v>8.9999999999999969E-2</v>
      </c>
      <c r="F393" s="14">
        <v>4.4299999999999999E-2</v>
      </c>
      <c r="G393" s="14">
        <f t="shared" si="17"/>
        <v>0.95569999999999999</v>
      </c>
    </row>
    <row r="394" spans="2:7" x14ac:dyDescent="0.25">
      <c r="B394" s="13">
        <v>113.14</v>
      </c>
      <c r="C394" s="8">
        <v>13.734</v>
      </c>
      <c r="D394" s="14">
        <v>0.88109999999999999</v>
      </c>
      <c r="E394" s="14">
        <f t="shared" si="16"/>
        <v>0.11890000000000001</v>
      </c>
      <c r="F394" s="14">
        <v>4.9799999999999997E-2</v>
      </c>
      <c r="G394" s="14">
        <f t="shared" si="17"/>
        <v>0.95020000000000004</v>
      </c>
    </row>
    <row r="395" spans="2:7" x14ac:dyDescent="0.25">
      <c r="B395" s="13">
        <v>113.14</v>
      </c>
      <c r="C395" s="8">
        <v>17.271000000000001</v>
      </c>
      <c r="D395" s="14">
        <v>0.85150000000000003</v>
      </c>
      <c r="E395" s="14">
        <f t="shared" ref="E395:E409" si="18">1-D395</f>
        <v>0.14849999999999997</v>
      </c>
      <c r="F395" s="14">
        <v>5.5199999999999999E-2</v>
      </c>
      <c r="G395" s="14">
        <f t="shared" ref="G395:G409" si="19">1-F395</f>
        <v>0.94479999999999997</v>
      </c>
    </row>
    <row r="396" spans="2:7" x14ac:dyDescent="0.25">
      <c r="B396" s="13">
        <v>113.14</v>
      </c>
      <c r="C396" s="8">
        <v>20.684000000000001</v>
      </c>
      <c r="D396" s="14">
        <v>0.82079999999999997</v>
      </c>
      <c r="E396" s="14">
        <f t="shared" si="18"/>
        <v>0.17920000000000003</v>
      </c>
      <c r="F396" s="14">
        <v>6.3899999999999998E-2</v>
      </c>
      <c r="G396" s="14">
        <f t="shared" si="19"/>
        <v>0.93610000000000004</v>
      </c>
    </row>
    <row r="397" spans="2:7" x14ac:dyDescent="0.25">
      <c r="B397" s="13">
        <v>113.14</v>
      </c>
      <c r="C397" s="8">
        <v>24.614000000000001</v>
      </c>
      <c r="D397" s="14">
        <v>0.79259999999999997</v>
      </c>
      <c r="E397" s="14">
        <f t="shared" si="18"/>
        <v>0.20740000000000003</v>
      </c>
      <c r="F397" s="14">
        <v>7.3499999999999996E-2</v>
      </c>
      <c r="G397" s="14">
        <f t="shared" si="19"/>
        <v>0.92649999999999999</v>
      </c>
    </row>
    <row r="398" spans="2:7" x14ac:dyDescent="0.25">
      <c r="B398" s="13">
        <v>113.14</v>
      </c>
      <c r="C398" s="8">
        <v>28.405999999999999</v>
      </c>
      <c r="D398" s="14">
        <v>0.76649999999999996</v>
      </c>
      <c r="E398" s="14">
        <f t="shared" si="18"/>
        <v>0.23350000000000004</v>
      </c>
      <c r="F398" s="14">
        <v>8.4000000000000005E-2</v>
      </c>
      <c r="G398" s="14">
        <f t="shared" si="19"/>
        <v>0.91600000000000004</v>
      </c>
    </row>
    <row r="399" spans="2:7" x14ac:dyDescent="0.25">
      <c r="B399" s="13">
        <v>108.13</v>
      </c>
      <c r="C399" s="8">
        <v>7.5200000000000003E-2</v>
      </c>
      <c r="D399" s="14">
        <v>1</v>
      </c>
      <c r="E399" s="14">
        <f t="shared" si="18"/>
        <v>0</v>
      </c>
      <c r="F399" s="14">
        <v>1</v>
      </c>
      <c r="G399" s="14">
        <f t="shared" si="19"/>
        <v>0</v>
      </c>
    </row>
    <row r="400" spans="2:7" x14ac:dyDescent="0.25">
      <c r="B400" s="13">
        <v>108.13</v>
      </c>
      <c r="C400" s="8">
        <v>3.5851999999999999</v>
      </c>
      <c r="D400" s="14">
        <v>0.97199999999999998</v>
      </c>
      <c r="E400" s="14">
        <f t="shared" si="18"/>
        <v>2.8000000000000025E-2</v>
      </c>
      <c r="F400" s="14">
        <v>3.6929999999999998E-2</v>
      </c>
      <c r="G400" s="14">
        <f t="shared" si="19"/>
        <v>0.96306999999999998</v>
      </c>
    </row>
    <row r="401" spans="1:7" x14ac:dyDescent="0.25">
      <c r="B401" s="13">
        <v>108.13</v>
      </c>
      <c r="C401" s="8">
        <v>4.1790000000000003</v>
      </c>
      <c r="D401" s="14">
        <v>0.96730000000000005</v>
      </c>
      <c r="E401" s="14">
        <f t="shared" si="18"/>
        <v>3.2699999999999951E-2</v>
      </c>
      <c r="F401" s="14">
        <v>3.533E-2</v>
      </c>
      <c r="G401" s="14">
        <f t="shared" si="19"/>
        <v>0.96467000000000003</v>
      </c>
    </row>
    <row r="402" spans="1:7" x14ac:dyDescent="0.25">
      <c r="B402" s="13">
        <v>108.13</v>
      </c>
      <c r="C402" s="8">
        <v>5.5359999999999996</v>
      </c>
      <c r="D402" s="14">
        <v>0.95650000000000002</v>
      </c>
      <c r="E402" s="14">
        <f t="shared" si="18"/>
        <v>4.3499999999999983E-2</v>
      </c>
      <c r="F402" s="14">
        <v>3.3169999999999998E-2</v>
      </c>
      <c r="G402" s="14">
        <f t="shared" si="19"/>
        <v>0.96682999999999997</v>
      </c>
    </row>
    <row r="403" spans="1:7" x14ac:dyDescent="0.25">
      <c r="B403" s="13">
        <v>108.13</v>
      </c>
      <c r="C403" s="8">
        <v>6.9290000000000003</v>
      </c>
      <c r="D403" s="14">
        <v>0.94540000000000002</v>
      </c>
      <c r="E403" s="14">
        <f t="shared" si="18"/>
        <v>5.4599999999999982E-2</v>
      </c>
      <c r="F403" s="14">
        <v>3.1820000000000001E-2</v>
      </c>
      <c r="G403" s="14">
        <f t="shared" si="19"/>
        <v>0.96818000000000004</v>
      </c>
    </row>
    <row r="404" spans="1:7" x14ac:dyDescent="0.25">
      <c r="B404" s="13">
        <v>108.13</v>
      </c>
      <c r="C404" s="8">
        <v>7.8940000000000001</v>
      </c>
      <c r="D404" s="14">
        <v>0.93779999999999997</v>
      </c>
      <c r="E404" s="14">
        <f t="shared" si="18"/>
        <v>6.2200000000000033E-2</v>
      </c>
      <c r="F404" s="14">
        <v>3.1269999999999999E-2</v>
      </c>
      <c r="G404" s="14">
        <f t="shared" si="19"/>
        <v>0.96872999999999998</v>
      </c>
    </row>
    <row r="405" spans="1:7" x14ac:dyDescent="0.25">
      <c r="B405" s="13">
        <v>108.13</v>
      </c>
      <c r="C405" s="8">
        <v>8.57</v>
      </c>
      <c r="D405" s="14">
        <v>0.93159999999999998</v>
      </c>
      <c r="E405" s="14">
        <f t="shared" si="18"/>
        <v>6.8400000000000016E-2</v>
      </c>
      <c r="F405" s="14">
        <v>3.0960000000000001E-2</v>
      </c>
      <c r="G405" s="14">
        <f t="shared" si="19"/>
        <v>0.96904000000000001</v>
      </c>
    </row>
    <row r="406" spans="1:7" x14ac:dyDescent="0.25">
      <c r="B406" s="13">
        <v>108.13</v>
      </c>
      <c r="C406" s="8">
        <v>9.6530000000000005</v>
      </c>
      <c r="D406" s="14">
        <v>0.92379999999999995</v>
      </c>
      <c r="E406" s="14">
        <f t="shared" si="18"/>
        <v>7.6200000000000045E-2</v>
      </c>
      <c r="F406" s="14">
        <v>3.1879999999999999E-2</v>
      </c>
      <c r="G406" s="14">
        <f t="shared" si="19"/>
        <v>0.96811999999999998</v>
      </c>
    </row>
    <row r="407" spans="1:7" x14ac:dyDescent="0.25">
      <c r="B407" s="13">
        <v>108.13</v>
      </c>
      <c r="C407" s="8">
        <v>13.789</v>
      </c>
      <c r="D407" s="14">
        <v>0.89439999999999997</v>
      </c>
      <c r="E407" s="14">
        <f t="shared" si="18"/>
        <v>0.10560000000000003</v>
      </c>
      <c r="F407" s="14">
        <v>3.6979999999999999E-2</v>
      </c>
      <c r="G407" s="14">
        <f t="shared" si="19"/>
        <v>0.96301999999999999</v>
      </c>
    </row>
    <row r="408" spans="1:7" x14ac:dyDescent="0.25">
      <c r="B408" s="13">
        <v>108.13</v>
      </c>
      <c r="C408" s="8">
        <v>17.03</v>
      </c>
      <c r="D408" s="14">
        <v>0.86550000000000005</v>
      </c>
      <c r="E408" s="14">
        <f t="shared" si="18"/>
        <v>0.13449999999999995</v>
      </c>
      <c r="F408" s="14">
        <v>4.1849999999999998E-2</v>
      </c>
      <c r="G408" s="14">
        <f t="shared" si="19"/>
        <v>0.95815000000000006</v>
      </c>
    </row>
    <row r="409" spans="1:7" ht="15.75" thickBot="1" x14ac:dyDescent="0.3">
      <c r="A409" s="9"/>
      <c r="B409" s="17">
        <v>108.13</v>
      </c>
      <c r="C409" s="9">
        <v>20.474</v>
      </c>
      <c r="D409" s="16">
        <v>0.84089999999999998</v>
      </c>
      <c r="E409" s="16">
        <f t="shared" si="18"/>
        <v>0.15910000000000002</v>
      </c>
      <c r="F409" s="16">
        <v>4.8500000000000001E-2</v>
      </c>
      <c r="G409" s="16">
        <f t="shared" si="19"/>
        <v>0.95150000000000001</v>
      </c>
    </row>
    <row r="410" spans="1:7" x14ac:dyDescent="0.25">
      <c r="A410" s="18" t="s">
        <v>44</v>
      </c>
      <c r="B410" s="13">
        <v>120.5</v>
      </c>
      <c r="C410" s="8">
        <v>1.7709999999999999</v>
      </c>
      <c r="D410" s="14">
        <f>1-E410</f>
        <v>0.9819</v>
      </c>
      <c r="E410" s="14">
        <v>1.8100000000000002E-2</v>
      </c>
      <c r="F410" s="14">
        <f>1-G410</f>
        <v>0.12039999999999995</v>
      </c>
      <c r="G410" s="14">
        <v>0.87960000000000005</v>
      </c>
    </row>
    <row r="411" spans="1:7" x14ac:dyDescent="0.25">
      <c r="B411" s="13">
        <v>120.5</v>
      </c>
      <c r="C411" s="8">
        <v>0.94699999999999995</v>
      </c>
      <c r="D411" s="14">
        <f>1-E411</f>
        <v>0.99209999999999998</v>
      </c>
      <c r="E411" s="14">
        <v>7.9000000000000008E-3</v>
      </c>
      <c r="F411" s="14">
        <f t="shared" ref="F411:F432" si="20">1-G411</f>
        <v>0.21530000000000005</v>
      </c>
      <c r="G411" s="14">
        <v>0.78469999999999995</v>
      </c>
    </row>
    <row r="412" spans="1:7" x14ac:dyDescent="0.25">
      <c r="B412" s="13">
        <v>120.5</v>
      </c>
      <c r="C412" s="8">
        <v>0.80600000000000005</v>
      </c>
      <c r="D412" s="14">
        <f t="shared" ref="D412:D432" si="21">1-E412</f>
        <v>0.99329999999999996</v>
      </c>
      <c r="E412" s="14">
        <v>6.7000000000000002E-3</v>
      </c>
      <c r="F412" s="14">
        <f t="shared" si="20"/>
        <v>0.24470000000000003</v>
      </c>
      <c r="G412" s="14">
        <v>0.75529999999999997</v>
      </c>
    </row>
    <row r="413" spans="1:7" x14ac:dyDescent="0.25">
      <c r="B413" s="13">
        <v>120.5</v>
      </c>
      <c r="C413" s="8">
        <v>0.64100000000000001</v>
      </c>
      <c r="D413" s="14">
        <f t="shared" si="21"/>
        <v>0.99529999999999996</v>
      </c>
      <c r="E413" s="14">
        <v>4.7000000000000002E-3</v>
      </c>
      <c r="F413" s="14">
        <f t="shared" si="20"/>
        <v>0.33360000000000001</v>
      </c>
      <c r="G413" s="14">
        <v>0.66639999999999999</v>
      </c>
    </row>
    <row r="414" spans="1:7" x14ac:dyDescent="0.25">
      <c r="B414" s="13">
        <v>120.5</v>
      </c>
      <c r="C414" s="8">
        <v>0.48</v>
      </c>
      <c r="D414" s="14">
        <f t="shared" si="21"/>
        <v>0.997</v>
      </c>
      <c r="E414" s="14">
        <v>3.0000000000000001E-3</v>
      </c>
      <c r="F414" s="14">
        <f t="shared" si="20"/>
        <v>0.47099999999999997</v>
      </c>
      <c r="G414" s="14">
        <v>0.52900000000000003</v>
      </c>
    </row>
    <row r="415" spans="1:7" x14ac:dyDescent="0.25">
      <c r="B415" s="13">
        <v>115.7</v>
      </c>
      <c r="C415" s="8">
        <v>2.2719999999999998</v>
      </c>
      <c r="D415" s="14">
        <f t="shared" si="21"/>
        <v>0.97760000000000002</v>
      </c>
      <c r="E415" s="14">
        <v>2.24E-2</v>
      </c>
      <c r="F415" s="14">
        <f t="shared" si="20"/>
        <v>3.2200000000000006E-2</v>
      </c>
      <c r="G415" s="14">
        <v>0.96779999999999999</v>
      </c>
    </row>
    <row r="416" spans="1:7" x14ac:dyDescent="0.25">
      <c r="B416" s="13">
        <v>115.7</v>
      </c>
      <c r="C416" s="8">
        <v>1.2070000000000001</v>
      </c>
      <c r="D416" s="14">
        <f t="shared" si="21"/>
        <v>0.98829999999999996</v>
      </c>
      <c r="E416" s="14">
        <v>1.17E-2</v>
      </c>
      <c r="F416" s="14">
        <f t="shared" si="20"/>
        <v>3.7499999999999978E-2</v>
      </c>
      <c r="G416" s="14">
        <v>0.96250000000000002</v>
      </c>
    </row>
    <row r="417" spans="1:7" x14ac:dyDescent="0.25">
      <c r="B417" s="13">
        <v>115.7</v>
      </c>
      <c r="C417" s="8">
        <v>1.1539999999999999</v>
      </c>
      <c r="D417" s="14">
        <f t="shared" si="21"/>
        <v>0.9899</v>
      </c>
      <c r="E417" s="14">
        <v>1.01E-2</v>
      </c>
      <c r="F417" s="14">
        <f t="shared" si="20"/>
        <v>5.5599999999999983E-2</v>
      </c>
      <c r="G417" s="14">
        <v>0.94440000000000002</v>
      </c>
    </row>
    <row r="418" spans="1:7" x14ac:dyDescent="0.25">
      <c r="B418" s="13">
        <v>110.5</v>
      </c>
      <c r="C418" s="8">
        <v>2.1269999999999998</v>
      </c>
      <c r="D418" s="14">
        <f t="shared" si="21"/>
        <v>0.97940000000000005</v>
      </c>
      <c r="E418" s="14">
        <v>2.06E-2</v>
      </c>
      <c r="F418" s="14">
        <f t="shared" si="20"/>
        <v>2.2299999999999986E-2</v>
      </c>
      <c r="G418" s="14">
        <v>0.97770000000000001</v>
      </c>
    </row>
    <row r="419" spans="1:7" x14ac:dyDescent="0.25">
      <c r="B419" s="13">
        <v>110.5</v>
      </c>
      <c r="C419" s="8">
        <v>1.1020000000000001</v>
      </c>
      <c r="D419" s="14">
        <f t="shared" si="21"/>
        <v>0.98970000000000002</v>
      </c>
      <c r="E419" s="14">
        <v>1.03E-2</v>
      </c>
      <c r="F419" s="14">
        <f t="shared" si="20"/>
        <v>3.2399999999999984E-2</v>
      </c>
      <c r="G419" s="14">
        <v>0.96760000000000002</v>
      </c>
    </row>
    <row r="420" spans="1:7" x14ac:dyDescent="0.25">
      <c r="B420" s="13">
        <v>110.5</v>
      </c>
      <c r="C420" s="8">
        <v>1.048</v>
      </c>
      <c r="D420" s="14">
        <f t="shared" si="21"/>
        <v>0.99099999999999999</v>
      </c>
      <c r="E420" s="14">
        <v>8.9999999999999993E-3</v>
      </c>
      <c r="F420" s="14">
        <f t="shared" si="20"/>
        <v>3.2499999999999973E-2</v>
      </c>
      <c r="G420" s="14">
        <v>0.96750000000000003</v>
      </c>
    </row>
    <row r="421" spans="1:7" x14ac:dyDescent="0.25">
      <c r="B421" s="13">
        <v>110.5</v>
      </c>
      <c r="C421" s="8">
        <v>0.48499999999999999</v>
      </c>
      <c r="D421" s="14">
        <f t="shared" si="21"/>
        <v>0.99629999999999996</v>
      </c>
      <c r="E421" s="14">
        <v>3.7000000000000002E-3</v>
      </c>
      <c r="F421" s="14">
        <f t="shared" si="20"/>
        <v>0.25209999999999999</v>
      </c>
      <c r="G421" s="14">
        <v>0.74790000000000001</v>
      </c>
    </row>
    <row r="422" spans="1:7" x14ac:dyDescent="0.25">
      <c r="B422" s="13">
        <v>110.5</v>
      </c>
      <c r="C422" s="8">
        <v>0.32700000000000001</v>
      </c>
      <c r="D422" s="14">
        <f t="shared" si="21"/>
        <v>0.99770000000000003</v>
      </c>
      <c r="E422" s="14">
        <v>2.3E-3</v>
      </c>
      <c r="F422" s="14">
        <f t="shared" si="20"/>
        <v>0.32430000000000003</v>
      </c>
      <c r="G422" s="14">
        <v>0.67569999999999997</v>
      </c>
    </row>
    <row r="423" spans="1:7" x14ac:dyDescent="0.25">
      <c r="B423" s="13">
        <v>105.2</v>
      </c>
      <c r="C423" s="8">
        <v>1.4670000000000001</v>
      </c>
      <c r="D423" s="14">
        <f t="shared" si="21"/>
        <v>0.98609999999999998</v>
      </c>
      <c r="E423" s="14">
        <v>1.3899999999999999E-2</v>
      </c>
      <c r="F423" s="14">
        <f t="shared" si="20"/>
        <v>2.0599999999999952E-2</v>
      </c>
      <c r="G423" s="14">
        <v>0.97940000000000005</v>
      </c>
    </row>
    <row r="424" spans="1:7" x14ac:dyDescent="0.25">
      <c r="B424" s="13">
        <v>105.2</v>
      </c>
      <c r="C424" s="8">
        <v>1.0109999999999999</v>
      </c>
      <c r="D424" s="14">
        <f t="shared" si="21"/>
        <v>0.99139999999999995</v>
      </c>
      <c r="E424" s="14">
        <v>8.6E-3</v>
      </c>
      <c r="F424" s="14">
        <f>1-G424</f>
        <v>2.9699999999999949E-2</v>
      </c>
      <c r="G424" s="14">
        <v>0.97030000000000005</v>
      </c>
    </row>
    <row r="425" spans="1:7" x14ac:dyDescent="0.25">
      <c r="B425" s="13">
        <v>105.2</v>
      </c>
      <c r="C425" s="8">
        <v>0.56799999999999995</v>
      </c>
      <c r="D425" s="14">
        <f t="shared" si="21"/>
        <v>0.99539999999999995</v>
      </c>
      <c r="E425" s="14">
        <v>4.5999999999999999E-3</v>
      </c>
      <c r="F425" s="14">
        <f t="shared" si="20"/>
        <v>4.4599999999999973E-2</v>
      </c>
      <c r="G425" s="14">
        <v>0.95540000000000003</v>
      </c>
    </row>
    <row r="426" spans="1:7" x14ac:dyDescent="0.25">
      <c r="B426" s="13">
        <v>105.2</v>
      </c>
      <c r="C426" s="8">
        <v>0.42799999999999999</v>
      </c>
      <c r="D426" s="14">
        <f t="shared" si="21"/>
        <v>0.99660000000000004</v>
      </c>
      <c r="E426" s="14">
        <v>3.3999999999999998E-3</v>
      </c>
      <c r="F426" s="14">
        <f t="shared" si="20"/>
        <v>5.0499999999999989E-2</v>
      </c>
      <c r="G426" s="14">
        <v>0.94950000000000001</v>
      </c>
    </row>
    <row r="427" spans="1:7" x14ac:dyDescent="0.25">
      <c r="B427" s="13">
        <v>105.2</v>
      </c>
      <c r="C427" s="8">
        <v>0.34399999999999997</v>
      </c>
      <c r="D427" s="14">
        <f t="shared" si="21"/>
        <v>0.99739999999999995</v>
      </c>
      <c r="E427" s="14">
        <v>2.5999999999999999E-3</v>
      </c>
      <c r="F427" s="14">
        <f t="shared" si="20"/>
        <v>5.6899999999999951E-2</v>
      </c>
      <c r="G427" s="14">
        <v>0.94310000000000005</v>
      </c>
    </row>
    <row r="428" spans="1:7" x14ac:dyDescent="0.25">
      <c r="B428" s="13">
        <v>100.1</v>
      </c>
      <c r="C428" s="8">
        <v>1.333</v>
      </c>
      <c r="D428" s="14">
        <f t="shared" si="21"/>
        <v>0.9869</v>
      </c>
      <c r="E428" s="14">
        <v>1.3100000000000001E-2</v>
      </c>
      <c r="F428" s="14">
        <f t="shared" si="20"/>
        <v>1.6800000000000037E-2</v>
      </c>
      <c r="G428" s="14">
        <v>0.98319999999999996</v>
      </c>
    </row>
    <row r="429" spans="1:7" x14ac:dyDescent="0.25">
      <c r="B429" s="13">
        <v>100.1</v>
      </c>
      <c r="C429" s="8">
        <v>0.86299999999999999</v>
      </c>
      <c r="D429" s="14">
        <f t="shared" si="21"/>
        <v>0.99350000000000005</v>
      </c>
      <c r="E429" s="14">
        <v>6.4999999999999997E-3</v>
      </c>
      <c r="F429" s="14">
        <f t="shared" si="20"/>
        <v>2.3800000000000043E-2</v>
      </c>
      <c r="G429" s="14">
        <v>0.97619999999999996</v>
      </c>
    </row>
    <row r="430" spans="1:7" x14ac:dyDescent="0.25">
      <c r="B430" s="13">
        <v>100.1</v>
      </c>
      <c r="C430" s="8">
        <v>0.38300000000000001</v>
      </c>
      <c r="D430" s="14">
        <f t="shared" si="21"/>
        <v>0.997</v>
      </c>
      <c r="E430" s="14">
        <v>3.0000000000000001E-3</v>
      </c>
      <c r="F430" s="14">
        <f t="shared" si="20"/>
        <v>4.3499999999999983E-2</v>
      </c>
      <c r="G430" s="14">
        <v>0.95650000000000002</v>
      </c>
    </row>
    <row r="431" spans="1:7" x14ac:dyDescent="0.25">
      <c r="B431" s="13">
        <v>100.1</v>
      </c>
      <c r="C431" s="8">
        <v>0.30399999999999999</v>
      </c>
      <c r="D431" s="14">
        <f t="shared" si="21"/>
        <v>0.99770000000000003</v>
      </c>
      <c r="E431" s="14">
        <v>2.3E-3</v>
      </c>
      <c r="F431" s="14">
        <f t="shared" si="20"/>
        <v>5.3300000000000014E-2</v>
      </c>
      <c r="G431" s="14">
        <v>0.94669999999999999</v>
      </c>
    </row>
    <row r="432" spans="1:7" ht="15.75" thickBot="1" x14ac:dyDescent="0.3">
      <c r="A432" s="9"/>
      <c r="B432" s="17">
        <v>100.1</v>
      </c>
      <c r="C432" s="9">
        <v>0.23699999999999999</v>
      </c>
      <c r="D432" s="16">
        <f t="shared" si="21"/>
        <v>0.99819999999999998</v>
      </c>
      <c r="E432" s="16">
        <v>1.8E-3</v>
      </c>
      <c r="F432" s="16">
        <f t="shared" si="20"/>
        <v>6.7999999999999949E-2</v>
      </c>
      <c r="G432" s="16">
        <v>0.93200000000000005</v>
      </c>
    </row>
  </sheetData>
  <mergeCells count="1">
    <mergeCell ref="K2:L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7D488-CF42-4DD5-B641-95C628951C14}">
  <sheetPr codeName="Hoja2"/>
  <dimension ref="A1:I215"/>
  <sheetViews>
    <sheetView workbookViewId="0">
      <pane ySplit="1" topLeftCell="A196" activePane="bottomLeft" state="frozen"/>
      <selection pane="bottomLeft" activeCell="B213" sqref="B213:G215"/>
    </sheetView>
  </sheetViews>
  <sheetFormatPr defaultColWidth="11.42578125" defaultRowHeight="15" x14ac:dyDescent="0.25"/>
  <cols>
    <col min="1" max="1" width="18" style="8" bestFit="1" customWidth="1"/>
    <col min="2" max="2" width="6.5703125" style="8" bestFit="1" customWidth="1"/>
    <col min="3" max="3" width="9" style="8" bestFit="1" customWidth="1"/>
    <col min="4" max="7" width="7" style="8" bestFit="1" customWidth="1"/>
    <col min="8" max="8" width="11.42578125" style="1"/>
    <col min="9" max="9" width="18" style="1" bestFit="1" customWidth="1"/>
    <col min="10" max="16384" width="11.42578125" style="1"/>
  </cols>
  <sheetData>
    <row r="1" spans="1:9" ht="18" x14ac:dyDescent="0.25">
      <c r="A1" s="8" t="s">
        <v>0</v>
      </c>
      <c r="B1" s="10" t="s">
        <v>3</v>
      </c>
      <c r="C1" s="12" t="s">
        <v>4</v>
      </c>
      <c r="D1" s="8" t="s">
        <v>8</v>
      </c>
      <c r="E1" s="8" t="s">
        <v>2</v>
      </c>
      <c r="F1" s="8" t="s">
        <v>9</v>
      </c>
      <c r="G1" s="8" t="s">
        <v>7</v>
      </c>
      <c r="I1" s="1" t="s">
        <v>0</v>
      </c>
    </row>
    <row r="2" spans="1:9" x14ac:dyDescent="0.25">
      <c r="A2" s="18" t="s">
        <v>49</v>
      </c>
      <c r="B2" s="13">
        <v>88.14</v>
      </c>
      <c r="C2" s="12">
        <v>13.955492249999999</v>
      </c>
      <c r="D2" s="14">
        <v>0.53</v>
      </c>
      <c r="E2" s="14">
        <v>0.47</v>
      </c>
      <c r="F2" s="14">
        <v>0.49199999999999999</v>
      </c>
      <c r="G2" s="14">
        <v>0.50800000000000001</v>
      </c>
      <c r="H2" s="6"/>
      <c r="I2" s="1" t="s">
        <v>49</v>
      </c>
    </row>
    <row r="3" spans="1:9" x14ac:dyDescent="0.25">
      <c r="B3" s="13">
        <v>88.129999999999967</v>
      </c>
      <c r="C3" s="12">
        <v>13.456973250000001</v>
      </c>
      <c r="D3" s="14">
        <v>0.58000000000000007</v>
      </c>
      <c r="E3" s="14">
        <v>0.42</v>
      </c>
      <c r="F3" s="14">
        <v>0.28800000000000003</v>
      </c>
      <c r="G3" s="14">
        <v>0.71199999999999997</v>
      </c>
      <c r="H3" s="6"/>
      <c r="I3" s="1" t="s">
        <v>51</v>
      </c>
    </row>
    <row r="4" spans="1:9" x14ac:dyDescent="0.25">
      <c r="B4" s="13">
        <v>88.149999999999977</v>
      </c>
      <c r="C4" s="12">
        <v>12.977706000000001</v>
      </c>
      <c r="D4" s="14">
        <v>0.61299999999999999</v>
      </c>
      <c r="E4" s="14">
        <v>0.38700000000000001</v>
      </c>
      <c r="F4" s="14">
        <v>0.255</v>
      </c>
      <c r="G4" s="14">
        <v>0.745</v>
      </c>
      <c r="H4" s="6"/>
      <c r="I4" s="1" t="s">
        <v>47</v>
      </c>
    </row>
    <row r="5" spans="1:9" x14ac:dyDescent="0.25">
      <c r="B5" s="13">
        <v>88.129999999999967</v>
      </c>
      <c r="C5" s="12">
        <v>11.990800500000001</v>
      </c>
      <c r="D5" s="14">
        <v>0.55000000000000004</v>
      </c>
      <c r="E5" s="14">
        <v>0.45</v>
      </c>
      <c r="F5" s="14">
        <v>0.21699999999999997</v>
      </c>
      <c r="G5" s="14">
        <v>0.78300000000000003</v>
      </c>
      <c r="H5" s="6"/>
      <c r="I5" s="1" t="s">
        <v>48</v>
      </c>
    </row>
    <row r="6" spans="1:9" x14ac:dyDescent="0.25">
      <c r="B6" s="13">
        <v>88.149999999999977</v>
      </c>
      <c r="C6" s="12">
        <v>10.537800000000001</v>
      </c>
      <c r="D6" s="14">
        <v>0.76200000000000001</v>
      </c>
      <c r="E6" s="14">
        <v>0.23799999999999999</v>
      </c>
      <c r="F6" s="14">
        <v>0.17900000000000005</v>
      </c>
      <c r="G6" s="14">
        <v>0.82099999999999995</v>
      </c>
      <c r="H6" s="6"/>
      <c r="I6" s="1" t="s">
        <v>52</v>
      </c>
    </row>
    <row r="7" spans="1:9" x14ac:dyDescent="0.25">
      <c r="B7" s="13">
        <v>88.139999999999986</v>
      </c>
      <c r="C7" s="12">
        <v>8.1059999999999999</v>
      </c>
      <c r="D7" s="14">
        <v>0.79300000000000004</v>
      </c>
      <c r="E7" s="14">
        <v>0.20699999999999999</v>
      </c>
      <c r="F7" s="14">
        <v>0.13400000000000001</v>
      </c>
      <c r="G7" s="14">
        <v>0.86599999999999999</v>
      </c>
      <c r="H7" s="6"/>
      <c r="I7" s="1" t="s">
        <v>50</v>
      </c>
    </row>
    <row r="8" spans="1:9" x14ac:dyDescent="0.25">
      <c r="B8" s="13">
        <v>88.139999999999986</v>
      </c>
      <c r="C8" s="12">
        <v>5.6833192500000003</v>
      </c>
      <c r="D8" s="14"/>
      <c r="E8" s="14"/>
      <c r="F8" s="14">
        <v>0.13800000000000001</v>
      </c>
      <c r="G8" s="14">
        <v>0.86199999999999999</v>
      </c>
      <c r="H8" s="6"/>
      <c r="I8" s="1" t="s">
        <v>41</v>
      </c>
    </row>
    <row r="9" spans="1:9" x14ac:dyDescent="0.25">
      <c r="B9" s="13">
        <v>88.129999999999967</v>
      </c>
      <c r="C9" s="12">
        <v>4.1583779999999999</v>
      </c>
      <c r="D9" s="14">
        <v>0.90800000000000003</v>
      </c>
      <c r="E9" s="14">
        <v>9.1999999999999998E-2</v>
      </c>
      <c r="F9" s="14">
        <v>0.14700000000000002</v>
      </c>
      <c r="G9" s="14">
        <v>0.85299999999999998</v>
      </c>
      <c r="H9" s="6"/>
    </row>
    <row r="10" spans="1:9" x14ac:dyDescent="0.25">
      <c r="B10" s="13">
        <v>88.139999999999986</v>
      </c>
      <c r="C10" s="12">
        <v>2.7114569999999998</v>
      </c>
      <c r="D10" s="14">
        <v>0.94699999999999995</v>
      </c>
      <c r="E10" s="14">
        <v>5.2999999999999999E-2</v>
      </c>
      <c r="F10" s="14">
        <v>0.16700000000000004</v>
      </c>
      <c r="G10" s="14">
        <v>0.83299999999999996</v>
      </c>
      <c r="H10" s="6"/>
    </row>
    <row r="11" spans="1:9" x14ac:dyDescent="0.25">
      <c r="B11" s="13">
        <v>88.159999999999968</v>
      </c>
      <c r="C11" s="12">
        <v>1.7235382500000003</v>
      </c>
      <c r="D11" s="14">
        <v>0.97599999999999998</v>
      </c>
      <c r="E11" s="14">
        <v>2.4E-2</v>
      </c>
      <c r="F11" s="14">
        <v>0.22999999999999998</v>
      </c>
      <c r="G11" s="14">
        <v>0.77</v>
      </c>
      <c r="H11" s="6"/>
    </row>
    <row r="12" spans="1:9" x14ac:dyDescent="0.25">
      <c r="B12" s="13">
        <v>88.149999999999977</v>
      </c>
      <c r="C12" s="12">
        <v>0.24216674999999999</v>
      </c>
      <c r="D12" s="14">
        <v>1</v>
      </c>
      <c r="E12" s="14">
        <v>0</v>
      </c>
      <c r="F12" s="14">
        <v>1</v>
      </c>
      <c r="G12" s="14">
        <v>0</v>
      </c>
      <c r="H12" s="6"/>
    </row>
    <row r="13" spans="1:9" x14ac:dyDescent="0.25">
      <c r="B13" s="13">
        <v>78.149999999999977</v>
      </c>
      <c r="C13" s="12">
        <v>19.34192925</v>
      </c>
      <c r="D13" s="14">
        <v>0.45099999999999996</v>
      </c>
      <c r="E13" s="14">
        <v>0.54900000000000004</v>
      </c>
      <c r="F13" s="14">
        <v>0.38300000000000001</v>
      </c>
      <c r="G13" s="14">
        <v>0.61699999999999999</v>
      </c>
      <c r="H13" s="6"/>
    </row>
    <row r="14" spans="1:9" x14ac:dyDescent="0.25">
      <c r="B14" s="13">
        <v>78.129999999999967</v>
      </c>
      <c r="C14" s="12">
        <v>18.753231</v>
      </c>
      <c r="D14" s="14">
        <v>0.52100000000000002</v>
      </c>
      <c r="E14" s="14">
        <v>0.47899999999999998</v>
      </c>
      <c r="F14" s="14">
        <v>0.30000000000000004</v>
      </c>
      <c r="G14" s="14">
        <v>0.7</v>
      </c>
      <c r="H14" s="6"/>
    </row>
    <row r="15" spans="1:9" x14ac:dyDescent="0.25">
      <c r="B15" s="13">
        <v>78.119999999999976</v>
      </c>
      <c r="C15" s="12">
        <v>17.890245974999999</v>
      </c>
      <c r="D15" s="14">
        <v>0.57000000000000006</v>
      </c>
      <c r="E15" s="14">
        <v>0.43</v>
      </c>
      <c r="F15" s="14">
        <v>0.24099999999999999</v>
      </c>
      <c r="G15" s="14">
        <v>0.75900000000000001</v>
      </c>
      <c r="H15" s="6"/>
    </row>
    <row r="16" spans="1:9" x14ac:dyDescent="0.25">
      <c r="B16" s="13">
        <v>78.129999999999967</v>
      </c>
      <c r="C16" s="12">
        <v>16.402491000000001</v>
      </c>
      <c r="D16" s="14">
        <v>0.621</v>
      </c>
      <c r="E16" s="14">
        <v>0.379</v>
      </c>
      <c r="F16" s="14">
        <v>0.18700000000000006</v>
      </c>
      <c r="G16" s="14">
        <v>0.81299999999999994</v>
      </c>
      <c r="H16" s="6"/>
    </row>
    <row r="17" spans="2:8" x14ac:dyDescent="0.25">
      <c r="B17" s="13">
        <v>78.139999999999986</v>
      </c>
      <c r="C17" s="12">
        <v>14.93226525</v>
      </c>
      <c r="D17" s="14">
        <v>0.66599999999999993</v>
      </c>
      <c r="E17" s="14">
        <v>0.33400000000000002</v>
      </c>
      <c r="F17" s="14">
        <v>0.16000000000000003</v>
      </c>
      <c r="G17" s="14">
        <v>0.84</v>
      </c>
      <c r="H17" s="6"/>
    </row>
    <row r="18" spans="2:8" x14ac:dyDescent="0.25">
      <c r="B18" s="13">
        <v>78.129999999999967</v>
      </c>
      <c r="C18" s="12">
        <v>11.51052</v>
      </c>
      <c r="D18" s="14">
        <v>0.752</v>
      </c>
      <c r="E18" s="14">
        <v>0.248</v>
      </c>
      <c r="F18" s="14">
        <v>0.10499999999999998</v>
      </c>
      <c r="G18" s="14">
        <v>0.89500000000000002</v>
      </c>
      <c r="H18" s="6"/>
    </row>
    <row r="19" spans="2:8" x14ac:dyDescent="0.25">
      <c r="B19" s="13">
        <v>78.129999999999967</v>
      </c>
      <c r="C19" s="12">
        <v>8.0958675000000007</v>
      </c>
      <c r="D19" s="14">
        <v>0.82499999999999996</v>
      </c>
      <c r="E19" s="14">
        <v>0.17499999999999999</v>
      </c>
      <c r="F19" s="14">
        <v>7.7999999999999958E-2</v>
      </c>
      <c r="G19" s="14">
        <v>0.92200000000000004</v>
      </c>
      <c r="H19" s="6"/>
    </row>
    <row r="20" spans="2:8" x14ac:dyDescent="0.25">
      <c r="B20" s="13">
        <v>78.129999999999967</v>
      </c>
      <c r="C20" s="12">
        <v>5.6296169999999996</v>
      </c>
      <c r="D20" s="14">
        <v>0.88100000000000001</v>
      </c>
      <c r="E20" s="14">
        <v>0.11899999999999999</v>
      </c>
      <c r="F20" s="14">
        <v>6.2999999999999945E-2</v>
      </c>
      <c r="G20" s="14">
        <v>0.93700000000000006</v>
      </c>
      <c r="H20" s="6"/>
    </row>
    <row r="21" spans="2:8" x14ac:dyDescent="0.25">
      <c r="B21" s="13">
        <v>78.139999999999986</v>
      </c>
      <c r="C21" s="12">
        <v>3.7074817500000004</v>
      </c>
      <c r="D21" s="14">
        <v>0.92700000000000005</v>
      </c>
      <c r="E21" s="14">
        <v>7.2999999999999995E-2</v>
      </c>
      <c r="F21" s="14">
        <v>6.9999999999999951E-2</v>
      </c>
      <c r="G21" s="14">
        <v>0.93</v>
      </c>
      <c r="H21" s="6"/>
    </row>
    <row r="22" spans="2:8" x14ac:dyDescent="0.25">
      <c r="B22" s="13">
        <v>78.129999999999967</v>
      </c>
      <c r="C22" s="12">
        <v>1.7417767500000003</v>
      </c>
      <c r="D22" s="14">
        <v>0.97699999999999998</v>
      </c>
      <c r="E22" s="14">
        <v>2.3E-2</v>
      </c>
      <c r="F22" s="14">
        <v>9.4999999999999973E-2</v>
      </c>
      <c r="G22" s="14">
        <v>0.90500000000000003</v>
      </c>
      <c r="H22" s="6"/>
    </row>
    <row r="23" spans="2:8" x14ac:dyDescent="0.25">
      <c r="B23" s="13">
        <v>78.149999999999977</v>
      </c>
      <c r="C23" s="12">
        <v>0.11145750000000001</v>
      </c>
      <c r="D23" s="14">
        <v>1</v>
      </c>
      <c r="E23" s="14">
        <v>0</v>
      </c>
      <c r="F23" s="14">
        <v>1</v>
      </c>
      <c r="G23" s="14">
        <v>0</v>
      </c>
      <c r="H23" s="6"/>
    </row>
    <row r="24" spans="2:8" x14ac:dyDescent="0.25">
      <c r="B24" s="13">
        <v>68.119999999999976</v>
      </c>
      <c r="C24" s="12">
        <v>22.77887325</v>
      </c>
      <c r="D24" s="14">
        <v>0.68900000000000006</v>
      </c>
      <c r="E24" s="14">
        <v>0.311</v>
      </c>
      <c r="F24" s="14">
        <v>0.14600000000000002</v>
      </c>
      <c r="G24" s="14">
        <v>0.85399999999999998</v>
      </c>
      <c r="H24" s="6"/>
    </row>
    <row r="25" spans="2:8" x14ac:dyDescent="0.25">
      <c r="B25" s="13">
        <v>68.139999999999986</v>
      </c>
      <c r="C25" s="12">
        <v>22.579263000000001</v>
      </c>
      <c r="D25" s="14">
        <v>0.69300000000000006</v>
      </c>
      <c r="E25" s="14">
        <v>0.307</v>
      </c>
      <c r="F25" s="14">
        <v>0.11899999999999999</v>
      </c>
      <c r="G25" s="14">
        <v>0.88100000000000001</v>
      </c>
      <c r="H25" s="6"/>
    </row>
    <row r="26" spans="2:8" x14ac:dyDescent="0.25">
      <c r="B26" s="13">
        <v>68.119999999999976</v>
      </c>
      <c r="C26" s="12">
        <v>21.306621</v>
      </c>
      <c r="D26" s="14">
        <v>0.70399999999999996</v>
      </c>
      <c r="E26" s="14">
        <v>0.29599999999999999</v>
      </c>
      <c r="F26" s="14">
        <v>0.11699999999999999</v>
      </c>
      <c r="G26" s="14">
        <v>0.88300000000000001</v>
      </c>
      <c r="H26" s="6"/>
    </row>
    <row r="27" spans="2:8" x14ac:dyDescent="0.25">
      <c r="B27" s="13">
        <v>68.109999999999985</v>
      </c>
      <c r="C27" s="12">
        <v>21.205296000000001</v>
      </c>
      <c r="D27" s="14">
        <v>0.70399999999999996</v>
      </c>
      <c r="E27" s="14">
        <v>0.29599999999999999</v>
      </c>
      <c r="F27" s="14">
        <v>0.13</v>
      </c>
      <c r="G27" s="14">
        <v>0.87</v>
      </c>
      <c r="H27" s="6"/>
    </row>
    <row r="28" spans="2:8" x14ac:dyDescent="0.25">
      <c r="B28" s="13">
        <v>68.139999999999986</v>
      </c>
      <c r="C28" s="12">
        <v>17.873729999999998</v>
      </c>
      <c r="D28" s="14">
        <v>0.748</v>
      </c>
      <c r="E28" s="14">
        <v>0.252</v>
      </c>
      <c r="F28" s="14">
        <v>9.6999999999999975E-2</v>
      </c>
      <c r="G28" s="14">
        <v>0.90300000000000002</v>
      </c>
      <c r="H28" s="6"/>
    </row>
    <row r="29" spans="2:8" x14ac:dyDescent="0.25">
      <c r="B29" s="13">
        <v>68.139999999999986</v>
      </c>
      <c r="C29" s="12">
        <v>14.939358</v>
      </c>
      <c r="D29" s="14">
        <v>0.78</v>
      </c>
      <c r="E29" s="14">
        <v>0.22</v>
      </c>
      <c r="F29" s="14">
        <v>9.1999999999999971E-2</v>
      </c>
      <c r="G29" s="14">
        <v>0.90800000000000003</v>
      </c>
      <c r="H29" s="6"/>
    </row>
    <row r="30" spans="2:8" x14ac:dyDescent="0.25">
      <c r="B30" s="13">
        <v>67.849999999999966</v>
      </c>
      <c r="C30" s="12">
        <v>14.936318249999999</v>
      </c>
      <c r="D30" s="14">
        <v>0.78100000000000003</v>
      </c>
      <c r="E30" s="14">
        <v>0.219</v>
      </c>
      <c r="F30" s="14">
        <v>7.7999999999999958E-2</v>
      </c>
      <c r="G30" s="14">
        <v>0.92200000000000004</v>
      </c>
      <c r="H30" s="6"/>
    </row>
    <row r="31" spans="2:8" x14ac:dyDescent="0.25">
      <c r="B31" s="13">
        <v>68.099999999999966</v>
      </c>
      <c r="C31" s="12">
        <v>12.003972750000001</v>
      </c>
      <c r="D31" s="14">
        <v>0.81899999999999995</v>
      </c>
      <c r="E31" s="14">
        <v>0.18099999999999999</v>
      </c>
      <c r="F31" s="14">
        <v>5.600000000000005E-2</v>
      </c>
      <c r="G31" s="14">
        <v>0.94399999999999995</v>
      </c>
      <c r="H31" s="6"/>
    </row>
    <row r="32" spans="2:8" x14ac:dyDescent="0.25">
      <c r="B32" s="13">
        <v>68.119999999999976</v>
      </c>
      <c r="C32" s="12">
        <v>9.0858127500000005</v>
      </c>
      <c r="D32" s="14">
        <v>0.85299999999999998</v>
      </c>
      <c r="E32" s="14">
        <v>0.14699999999999999</v>
      </c>
      <c r="F32" s="14">
        <v>4.7000000000000042E-2</v>
      </c>
      <c r="G32" s="14">
        <v>0.95299999999999996</v>
      </c>
      <c r="H32" s="6"/>
    </row>
    <row r="33" spans="2:8" x14ac:dyDescent="0.25">
      <c r="B33" s="13">
        <v>68.099999999999966</v>
      </c>
      <c r="C33" s="12">
        <v>9.0736537500000001</v>
      </c>
      <c r="D33" s="14">
        <v>0.84599999999999997</v>
      </c>
      <c r="E33" s="14">
        <v>0.154</v>
      </c>
      <c r="F33" s="14">
        <v>4.500000000000004E-2</v>
      </c>
      <c r="G33" s="14">
        <v>0.95499999999999996</v>
      </c>
      <c r="H33" s="6"/>
    </row>
    <row r="34" spans="2:8" x14ac:dyDescent="0.25">
      <c r="B34" s="13">
        <v>68.099999999999966</v>
      </c>
      <c r="C34" s="12">
        <v>5.6620410000000003</v>
      </c>
      <c r="D34" s="14">
        <v>0.90600000000000003</v>
      </c>
      <c r="E34" s="14">
        <v>9.4E-2</v>
      </c>
      <c r="F34" s="14">
        <v>2.7000000000000024E-2</v>
      </c>
      <c r="G34" s="14">
        <v>0.97299999999999998</v>
      </c>
      <c r="H34" s="6"/>
    </row>
    <row r="35" spans="2:8" x14ac:dyDescent="0.25">
      <c r="B35" s="13">
        <v>68.149999999999977</v>
      </c>
      <c r="C35" s="12">
        <v>4.6498042499999999</v>
      </c>
      <c r="D35" s="14">
        <v>0.92400000000000004</v>
      </c>
      <c r="E35" s="14">
        <v>7.5999999999999998E-2</v>
      </c>
      <c r="F35" s="14">
        <v>2.1000000000000019E-2</v>
      </c>
      <c r="G35" s="14">
        <v>0.97899999999999998</v>
      </c>
      <c r="H35" s="6"/>
    </row>
    <row r="36" spans="2:8" x14ac:dyDescent="0.25">
      <c r="B36" s="13">
        <v>68.119999999999976</v>
      </c>
      <c r="C36" s="12">
        <v>3.6456734999999996</v>
      </c>
      <c r="D36" s="14">
        <v>0.93399999999999994</v>
      </c>
      <c r="E36" s="14">
        <v>6.6000000000000003E-2</v>
      </c>
      <c r="F36" s="14">
        <v>2.4000000000000021E-2</v>
      </c>
      <c r="G36" s="14">
        <v>0.97599999999999998</v>
      </c>
      <c r="H36" s="6"/>
    </row>
    <row r="37" spans="2:8" x14ac:dyDescent="0.25">
      <c r="B37" s="13">
        <v>68.139999999999986</v>
      </c>
      <c r="C37" s="12">
        <v>2.6932185</v>
      </c>
      <c r="D37" s="14">
        <v>0.95399999999999996</v>
      </c>
      <c r="E37" s="14">
        <v>4.5999999999999999E-2</v>
      </c>
      <c r="F37" s="14">
        <v>2.4000000000000021E-2</v>
      </c>
      <c r="G37" s="14">
        <v>0.97599999999999998</v>
      </c>
      <c r="H37" s="6"/>
    </row>
    <row r="38" spans="2:8" x14ac:dyDescent="0.25">
      <c r="B38" s="13">
        <v>68.119999999999976</v>
      </c>
      <c r="C38" s="12">
        <v>1.7417767500000003</v>
      </c>
      <c r="D38" s="14">
        <v>0.96699999999999997</v>
      </c>
      <c r="E38" s="14">
        <v>3.3000000000000002E-2</v>
      </c>
      <c r="F38" s="14">
        <v>2.7000000000000024E-2</v>
      </c>
      <c r="G38" s="14">
        <v>0.97299999999999998</v>
      </c>
      <c r="H38" s="6"/>
    </row>
    <row r="39" spans="2:8" x14ac:dyDescent="0.25">
      <c r="B39" s="13">
        <v>68.149999999999977</v>
      </c>
      <c r="C39" s="12">
        <v>2.9384249999999997E-2</v>
      </c>
      <c r="D39" s="14">
        <v>1</v>
      </c>
      <c r="E39" s="14">
        <v>0</v>
      </c>
      <c r="F39" s="14">
        <v>1</v>
      </c>
      <c r="G39" s="14">
        <v>0</v>
      </c>
      <c r="H39" s="6"/>
    </row>
    <row r="40" spans="2:8" x14ac:dyDescent="0.25">
      <c r="B40" s="13">
        <v>63.139999999999986</v>
      </c>
      <c r="C40" s="12">
        <v>21.797034</v>
      </c>
      <c r="D40" s="14">
        <v>0.77800000000000002</v>
      </c>
      <c r="E40" s="14">
        <v>0.222</v>
      </c>
      <c r="F40" s="14">
        <v>7.0999999999999952E-2</v>
      </c>
      <c r="G40" s="14">
        <v>0.92900000000000005</v>
      </c>
      <c r="H40" s="6"/>
    </row>
    <row r="41" spans="2:8" x14ac:dyDescent="0.25">
      <c r="B41" s="13">
        <v>63.139999999999986</v>
      </c>
      <c r="C41" s="12">
        <v>21.797034</v>
      </c>
      <c r="D41" s="14">
        <v>0.77900000000000003</v>
      </c>
      <c r="E41" s="14">
        <v>0.221</v>
      </c>
      <c r="F41" s="14"/>
      <c r="G41" s="14"/>
      <c r="H41" s="6"/>
    </row>
    <row r="42" spans="2:8" x14ac:dyDescent="0.25">
      <c r="B42" s="13">
        <v>63.159999999999968</v>
      </c>
      <c r="C42" s="12">
        <v>20.818234499999999</v>
      </c>
      <c r="D42" s="14">
        <v>0.78400000000000003</v>
      </c>
      <c r="E42" s="14">
        <v>0.216</v>
      </c>
      <c r="F42" s="14">
        <v>6.4999999999999947E-2</v>
      </c>
      <c r="G42" s="14">
        <v>0.93500000000000005</v>
      </c>
      <c r="H42" s="6"/>
    </row>
    <row r="43" spans="2:8" x14ac:dyDescent="0.25">
      <c r="B43" s="13">
        <v>63.159999999999968</v>
      </c>
      <c r="C43" s="12">
        <v>20.81316825</v>
      </c>
      <c r="D43" s="14">
        <v>0.79</v>
      </c>
      <c r="E43" s="14">
        <v>0.21</v>
      </c>
      <c r="F43" s="14">
        <v>8.4999999999999964E-2</v>
      </c>
      <c r="G43" s="14">
        <v>0.91500000000000004</v>
      </c>
      <c r="H43" s="6"/>
    </row>
    <row r="44" spans="2:8" x14ac:dyDescent="0.25">
      <c r="B44" s="13">
        <v>63.119999999999976</v>
      </c>
      <c r="C44" s="12">
        <v>17.876769750000001</v>
      </c>
      <c r="D44" s="14">
        <v>0.81099999999999994</v>
      </c>
      <c r="E44" s="14">
        <v>0.189</v>
      </c>
      <c r="F44" s="14">
        <v>6.2999999999999945E-2</v>
      </c>
      <c r="G44" s="14">
        <v>0.93700000000000006</v>
      </c>
      <c r="H44" s="6"/>
    </row>
    <row r="45" spans="2:8" x14ac:dyDescent="0.25">
      <c r="B45" s="13">
        <v>63.149999999999977</v>
      </c>
      <c r="C45" s="12">
        <v>17.873729999999998</v>
      </c>
      <c r="D45" s="14">
        <v>0.80499999999999994</v>
      </c>
      <c r="E45" s="14">
        <v>0.19500000000000001</v>
      </c>
      <c r="F45" s="14">
        <v>6.9999999999999951E-2</v>
      </c>
      <c r="G45" s="14">
        <v>0.93</v>
      </c>
      <c r="H45" s="6"/>
    </row>
    <row r="46" spans="2:8" x14ac:dyDescent="0.25">
      <c r="B46" s="13">
        <v>63.159999999999968</v>
      </c>
      <c r="C46" s="12">
        <v>17.873729999999998</v>
      </c>
      <c r="D46" s="14">
        <v>0.80899999999999994</v>
      </c>
      <c r="E46" s="14">
        <v>0.191</v>
      </c>
      <c r="F46" s="14"/>
      <c r="G46" s="14"/>
      <c r="H46" s="6"/>
    </row>
    <row r="47" spans="2:8" x14ac:dyDescent="0.25">
      <c r="B47" s="13">
        <v>63.149999999999977</v>
      </c>
      <c r="C47" s="12">
        <v>14.939358</v>
      </c>
      <c r="D47" s="14">
        <v>0.83199999999999996</v>
      </c>
      <c r="E47" s="14">
        <v>0.16800000000000001</v>
      </c>
      <c r="F47" s="14"/>
      <c r="G47" s="14"/>
      <c r="H47" s="6"/>
    </row>
    <row r="48" spans="2:8" x14ac:dyDescent="0.25">
      <c r="B48" s="13">
        <v>63.159999999999968</v>
      </c>
      <c r="C48" s="12">
        <v>14.936318249999999</v>
      </c>
      <c r="D48" s="14">
        <v>0.82699999999999996</v>
      </c>
      <c r="E48" s="14">
        <v>0.17299999999999999</v>
      </c>
      <c r="F48" s="14"/>
      <c r="G48" s="14"/>
      <c r="H48" s="6"/>
    </row>
    <row r="49" spans="2:8" x14ac:dyDescent="0.25">
      <c r="B49" s="13">
        <v>63.169999999999987</v>
      </c>
      <c r="C49" s="12">
        <v>14.935305</v>
      </c>
      <c r="D49" s="14">
        <v>0.82800000000000007</v>
      </c>
      <c r="E49" s="14">
        <v>0.17199999999999999</v>
      </c>
      <c r="F49" s="14">
        <v>4.3000000000000038E-2</v>
      </c>
      <c r="G49" s="14">
        <v>0.95699999999999996</v>
      </c>
      <c r="H49" s="6"/>
    </row>
    <row r="50" spans="2:8" x14ac:dyDescent="0.25">
      <c r="B50" s="13">
        <v>63.159999999999968</v>
      </c>
      <c r="C50" s="12">
        <v>14.930238749999999</v>
      </c>
      <c r="D50" s="14">
        <v>0.83699999999999997</v>
      </c>
      <c r="E50" s="14">
        <v>0.16300000000000001</v>
      </c>
      <c r="F50" s="14"/>
      <c r="G50" s="14"/>
      <c r="H50" s="6"/>
    </row>
    <row r="51" spans="2:8" x14ac:dyDescent="0.25">
      <c r="B51" s="13">
        <v>63.149999999999977</v>
      </c>
      <c r="C51" s="12">
        <v>12.004986000000001</v>
      </c>
      <c r="D51" s="14">
        <v>0.85399999999999998</v>
      </c>
      <c r="E51" s="14">
        <v>0.14599999999999999</v>
      </c>
      <c r="F51" s="14">
        <v>3.2000000000000028E-2</v>
      </c>
      <c r="G51" s="14">
        <v>0.96799999999999997</v>
      </c>
      <c r="H51" s="6"/>
    </row>
    <row r="52" spans="2:8" x14ac:dyDescent="0.25">
      <c r="B52" s="13">
        <v>63.159999999999968</v>
      </c>
      <c r="C52" s="12">
        <v>12.00194625</v>
      </c>
      <c r="D52" s="14">
        <v>0.84799999999999998</v>
      </c>
      <c r="E52" s="14">
        <v>0.152</v>
      </c>
      <c r="F52" s="14"/>
      <c r="G52" s="14"/>
      <c r="H52" s="6"/>
    </row>
    <row r="53" spans="2:8" x14ac:dyDescent="0.25">
      <c r="B53" s="13">
        <v>63.149999999999977</v>
      </c>
      <c r="C53" s="12">
        <v>12.000933</v>
      </c>
      <c r="D53" s="14">
        <v>0.85299999999999998</v>
      </c>
      <c r="E53" s="14">
        <v>0.14699999999999999</v>
      </c>
      <c r="F53" s="14">
        <v>4.3000000000000038E-2</v>
      </c>
      <c r="G53" s="14">
        <v>0.95699999999999996</v>
      </c>
      <c r="H53" s="6"/>
    </row>
    <row r="54" spans="2:8" x14ac:dyDescent="0.25">
      <c r="B54" s="13">
        <v>63.159999999999968</v>
      </c>
      <c r="C54" s="12">
        <v>11.997893250000001</v>
      </c>
      <c r="D54" s="14">
        <v>0.85699999999999998</v>
      </c>
      <c r="E54" s="14">
        <v>0.14299999999999999</v>
      </c>
      <c r="F54" s="14">
        <v>5.2000000000000046E-2</v>
      </c>
      <c r="G54" s="14">
        <v>0.94799999999999995</v>
      </c>
      <c r="H54" s="6"/>
    </row>
    <row r="55" spans="2:8" x14ac:dyDescent="0.25">
      <c r="B55" s="13">
        <v>63.139999999999986</v>
      </c>
      <c r="C55" s="12">
        <v>9.0766934999999993</v>
      </c>
      <c r="D55" s="14">
        <v>0.88</v>
      </c>
      <c r="E55" s="14">
        <v>0.12</v>
      </c>
      <c r="F55" s="14">
        <v>3.7000000000000033E-2</v>
      </c>
      <c r="G55" s="14">
        <v>0.96299999999999997</v>
      </c>
      <c r="H55" s="6"/>
    </row>
    <row r="56" spans="2:8" x14ac:dyDescent="0.25">
      <c r="B56" s="13">
        <v>63.159999999999968</v>
      </c>
      <c r="C56" s="12">
        <v>9.0736537500000001</v>
      </c>
      <c r="D56" s="14">
        <v>0.879</v>
      </c>
      <c r="E56" s="14">
        <v>0.121</v>
      </c>
      <c r="F56" s="14"/>
      <c r="G56" s="14"/>
      <c r="H56" s="6"/>
    </row>
    <row r="57" spans="2:8" x14ac:dyDescent="0.25">
      <c r="B57" s="13">
        <v>63.149999999999977</v>
      </c>
      <c r="C57" s="12">
        <v>5.67723975</v>
      </c>
      <c r="D57" s="14">
        <v>0.92200000000000004</v>
      </c>
      <c r="E57" s="14">
        <v>7.8E-2</v>
      </c>
      <c r="F57" s="14"/>
      <c r="G57" s="14"/>
      <c r="H57" s="6"/>
    </row>
    <row r="58" spans="2:8" x14ac:dyDescent="0.25">
      <c r="B58" s="13">
        <v>63.149999999999977</v>
      </c>
      <c r="C58" s="12">
        <v>5.6326567499999998</v>
      </c>
      <c r="D58" s="14">
        <v>0.91500000000000004</v>
      </c>
      <c r="E58" s="14">
        <v>8.5000000000000006E-2</v>
      </c>
      <c r="F58" s="14">
        <v>2.6000000000000023E-2</v>
      </c>
      <c r="G58" s="14">
        <v>0.97399999999999998</v>
      </c>
      <c r="H58" s="6"/>
    </row>
    <row r="59" spans="2:8" x14ac:dyDescent="0.25">
      <c r="B59" s="13">
        <v>63.149999999999977</v>
      </c>
      <c r="C59" s="12">
        <v>5.6235375000000003</v>
      </c>
      <c r="D59" s="14">
        <v>0.91700000000000004</v>
      </c>
      <c r="E59" s="14">
        <v>8.3000000000000004E-2</v>
      </c>
      <c r="F59" s="14">
        <v>1.6000000000000014E-2</v>
      </c>
      <c r="G59" s="14">
        <v>0.98399999999999999</v>
      </c>
      <c r="H59" s="6"/>
    </row>
    <row r="60" spans="2:8" x14ac:dyDescent="0.25">
      <c r="B60" s="13">
        <v>63.169999999999987</v>
      </c>
      <c r="C60" s="12">
        <v>4.6720957500000004</v>
      </c>
      <c r="D60" s="14">
        <v>0.92500000000000004</v>
      </c>
      <c r="E60" s="14">
        <v>7.4999999999999997E-2</v>
      </c>
      <c r="F60" s="14">
        <v>1.8000000000000016E-2</v>
      </c>
      <c r="G60" s="14">
        <v>0.98199999999999998</v>
      </c>
      <c r="H60" s="6"/>
    </row>
    <row r="61" spans="2:8" x14ac:dyDescent="0.25">
      <c r="B61" s="13">
        <v>63.169999999999987</v>
      </c>
      <c r="C61" s="12">
        <v>3.6780974999999994</v>
      </c>
      <c r="D61" s="14">
        <v>0.94299999999999995</v>
      </c>
      <c r="E61" s="14">
        <v>5.7000000000000002E-2</v>
      </c>
      <c r="F61" s="14">
        <v>1.6000000000000014E-2</v>
      </c>
      <c r="G61" s="14">
        <v>0.98399999999999999</v>
      </c>
      <c r="H61" s="6"/>
    </row>
    <row r="62" spans="2:8" x14ac:dyDescent="0.25">
      <c r="B62" s="13">
        <v>63.159999999999968</v>
      </c>
      <c r="C62" s="12">
        <v>2.7053775</v>
      </c>
      <c r="D62" s="14">
        <v>0.95899999999999996</v>
      </c>
      <c r="E62" s="14">
        <v>4.1000000000000002E-2</v>
      </c>
      <c r="F62" s="14">
        <v>1.9000000000000017E-2</v>
      </c>
      <c r="G62" s="14">
        <v>0.98099999999999998</v>
      </c>
      <c r="H62" s="6"/>
    </row>
    <row r="63" spans="2:8" x14ac:dyDescent="0.25">
      <c r="B63" s="13">
        <v>63.149999999999977</v>
      </c>
      <c r="C63" s="12">
        <v>1.73164425</v>
      </c>
      <c r="D63" s="14">
        <v>0.97299999999999998</v>
      </c>
      <c r="E63" s="14">
        <v>2.7E-2</v>
      </c>
      <c r="F63" s="14">
        <v>2.0000000000000018E-2</v>
      </c>
      <c r="G63" s="14">
        <v>0.98</v>
      </c>
      <c r="H63" s="6"/>
    </row>
    <row r="64" spans="2:8" x14ac:dyDescent="0.25">
      <c r="B64" s="13">
        <v>63.159999999999968</v>
      </c>
      <c r="C64" s="12">
        <v>1.2371782499999999</v>
      </c>
      <c r="D64" s="14">
        <v>0.97499999999999998</v>
      </c>
      <c r="E64" s="14">
        <v>2.5000000000000001E-2</v>
      </c>
      <c r="F64" s="14">
        <v>1.6000000000000014E-2</v>
      </c>
      <c r="G64" s="14">
        <v>0.98399999999999999</v>
      </c>
      <c r="H64" s="6"/>
    </row>
    <row r="65" spans="1:8" x14ac:dyDescent="0.25">
      <c r="B65" s="13">
        <v>63.169999999999987</v>
      </c>
      <c r="C65" s="12">
        <v>1.23515175</v>
      </c>
      <c r="D65" s="14">
        <v>0.98099999999999998</v>
      </c>
      <c r="E65" s="14">
        <v>1.9E-2</v>
      </c>
      <c r="F65" s="14"/>
      <c r="G65" s="14"/>
      <c r="H65" s="6"/>
    </row>
    <row r="66" spans="1:8" x14ac:dyDescent="0.25">
      <c r="B66" s="13">
        <v>63.149999999999977</v>
      </c>
      <c r="C66" s="12">
        <v>1.2310987499999999</v>
      </c>
      <c r="D66" s="14">
        <v>0.98</v>
      </c>
      <c r="E66" s="14">
        <v>0.02</v>
      </c>
      <c r="F66" s="14">
        <v>1.3000000000000012E-2</v>
      </c>
      <c r="G66" s="14">
        <v>0.98699999999999999</v>
      </c>
      <c r="H66" s="6"/>
    </row>
    <row r="67" spans="1:8" ht="15.75" thickBot="1" x14ac:dyDescent="0.3">
      <c r="A67" s="9"/>
      <c r="B67" s="17">
        <v>63.149999999999977</v>
      </c>
      <c r="C67" s="15">
        <v>1.2159E-2</v>
      </c>
      <c r="D67" s="16">
        <v>1</v>
      </c>
      <c r="E67" s="16">
        <v>0</v>
      </c>
      <c r="F67" s="16">
        <v>1</v>
      </c>
      <c r="G67" s="16">
        <v>0</v>
      </c>
      <c r="H67" s="6"/>
    </row>
    <row r="68" spans="1:8" x14ac:dyDescent="0.25">
      <c r="A68" s="18" t="s">
        <v>51</v>
      </c>
      <c r="B68" s="13">
        <v>83.15</v>
      </c>
      <c r="C68" s="12">
        <v>2.1718446200306123</v>
      </c>
      <c r="D68" s="14">
        <f>1-E68</f>
        <v>0.95130000000000003</v>
      </c>
      <c r="E68" s="14">
        <v>4.87E-2</v>
      </c>
      <c r="F68" s="14">
        <f>1-G68</f>
        <v>0.13449999999999995</v>
      </c>
      <c r="G68" s="14">
        <v>0.86550000000000005</v>
      </c>
    </row>
    <row r="69" spans="1:8" x14ac:dyDescent="0.25">
      <c r="B69" s="13">
        <v>83.15</v>
      </c>
      <c r="C69" s="12">
        <v>3.4473724127470038</v>
      </c>
      <c r="D69" s="14">
        <f t="shared" ref="D69:D77" si="0">1-E69</f>
        <v>0.92369999999999997</v>
      </c>
      <c r="E69" s="14">
        <v>7.6300000000000007E-2</v>
      </c>
      <c r="F69" s="14">
        <f t="shared" ref="F69:F77" si="1">1-G69</f>
        <v>0.10519999999999996</v>
      </c>
      <c r="G69" s="14">
        <v>0.89480000000000004</v>
      </c>
    </row>
    <row r="70" spans="1:8" x14ac:dyDescent="0.25">
      <c r="B70" s="13">
        <v>83.15</v>
      </c>
      <c r="C70" s="12">
        <v>9.6526427556916108</v>
      </c>
      <c r="D70" s="14">
        <f t="shared" si="0"/>
        <v>0.77</v>
      </c>
      <c r="E70" s="14">
        <v>0.23</v>
      </c>
      <c r="F70" s="14">
        <f t="shared" si="1"/>
        <v>0.13</v>
      </c>
      <c r="G70" s="14">
        <v>0.87</v>
      </c>
    </row>
    <row r="71" spans="1:8" x14ac:dyDescent="0.25">
      <c r="B71" s="13">
        <v>83.15</v>
      </c>
      <c r="C71" s="12">
        <v>13.789489650988015</v>
      </c>
      <c r="D71" s="14">
        <f t="shared" si="0"/>
        <v>0.65539999999999998</v>
      </c>
      <c r="E71" s="14">
        <v>0.34460000000000002</v>
      </c>
      <c r="F71" s="14">
        <f t="shared" si="1"/>
        <v>0.20230000000000004</v>
      </c>
      <c r="G71" s="14">
        <v>0.79769999999999996</v>
      </c>
    </row>
    <row r="72" spans="1:8" x14ac:dyDescent="0.25">
      <c r="B72" s="13">
        <v>99.816699999999997</v>
      </c>
      <c r="C72" s="12">
        <v>2.1718446200306123</v>
      </c>
      <c r="D72" s="14">
        <f t="shared" si="0"/>
        <v>0.96230000000000004</v>
      </c>
      <c r="E72" s="14">
        <v>3.7699999999999997E-2</v>
      </c>
      <c r="F72" s="14">
        <f t="shared" si="1"/>
        <v>0.44910000000000005</v>
      </c>
      <c r="G72" s="14">
        <v>0.55089999999999995</v>
      </c>
    </row>
    <row r="73" spans="1:8" x14ac:dyDescent="0.25">
      <c r="B73" s="13">
        <v>99.816699999999997</v>
      </c>
      <c r="C73" s="12">
        <v>3.4473724127470038</v>
      </c>
      <c r="D73" s="14">
        <f t="shared" si="0"/>
        <v>0.92589999999999995</v>
      </c>
      <c r="E73" s="14">
        <v>7.4099999999999999E-2</v>
      </c>
      <c r="F73" s="14">
        <f t="shared" si="1"/>
        <v>0.33140000000000003</v>
      </c>
      <c r="G73" s="14">
        <v>0.66859999999999997</v>
      </c>
    </row>
    <row r="74" spans="1:8" x14ac:dyDescent="0.25">
      <c r="B74" s="13">
        <v>99.816699999999997</v>
      </c>
      <c r="C74" s="12">
        <v>5.5157958603952064</v>
      </c>
      <c r="D74" s="14">
        <f t="shared" si="0"/>
        <v>0.86160000000000003</v>
      </c>
      <c r="E74" s="14">
        <v>0.1384</v>
      </c>
      <c r="F74" s="14">
        <f t="shared" si="1"/>
        <v>0.27205000000000001</v>
      </c>
      <c r="G74" s="14">
        <v>0.72794999999999999</v>
      </c>
    </row>
    <row r="75" spans="1:8" x14ac:dyDescent="0.25">
      <c r="B75" s="13">
        <v>99.816699999999997</v>
      </c>
      <c r="C75" s="12">
        <v>7.5842193080434086</v>
      </c>
      <c r="D75" s="14">
        <f t="shared" si="0"/>
        <v>0.78839999999999999</v>
      </c>
      <c r="E75" s="14">
        <v>0.21160000000000001</v>
      </c>
      <c r="F75" s="14">
        <f t="shared" si="1"/>
        <v>0.28249999999999997</v>
      </c>
      <c r="G75" s="14">
        <v>0.71750000000000003</v>
      </c>
    </row>
    <row r="76" spans="1:8" x14ac:dyDescent="0.25">
      <c r="B76" s="13">
        <v>99.816699999999997</v>
      </c>
      <c r="C76" s="12">
        <v>9.6526427556916108</v>
      </c>
      <c r="D76" s="14">
        <f t="shared" si="0"/>
        <v>0.69700000000000006</v>
      </c>
      <c r="E76" s="14">
        <v>0.30299999999999999</v>
      </c>
      <c r="F76" s="14">
        <f t="shared" si="1"/>
        <v>0.34699999999999998</v>
      </c>
      <c r="G76" s="14">
        <v>0.65300000000000002</v>
      </c>
    </row>
    <row r="77" spans="1:8" ht="15.75" thickBot="1" x14ac:dyDescent="0.3">
      <c r="A77" s="9"/>
      <c r="B77" s="17">
        <v>122.039</v>
      </c>
      <c r="C77" s="15">
        <v>3.4473724127470038</v>
      </c>
      <c r="D77" s="16">
        <f t="shared" si="0"/>
        <v>0.97389999999999999</v>
      </c>
      <c r="E77" s="16">
        <v>2.6100000000000002E-2</v>
      </c>
      <c r="F77" s="16">
        <f t="shared" si="1"/>
        <v>0.91789999999999994</v>
      </c>
      <c r="G77" s="16">
        <v>8.2100000000000006E-2</v>
      </c>
    </row>
    <row r="78" spans="1:8" x14ac:dyDescent="0.25">
      <c r="A78" s="18" t="s">
        <v>47</v>
      </c>
      <c r="B78" s="13">
        <v>90</v>
      </c>
      <c r="C78" s="12">
        <v>0.35949199520125757</v>
      </c>
      <c r="D78" s="8">
        <f>1-E78</f>
        <v>1</v>
      </c>
      <c r="E78" s="8">
        <v>0</v>
      </c>
      <c r="F78" s="8">
        <f>1-G78</f>
        <v>1</v>
      </c>
      <c r="G78" s="8">
        <v>0</v>
      </c>
    </row>
    <row r="79" spans="1:8" x14ac:dyDescent="0.25">
      <c r="B79" s="13">
        <v>90.02</v>
      </c>
      <c r="C79" s="12">
        <v>1.7857389098029481</v>
      </c>
      <c r="F79" s="8">
        <f t="shared" ref="F79:F94" si="2">1-G79</f>
        <v>0.26759999999999995</v>
      </c>
      <c r="G79" s="8">
        <v>0.73240000000000005</v>
      </c>
    </row>
    <row r="80" spans="1:8" x14ac:dyDescent="0.25">
      <c r="B80" s="13">
        <v>90.02</v>
      </c>
      <c r="C80" s="12">
        <v>1.3566099918642009</v>
      </c>
      <c r="D80" s="8">
        <f t="shared" ref="D80:D94" si="3">1-E80</f>
        <v>0.97519999999999996</v>
      </c>
      <c r="E80" s="8">
        <v>2.4799999999999999E-2</v>
      </c>
      <c r="F80" s="8">
        <f t="shared" si="2"/>
        <v>0.32679999999999998</v>
      </c>
      <c r="G80" s="8">
        <v>0.67320000000000002</v>
      </c>
    </row>
    <row r="81" spans="1:7" x14ac:dyDescent="0.25">
      <c r="B81" s="13">
        <v>90.01</v>
      </c>
      <c r="C81" s="12">
        <v>1.2975909761579723</v>
      </c>
      <c r="D81" s="8">
        <f t="shared" si="3"/>
        <v>0.97660000000000002</v>
      </c>
      <c r="E81" s="8">
        <v>2.3400000000000001E-2</v>
      </c>
      <c r="F81" s="8">
        <f t="shared" si="2"/>
        <v>0.33809999999999996</v>
      </c>
      <c r="G81" s="8">
        <v>0.66190000000000004</v>
      </c>
    </row>
    <row r="82" spans="1:7" x14ac:dyDescent="0.25">
      <c r="B82" s="13">
        <v>90.03</v>
      </c>
      <c r="C82" s="12">
        <v>1.1852755829506749</v>
      </c>
      <c r="D82" s="8">
        <f t="shared" si="3"/>
        <v>0.97929999999999995</v>
      </c>
      <c r="E82" s="8">
        <v>2.07E-2</v>
      </c>
      <c r="F82" s="8">
        <f t="shared" si="2"/>
        <v>0.36329999999999996</v>
      </c>
      <c r="G82" s="8">
        <v>0.63670000000000004</v>
      </c>
    </row>
    <row r="83" spans="1:7" x14ac:dyDescent="0.25">
      <c r="B83" s="13">
        <v>90.02</v>
      </c>
      <c r="C83" s="12">
        <v>1.1336339442077248</v>
      </c>
      <c r="F83" s="8">
        <f t="shared" si="2"/>
        <v>0.37529999999999997</v>
      </c>
      <c r="G83" s="8">
        <v>0.62470000000000003</v>
      </c>
    </row>
    <row r="84" spans="1:7" x14ac:dyDescent="0.25">
      <c r="B84" s="13">
        <v>90.03</v>
      </c>
      <c r="C84" s="12">
        <v>0.98415587639101476</v>
      </c>
      <c r="F84" s="8">
        <f t="shared" si="2"/>
        <v>0.42090000000000005</v>
      </c>
      <c r="G84" s="8">
        <v>0.57909999999999995</v>
      </c>
    </row>
    <row r="85" spans="1:7" x14ac:dyDescent="0.25">
      <c r="B85" s="13">
        <v>90.04</v>
      </c>
      <c r="C85" s="12">
        <v>1.0209048663108977</v>
      </c>
      <c r="D85" s="8">
        <f t="shared" si="3"/>
        <v>0.98360000000000003</v>
      </c>
      <c r="E85" s="8">
        <v>1.6400000000000001E-2</v>
      </c>
      <c r="F85" s="8">
        <f t="shared" si="2"/>
        <v>0.40969999999999995</v>
      </c>
      <c r="G85" s="8">
        <v>0.59030000000000005</v>
      </c>
    </row>
    <row r="86" spans="1:7" x14ac:dyDescent="0.25">
      <c r="B86" s="13">
        <v>89.99</v>
      </c>
      <c r="C86" s="12">
        <v>0.84357202939919185</v>
      </c>
      <c r="D86" s="8">
        <f t="shared" si="3"/>
        <v>0.98809999999999998</v>
      </c>
      <c r="E86" s="8">
        <v>1.1900000000000001E-2</v>
      </c>
      <c r="F86" s="8">
        <f t="shared" si="2"/>
        <v>0.47829999999999995</v>
      </c>
      <c r="G86" s="8">
        <v>0.52170000000000005</v>
      </c>
    </row>
    <row r="87" spans="1:7" x14ac:dyDescent="0.25">
      <c r="B87" s="13">
        <v>90.01</v>
      </c>
      <c r="C87" s="12">
        <v>0.61335649967594685</v>
      </c>
      <c r="F87" s="8">
        <f t="shared" si="2"/>
        <v>0.62470000000000003</v>
      </c>
      <c r="G87" s="8">
        <v>0.37530000000000002</v>
      </c>
    </row>
    <row r="88" spans="1:7" x14ac:dyDescent="0.25">
      <c r="B88" s="13">
        <v>90.01</v>
      </c>
      <c r="C88" s="12">
        <v>1.0066327445221253</v>
      </c>
      <c r="D88" s="8">
        <f t="shared" si="3"/>
        <v>0.98409999999999997</v>
      </c>
      <c r="E88" s="8">
        <v>1.5900000000000001E-2</v>
      </c>
      <c r="F88" s="8">
        <f t="shared" si="2"/>
        <v>0.41449999999999998</v>
      </c>
      <c r="G88" s="8">
        <v>0.58550000000000002</v>
      </c>
    </row>
    <row r="89" spans="1:7" x14ac:dyDescent="0.25">
      <c r="B89" s="13">
        <v>90.06</v>
      </c>
      <c r="C89" s="12">
        <v>2.4420496697417224</v>
      </c>
      <c r="D89" s="8">
        <f t="shared" si="3"/>
        <v>0.9466</v>
      </c>
      <c r="E89" s="8">
        <v>5.3400000000000003E-2</v>
      </c>
      <c r="F89" s="8">
        <f t="shared" si="2"/>
        <v>0.21999999999999997</v>
      </c>
      <c r="G89" s="8">
        <v>0.78</v>
      </c>
    </row>
    <row r="90" spans="1:7" x14ac:dyDescent="0.25">
      <c r="B90" s="13">
        <v>90.04</v>
      </c>
      <c r="C90" s="12">
        <v>4.5954163736400115</v>
      </c>
      <c r="D90" s="8">
        <f t="shared" si="3"/>
        <v>0.88849999999999996</v>
      </c>
      <c r="E90" s="8">
        <v>0.1115</v>
      </c>
      <c r="F90" s="8">
        <f t="shared" si="2"/>
        <v>0.16959999999999997</v>
      </c>
      <c r="G90" s="8">
        <v>0.83040000000000003</v>
      </c>
    </row>
    <row r="91" spans="1:7" x14ac:dyDescent="0.25">
      <c r="B91" s="13">
        <v>95</v>
      </c>
      <c r="C91" s="12">
        <v>0.54075483666349511</v>
      </c>
      <c r="D91" s="8">
        <f t="shared" si="3"/>
        <v>1</v>
      </c>
      <c r="E91" s="8">
        <v>0</v>
      </c>
      <c r="F91" s="8">
        <f t="shared" si="2"/>
        <v>1</v>
      </c>
      <c r="G91" s="8">
        <v>0</v>
      </c>
    </row>
    <row r="92" spans="1:7" x14ac:dyDescent="0.25">
      <c r="B92" s="13">
        <v>95.02</v>
      </c>
      <c r="C92" s="12">
        <v>1.1091576000772212</v>
      </c>
      <c r="D92" s="8">
        <f t="shared" si="3"/>
        <v>0.98509999999999998</v>
      </c>
      <c r="E92" s="8">
        <v>1.49E-2</v>
      </c>
      <c r="F92" s="8">
        <f t="shared" si="2"/>
        <v>0.55079999999999996</v>
      </c>
      <c r="G92" s="8">
        <v>0.44919999999999999</v>
      </c>
    </row>
    <row r="93" spans="1:7" x14ac:dyDescent="0.25">
      <c r="B93" s="13">
        <v>94.99</v>
      </c>
      <c r="C93" s="12">
        <v>4.5328810380727811</v>
      </c>
      <c r="D93" s="8">
        <f t="shared" si="3"/>
        <v>0.88790000000000002</v>
      </c>
      <c r="E93" s="8">
        <v>0.11210000000000001</v>
      </c>
      <c r="F93" s="8">
        <f t="shared" si="2"/>
        <v>0.23570000000000002</v>
      </c>
      <c r="G93" s="8">
        <v>0.76429999999999998</v>
      </c>
    </row>
    <row r="94" spans="1:7" ht="15.75" thickBot="1" x14ac:dyDescent="0.3">
      <c r="A94" s="9"/>
      <c r="B94" s="17">
        <v>95</v>
      </c>
      <c r="C94" s="15">
        <v>2.6216577724458419</v>
      </c>
      <c r="D94" s="9">
        <f t="shared" si="3"/>
        <v>0.94340000000000002</v>
      </c>
      <c r="E94" s="9">
        <v>5.6599999999999998E-2</v>
      </c>
      <c r="F94" s="9">
        <f t="shared" si="2"/>
        <v>0.29949999999999999</v>
      </c>
      <c r="G94" s="9">
        <v>0.70050000000000001</v>
      </c>
    </row>
    <row r="95" spans="1:7" x14ac:dyDescent="0.25">
      <c r="A95" s="18" t="s">
        <v>48</v>
      </c>
      <c r="B95" s="13">
        <v>63.6</v>
      </c>
      <c r="C95" s="8">
        <v>0.50662499999999999</v>
      </c>
      <c r="F95" s="14">
        <v>3.3799999999999997E-2</v>
      </c>
      <c r="G95" s="14">
        <f>1-F95</f>
        <v>0.96619999999999995</v>
      </c>
    </row>
    <row r="96" spans="1:7" x14ac:dyDescent="0.25">
      <c r="B96" s="13">
        <v>68</v>
      </c>
      <c r="C96" s="8">
        <v>0.50662499999999999</v>
      </c>
      <c r="F96" s="14">
        <v>6.7599999999999993E-2</v>
      </c>
      <c r="G96" s="14">
        <f t="shared" ref="G96:G118" si="4">1-F96</f>
        <v>0.93240000000000001</v>
      </c>
    </row>
    <row r="97" spans="2:7" x14ac:dyDescent="0.25">
      <c r="B97" s="13">
        <v>72.2</v>
      </c>
      <c r="C97" s="8">
        <v>0.50662499999999999</v>
      </c>
      <c r="F97" s="14">
        <v>0.11600000000000001</v>
      </c>
      <c r="G97" s="14">
        <f t="shared" si="4"/>
        <v>0.88400000000000001</v>
      </c>
    </row>
    <row r="98" spans="2:7" x14ac:dyDescent="0.25">
      <c r="B98" s="13">
        <v>74.599999999999994</v>
      </c>
      <c r="C98" s="8">
        <v>0.50662499999999999</v>
      </c>
      <c r="F98" s="14">
        <v>0.124</v>
      </c>
      <c r="G98" s="14">
        <f t="shared" si="4"/>
        <v>0.876</v>
      </c>
    </row>
    <row r="99" spans="2:7" x14ac:dyDescent="0.25">
      <c r="B99" s="13">
        <v>63.6</v>
      </c>
      <c r="C99" s="8">
        <v>1.01325</v>
      </c>
      <c r="F99" s="14">
        <v>2.1299999999999999E-2</v>
      </c>
      <c r="G99" s="14">
        <f t="shared" si="4"/>
        <v>0.97870000000000001</v>
      </c>
    </row>
    <row r="100" spans="2:7" x14ac:dyDescent="0.25">
      <c r="B100" s="13">
        <v>68.099999999999994</v>
      </c>
      <c r="C100" s="8">
        <v>1.01325</v>
      </c>
      <c r="F100" s="14">
        <v>4.7500000000000001E-2</v>
      </c>
      <c r="G100" s="14">
        <f t="shared" si="4"/>
        <v>0.95250000000000001</v>
      </c>
    </row>
    <row r="101" spans="2:7" x14ac:dyDescent="0.25">
      <c r="B101" s="13">
        <v>72.3</v>
      </c>
      <c r="C101" s="8">
        <v>1.01325</v>
      </c>
      <c r="F101" s="14">
        <v>7.5200000000000003E-2</v>
      </c>
      <c r="G101" s="14">
        <f t="shared" si="4"/>
        <v>0.92479999999999996</v>
      </c>
    </row>
    <row r="102" spans="2:7" x14ac:dyDescent="0.25">
      <c r="B102" s="13">
        <v>74.7</v>
      </c>
      <c r="C102" s="8">
        <v>1.01325</v>
      </c>
      <c r="F102" s="14">
        <v>0.10299999999999999</v>
      </c>
      <c r="G102" s="14">
        <f t="shared" si="4"/>
        <v>0.89700000000000002</v>
      </c>
    </row>
    <row r="103" spans="2:7" x14ac:dyDescent="0.25">
      <c r="B103" s="13">
        <v>63.7</v>
      </c>
      <c r="C103" s="8">
        <v>1.5198750000000001</v>
      </c>
      <c r="F103" s="14">
        <v>1.83E-2</v>
      </c>
      <c r="G103" s="14">
        <f t="shared" si="4"/>
        <v>0.98170000000000002</v>
      </c>
    </row>
    <row r="104" spans="2:7" x14ac:dyDescent="0.25">
      <c r="B104" s="13">
        <v>68.099999999999994</v>
      </c>
      <c r="C104" s="8">
        <v>1.5198750000000001</v>
      </c>
      <c r="F104" s="14">
        <v>3.8600000000000002E-2</v>
      </c>
      <c r="G104" s="14">
        <f t="shared" si="4"/>
        <v>0.96140000000000003</v>
      </c>
    </row>
    <row r="105" spans="2:7" x14ac:dyDescent="0.25">
      <c r="B105" s="13">
        <v>72.400000000000006</v>
      </c>
      <c r="C105" s="8">
        <v>1.5198750000000001</v>
      </c>
      <c r="F105" s="14">
        <v>6.0499999999999998E-2</v>
      </c>
      <c r="G105" s="14">
        <f t="shared" si="4"/>
        <v>0.9395</v>
      </c>
    </row>
    <row r="106" spans="2:7" x14ac:dyDescent="0.25">
      <c r="B106" s="13">
        <v>74.7</v>
      </c>
      <c r="C106" s="8">
        <v>1.5198750000000001</v>
      </c>
      <c r="F106" s="14">
        <v>7.8700000000000006E-2</v>
      </c>
      <c r="G106" s="14">
        <f t="shared" si="4"/>
        <v>0.92130000000000001</v>
      </c>
    </row>
    <row r="107" spans="2:7" x14ac:dyDescent="0.25">
      <c r="B107" s="13">
        <v>63.1</v>
      </c>
      <c r="C107" s="8">
        <v>2.5331250000000001</v>
      </c>
      <c r="F107" s="14">
        <v>1.3100000000000001E-2</v>
      </c>
      <c r="G107" s="14">
        <f t="shared" si="4"/>
        <v>0.9869</v>
      </c>
    </row>
    <row r="108" spans="2:7" x14ac:dyDescent="0.25">
      <c r="B108" s="13">
        <v>68.099999999999994</v>
      </c>
      <c r="C108" s="8">
        <v>2.5331250000000001</v>
      </c>
      <c r="F108" s="14">
        <v>2.75E-2</v>
      </c>
      <c r="G108" s="14">
        <f t="shared" si="4"/>
        <v>0.97250000000000003</v>
      </c>
    </row>
    <row r="109" spans="2:7" x14ac:dyDescent="0.25">
      <c r="B109" s="13">
        <v>72.5</v>
      </c>
      <c r="C109" s="8">
        <v>2.5331250000000001</v>
      </c>
      <c r="F109" s="14">
        <v>4.6199999999999998E-2</v>
      </c>
      <c r="G109" s="14">
        <f t="shared" si="4"/>
        <v>0.95379999999999998</v>
      </c>
    </row>
    <row r="110" spans="2:7" x14ac:dyDescent="0.25">
      <c r="B110" s="13">
        <v>74.900000000000006</v>
      </c>
      <c r="C110" s="8">
        <v>2.5331250000000001</v>
      </c>
      <c r="F110" s="14">
        <v>5.1499999999999997E-2</v>
      </c>
      <c r="G110" s="14">
        <f t="shared" si="4"/>
        <v>0.94850000000000001</v>
      </c>
    </row>
    <row r="111" spans="2:7" x14ac:dyDescent="0.25">
      <c r="B111" s="13">
        <v>63.15</v>
      </c>
      <c r="C111" s="8">
        <v>3.5463749999999998</v>
      </c>
      <c r="F111" s="14">
        <v>1.2500000000000001E-2</v>
      </c>
      <c r="G111" s="14">
        <f t="shared" si="4"/>
        <v>0.98750000000000004</v>
      </c>
    </row>
    <row r="112" spans="2:7" x14ac:dyDescent="0.25">
      <c r="B112" s="13">
        <v>68.25</v>
      </c>
      <c r="C112" s="8">
        <v>3.5463749999999998</v>
      </c>
      <c r="F112" s="14">
        <v>2.6700000000000002E-2</v>
      </c>
      <c r="G112" s="14">
        <f t="shared" si="4"/>
        <v>0.97330000000000005</v>
      </c>
    </row>
    <row r="113" spans="1:7" x14ac:dyDescent="0.25">
      <c r="B113" s="13">
        <v>72.5</v>
      </c>
      <c r="C113" s="8">
        <v>3.5463749999999998</v>
      </c>
      <c r="F113" s="14">
        <v>4.2900000000000001E-2</v>
      </c>
      <c r="G113" s="14">
        <f t="shared" si="4"/>
        <v>0.95709999999999995</v>
      </c>
    </row>
    <row r="114" spans="1:7" x14ac:dyDescent="0.25">
      <c r="B114" s="13">
        <v>75.2</v>
      </c>
      <c r="C114" s="8">
        <v>3.5463749999999998</v>
      </c>
      <c r="F114" s="14">
        <v>5.3499999999999999E-2</v>
      </c>
      <c r="G114" s="14">
        <f t="shared" si="4"/>
        <v>0.94650000000000001</v>
      </c>
    </row>
    <row r="115" spans="1:7" x14ac:dyDescent="0.25">
      <c r="B115" s="13">
        <v>63</v>
      </c>
      <c r="C115" s="8">
        <v>4.5596249999999996</v>
      </c>
      <c r="F115" s="14">
        <v>1.3899999999999999E-2</v>
      </c>
      <c r="G115" s="14">
        <f t="shared" si="4"/>
        <v>0.98609999999999998</v>
      </c>
    </row>
    <row r="116" spans="1:7" x14ac:dyDescent="0.25">
      <c r="B116" s="13">
        <v>68.05</v>
      </c>
      <c r="C116" s="8">
        <v>4.5596249999999996</v>
      </c>
      <c r="F116" s="14">
        <v>2.76E-2</v>
      </c>
      <c r="G116" s="14">
        <f t="shared" si="4"/>
        <v>0.97240000000000004</v>
      </c>
    </row>
    <row r="117" spans="1:7" x14ac:dyDescent="0.25">
      <c r="B117" s="13">
        <v>72.5</v>
      </c>
      <c r="C117" s="8">
        <v>4.5596249999999996</v>
      </c>
      <c r="F117" s="14">
        <v>4.3700000000000003E-2</v>
      </c>
      <c r="G117" s="14">
        <f t="shared" si="4"/>
        <v>0.95630000000000004</v>
      </c>
    </row>
    <row r="118" spans="1:7" ht="15.75" thickBot="1" x14ac:dyDescent="0.3">
      <c r="A118" s="9"/>
      <c r="B118" s="17">
        <v>75</v>
      </c>
      <c r="C118" s="9">
        <v>4.5596249999999996</v>
      </c>
      <c r="D118" s="9"/>
      <c r="E118" s="9"/>
      <c r="F118" s="16">
        <v>5.33E-2</v>
      </c>
      <c r="G118" s="16">
        <f t="shared" si="4"/>
        <v>0.94669999999999999</v>
      </c>
    </row>
    <row r="119" spans="1:7" x14ac:dyDescent="0.25">
      <c r="A119" s="18" t="s">
        <v>52</v>
      </c>
      <c r="B119" s="8">
        <f>-195.8+273.15</f>
        <v>77.349999999999966</v>
      </c>
      <c r="C119" s="12">
        <v>4.7116125000000002</v>
      </c>
      <c r="D119" s="14">
        <f>1-E119</f>
        <v>0.88200000000000001</v>
      </c>
      <c r="E119" s="14">
        <v>0.11799999999999999</v>
      </c>
      <c r="F119" s="14">
        <f>1-G119</f>
        <v>5.8000000000000052E-2</v>
      </c>
      <c r="G119" s="14">
        <v>0.94199999999999995</v>
      </c>
    </row>
    <row r="120" spans="1:7" x14ac:dyDescent="0.25">
      <c r="B120" s="8">
        <f t="shared" ref="B120:B126" si="5">-195.8+273.15</f>
        <v>77.349999999999966</v>
      </c>
      <c r="C120" s="12">
        <v>7.0927499999999997</v>
      </c>
      <c r="D120" s="14">
        <f t="shared" ref="D120:D135" si="6">1-E120</f>
        <v>0.82699999999999996</v>
      </c>
      <c r="E120" s="14">
        <v>0.17299999999999999</v>
      </c>
      <c r="F120" s="14">
        <f t="shared" ref="F120:F135" si="7">1-G120</f>
        <v>6.899999999999995E-2</v>
      </c>
      <c r="G120" s="14">
        <v>0.93100000000000005</v>
      </c>
    </row>
    <row r="121" spans="1:7" x14ac:dyDescent="0.25">
      <c r="B121" s="8">
        <f t="shared" si="5"/>
        <v>77.349999999999966</v>
      </c>
      <c r="C121" s="12">
        <v>8.1059999999999999</v>
      </c>
      <c r="D121" s="14">
        <f t="shared" si="6"/>
        <v>0.84199999999999997</v>
      </c>
      <c r="E121" s="14">
        <v>0.158</v>
      </c>
      <c r="F121" s="14">
        <f t="shared" si="7"/>
        <v>7.6999999999999957E-2</v>
      </c>
      <c r="G121" s="14">
        <v>0.92300000000000004</v>
      </c>
    </row>
    <row r="122" spans="1:7" x14ac:dyDescent="0.25">
      <c r="B122" s="8">
        <f t="shared" si="5"/>
        <v>77.349999999999966</v>
      </c>
      <c r="C122" s="12">
        <v>12.361649999999999</v>
      </c>
      <c r="D122" s="14">
        <f t="shared" si="6"/>
        <v>0.71700000000000008</v>
      </c>
      <c r="E122" s="14">
        <v>0.28299999999999997</v>
      </c>
      <c r="F122" s="14">
        <f t="shared" si="7"/>
        <v>0.11199999999999999</v>
      </c>
      <c r="G122" s="14">
        <v>0.88800000000000001</v>
      </c>
    </row>
    <row r="123" spans="1:7" x14ac:dyDescent="0.25">
      <c r="B123" s="8">
        <f t="shared" si="5"/>
        <v>77.349999999999966</v>
      </c>
      <c r="C123" s="12">
        <v>13.678875</v>
      </c>
      <c r="D123" s="14">
        <f t="shared" si="6"/>
        <v>0.68199999999999994</v>
      </c>
      <c r="E123" s="14">
        <v>0.318</v>
      </c>
      <c r="F123" s="14">
        <f t="shared" si="7"/>
        <v>0.13100000000000001</v>
      </c>
      <c r="G123" s="14">
        <v>0.86899999999999999</v>
      </c>
    </row>
    <row r="124" spans="1:7" x14ac:dyDescent="0.25">
      <c r="B124" s="8">
        <f t="shared" si="5"/>
        <v>77.349999999999966</v>
      </c>
      <c r="C124" s="12">
        <v>15.908025</v>
      </c>
      <c r="D124" s="14">
        <f t="shared" si="6"/>
        <v>0.65100000000000002</v>
      </c>
      <c r="E124" s="14">
        <v>0.34899999999999998</v>
      </c>
      <c r="F124" s="14">
        <f t="shared" si="7"/>
        <v>0.15800000000000003</v>
      </c>
      <c r="G124" s="14">
        <v>0.84199999999999997</v>
      </c>
    </row>
    <row r="125" spans="1:7" x14ac:dyDescent="0.25">
      <c r="B125" s="8">
        <f t="shared" si="5"/>
        <v>77.349999999999966</v>
      </c>
      <c r="C125" s="12">
        <v>16.819949999999999</v>
      </c>
      <c r="D125" s="14">
        <f t="shared" si="6"/>
        <v>0.58200000000000007</v>
      </c>
      <c r="E125" s="14">
        <v>0.41799999999999998</v>
      </c>
      <c r="F125" s="14">
        <f t="shared" si="7"/>
        <v>0.17300000000000004</v>
      </c>
      <c r="G125" s="14">
        <v>0.82699999999999996</v>
      </c>
    </row>
    <row r="126" spans="1:7" x14ac:dyDescent="0.25">
      <c r="B126" s="8">
        <f t="shared" si="5"/>
        <v>77.349999999999966</v>
      </c>
      <c r="C126" s="12">
        <v>19.049099999999999</v>
      </c>
      <c r="D126" s="14">
        <f t="shared" si="6"/>
        <v>0.53499999999999992</v>
      </c>
      <c r="E126" s="14">
        <v>0.46500000000000002</v>
      </c>
      <c r="F126" s="14">
        <f t="shared" si="7"/>
        <v>0.253</v>
      </c>
      <c r="G126" s="14">
        <v>0.747</v>
      </c>
    </row>
    <row r="127" spans="1:7" x14ac:dyDescent="0.25">
      <c r="B127" s="8">
        <f>-185+273.15</f>
        <v>88.149999999999977</v>
      </c>
      <c r="C127" s="12">
        <v>1.6718625</v>
      </c>
      <c r="D127" s="14">
        <f t="shared" si="6"/>
        <v>0.95099999999999996</v>
      </c>
      <c r="E127" s="14">
        <v>4.9000000000000002E-2</v>
      </c>
      <c r="F127" s="14">
        <f t="shared" si="7"/>
        <v>0.23499999999999999</v>
      </c>
      <c r="G127" s="14">
        <v>0.76500000000000001</v>
      </c>
    </row>
    <row r="128" spans="1:7" x14ac:dyDescent="0.25">
      <c r="B128" s="8">
        <f t="shared" ref="B128:B135" si="8">-185+273.15</f>
        <v>88.149999999999977</v>
      </c>
      <c r="C128" s="12">
        <v>3.1410749999999998</v>
      </c>
      <c r="D128" s="14">
        <f t="shared" si="6"/>
        <v>0.92400000000000004</v>
      </c>
      <c r="E128" s="14">
        <v>7.5999999999999998E-2</v>
      </c>
      <c r="F128" s="14">
        <f t="shared" si="7"/>
        <v>0.15300000000000002</v>
      </c>
      <c r="G128" s="14">
        <v>0.84699999999999998</v>
      </c>
    </row>
    <row r="129" spans="1:7" x14ac:dyDescent="0.25">
      <c r="B129" s="8">
        <f t="shared" si="8"/>
        <v>88.149999999999977</v>
      </c>
      <c r="C129" s="12">
        <v>5.0662500000000001</v>
      </c>
      <c r="D129" s="14">
        <f t="shared" si="6"/>
        <v>0.86599999999999999</v>
      </c>
      <c r="E129" s="14">
        <v>0.13400000000000001</v>
      </c>
      <c r="F129" s="14">
        <f t="shared" si="7"/>
        <v>0.13400000000000001</v>
      </c>
      <c r="G129" s="14">
        <v>0.86599999999999999</v>
      </c>
    </row>
    <row r="130" spans="1:7" x14ac:dyDescent="0.25">
      <c r="B130" s="8">
        <f t="shared" si="8"/>
        <v>88.149999999999977</v>
      </c>
      <c r="C130" s="12">
        <v>7.8425550000000008</v>
      </c>
      <c r="D130" s="14">
        <f t="shared" si="6"/>
        <v>0.79</v>
      </c>
      <c r="E130" s="14">
        <v>0.21</v>
      </c>
      <c r="F130" s="14">
        <f t="shared" si="7"/>
        <v>0.14700000000000002</v>
      </c>
      <c r="G130" s="14">
        <v>0.85299999999999998</v>
      </c>
    </row>
    <row r="131" spans="1:7" x14ac:dyDescent="0.25">
      <c r="B131" s="8">
        <f t="shared" si="8"/>
        <v>88.149999999999977</v>
      </c>
      <c r="C131" s="12">
        <v>9.4637550000000008</v>
      </c>
      <c r="D131" s="14">
        <f t="shared" si="6"/>
        <v>0.76500000000000001</v>
      </c>
      <c r="E131" s="14">
        <v>0.23499999999999999</v>
      </c>
      <c r="F131" s="14">
        <f t="shared" si="7"/>
        <v>0.15800000000000003</v>
      </c>
      <c r="G131" s="14">
        <v>0.84199999999999997</v>
      </c>
    </row>
    <row r="132" spans="1:7" x14ac:dyDescent="0.25">
      <c r="B132" s="8">
        <f t="shared" si="8"/>
        <v>88.149999999999977</v>
      </c>
      <c r="C132" s="12">
        <v>10.395944999999999</v>
      </c>
      <c r="D132" s="14">
        <f t="shared" si="6"/>
        <v>0.72899999999999998</v>
      </c>
      <c r="E132" s="14">
        <v>0.27100000000000002</v>
      </c>
      <c r="F132" s="14">
        <f t="shared" si="7"/>
        <v>0.19199999999999995</v>
      </c>
      <c r="G132" s="14">
        <v>0.80800000000000005</v>
      </c>
    </row>
    <row r="133" spans="1:7" x14ac:dyDescent="0.25">
      <c r="B133" s="8">
        <f t="shared" si="8"/>
        <v>88.149999999999977</v>
      </c>
      <c r="C133" s="12">
        <v>12.067807500000001</v>
      </c>
      <c r="D133" s="14">
        <f t="shared" si="6"/>
        <v>0.64600000000000002</v>
      </c>
      <c r="E133" s="14">
        <v>0.35399999999999998</v>
      </c>
      <c r="F133" s="14">
        <f t="shared" si="7"/>
        <v>0.21899999999999997</v>
      </c>
      <c r="G133" s="14">
        <v>0.78100000000000003</v>
      </c>
    </row>
    <row r="134" spans="1:7" x14ac:dyDescent="0.25">
      <c r="B134" s="8">
        <f t="shared" si="8"/>
        <v>88.149999999999977</v>
      </c>
      <c r="C134" s="12">
        <v>13.2837075</v>
      </c>
      <c r="D134" s="14">
        <f t="shared" si="6"/>
        <v>0.61799999999999999</v>
      </c>
      <c r="E134" s="14">
        <v>0.38200000000000001</v>
      </c>
      <c r="F134" s="14">
        <f t="shared" si="7"/>
        <v>0.251</v>
      </c>
      <c r="G134" s="14">
        <v>0.749</v>
      </c>
    </row>
    <row r="135" spans="1:7" ht="15.75" thickBot="1" x14ac:dyDescent="0.3">
      <c r="A135" s="9"/>
      <c r="B135" s="9">
        <f t="shared" si="8"/>
        <v>88.149999999999977</v>
      </c>
      <c r="C135" s="15">
        <v>15.887760000000002</v>
      </c>
      <c r="D135" s="16">
        <f t="shared" si="6"/>
        <v>0.55000000000000004</v>
      </c>
      <c r="E135" s="16">
        <v>0.45</v>
      </c>
      <c r="F135" s="16">
        <f t="shared" si="7"/>
        <v>0.38200000000000001</v>
      </c>
      <c r="G135" s="16">
        <v>0.61799999999999999</v>
      </c>
    </row>
    <row r="136" spans="1:7" x14ac:dyDescent="0.25">
      <c r="A136" s="18" t="s">
        <v>50</v>
      </c>
      <c r="B136" s="8">
        <v>63.19</v>
      </c>
      <c r="C136" s="8">
        <v>19.170000000000002</v>
      </c>
      <c r="D136" s="8">
        <f>1-E136</f>
        <v>0.79899999999999993</v>
      </c>
      <c r="E136" s="8">
        <v>0.20100000000000001</v>
      </c>
    </row>
    <row r="137" spans="1:7" x14ac:dyDescent="0.25">
      <c r="B137" s="8">
        <v>63.19</v>
      </c>
      <c r="C137" s="8">
        <v>20.82</v>
      </c>
      <c r="D137" s="8">
        <f t="shared" ref="D137:D200" si="9">1-E137</f>
        <v>0.78600000000000003</v>
      </c>
      <c r="E137" s="8">
        <v>0.214</v>
      </c>
      <c r="F137" s="8">
        <f t="shared" ref="F137:F200" si="10">1-G137</f>
        <v>8.3999999999999964E-2</v>
      </c>
      <c r="G137" s="8">
        <v>0.91600000000000004</v>
      </c>
    </row>
    <row r="138" spans="1:7" x14ac:dyDescent="0.25">
      <c r="B138" s="8">
        <v>63.19</v>
      </c>
      <c r="C138" s="8">
        <v>25.3</v>
      </c>
      <c r="D138" s="8">
        <f t="shared" si="9"/>
        <v>0.75900000000000001</v>
      </c>
      <c r="E138" s="8">
        <v>0.24099999999999999</v>
      </c>
      <c r="F138" s="8">
        <f t="shared" si="10"/>
        <v>0.10199999999999998</v>
      </c>
      <c r="G138" s="8">
        <v>0.89800000000000002</v>
      </c>
    </row>
    <row r="139" spans="1:7" x14ac:dyDescent="0.25">
      <c r="B139" s="8">
        <v>63.19</v>
      </c>
      <c r="C139" s="8">
        <v>27.85</v>
      </c>
      <c r="D139" s="8">
        <f t="shared" si="9"/>
        <v>0.745</v>
      </c>
      <c r="E139" s="8">
        <v>0.255</v>
      </c>
      <c r="F139" s="8">
        <f t="shared" si="10"/>
        <v>0.10999999999999999</v>
      </c>
      <c r="G139" s="8">
        <v>0.89</v>
      </c>
    </row>
    <row r="140" spans="1:7" x14ac:dyDescent="0.25">
      <c r="B140" s="8">
        <v>63.19</v>
      </c>
      <c r="C140" s="8">
        <v>30.61</v>
      </c>
      <c r="D140" s="8">
        <f t="shared" si="9"/>
        <v>0.72399999999999998</v>
      </c>
      <c r="E140" s="8">
        <v>0.27600000000000002</v>
      </c>
      <c r="F140" s="8">
        <f t="shared" si="10"/>
        <v>0.11599999999999999</v>
      </c>
      <c r="G140" s="8">
        <v>0.88400000000000001</v>
      </c>
    </row>
    <row r="141" spans="1:7" x14ac:dyDescent="0.25">
      <c r="B141" s="8">
        <v>63.19</v>
      </c>
      <c r="C141" s="8">
        <v>33.57</v>
      </c>
      <c r="D141" s="8">
        <f t="shared" si="9"/>
        <v>0.70599999999999996</v>
      </c>
      <c r="E141" s="8">
        <v>0.29399999999999998</v>
      </c>
      <c r="F141" s="8">
        <f t="shared" si="10"/>
        <v>0.123</v>
      </c>
      <c r="G141" s="8">
        <v>0.877</v>
      </c>
    </row>
    <row r="142" spans="1:7" x14ac:dyDescent="0.25">
      <c r="B142" s="8">
        <v>63.19</v>
      </c>
      <c r="C142" s="8">
        <v>35.99</v>
      </c>
      <c r="D142" s="8">
        <f t="shared" si="9"/>
        <v>0.70199999999999996</v>
      </c>
      <c r="E142" s="8">
        <v>0.29799999999999999</v>
      </c>
      <c r="F142" s="8">
        <f t="shared" si="10"/>
        <v>0.13100000000000001</v>
      </c>
      <c r="G142" s="8">
        <v>0.86899999999999999</v>
      </c>
    </row>
    <row r="143" spans="1:7" x14ac:dyDescent="0.25">
      <c r="B143" s="8">
        <v>63.19</v>
      </c>
      <c r="C143" s="8">
        <v>39.020000000000003</v>
      </c>
      <c r="D143" s="8">
        <f t="shared" si="9"/>
        <v>0.67500000000000004</v>
      </c>
      <c r="E143" s="8">
        <v>0.32500000000000001</v>
      </c>
      <c r="F143" s="8">
        <f t="shared" si="10"/>
        <v>0.14700000000000002</v>
      </c>
      <c r="G143" s="8">
        <v>0.85299999999999998</v>
      </c>
    </row>
    <row r="144" spans="1:7" x14ac:dyDescent="0.25">
      <c r="B144" s="8">
        <v>63.19</v>
      </c>
      <c r="C144" s="8">
        <v>42.33</v>
      </c>
      <c r="D144" s="8">
        <f t="shared" si="9"/>
        <v>0.64800000000000002</v>
      </c>
      <c r="E144" s="8">
        <v>0.35199999999999998</v>
      </c>
      <c r="F144" s="8">
        <f t="shared" si="10"/>
        <v>0.16700000000000004</v>
      </c>
      <c r="G144" s="8">
        <v>0.83299999999999996</v>
      </c>
    </row>
    <row r="145" spans="2:7" x14ac:dyDescent="0.25">
      <c r="B145" s="8">
        <v>63.19</v>
      </c>
      <c r="C145" s="8">
        <v>46.4</v>
      </c>
      <c r="D145" s="8">
        <f t="shared" si="9"/>
        <v>0.628</v>
      </c>
      <c r="E145" s="8">
        <v>0.372</v>
      </c>
      <c r="F145" s="8">
        <f t="shared" si="10"/>
        <v>0.18500000000000005</v>
      </c>
      <c r="G145" s="8">
        <v>0.81499999999999995</v>
      </c>
    </row>
    <row r="146" spans="2:7" x14ac:dyDescent="0.25">
      <c r="B146" s="8">
        <v>63.19</v>
      </c>
      <c r="C146" s="8">
        <v>49.64</v>
      </c>
      <c r="D146" s="8">
        <f t="shared" si="9"/>
        <v>0.59299999999999997</v>
      </c>
      <c r="E146" s="8">
        <v>0.40699999999999997</v>
      </c>
      <c r="F146" s="8">
        <f t="shared" si="10"/>
        <v>0.21499999999999997</v>
      </c>
      <c r="G146" s="8">
        <v>0.78500000000000003</v>
      </c>
    </row>
    <row r="147" spans="2:7" x14ac:dyDescent="0.25">
      <c r="B147" s="8">
        <v>63.19</v>
      </c>
      <c r="C147" s="8">
        <v>52.05</v>
      </c>
      <c r="D147" s="8">
        <f t="shared" si="9"/>
        <v>0.56600000000000006</v>
      </c>
      <c r="E147" s="8">
        <v>0.434</v>
      </c>
      <c r="F147" s="8">
        <f t="shared" si="10"/>
        <v>0.22899999999999998</v>
      </c>
      <c r="G147" s="8">
        <v>0.77100000000000002</v>
      </c>
    </row>
    <row r="148" spans="2:7" x14ac:dyDescent="0.25">
      <c r="B148" s="8">
        <v>63.19</v>
      </c>
      <c r="C148" s="8">
        <v>55.36</v>
      </c>
      <c r="D148" s="8">
        <f t="shared" si="9"/>
        <v>0.52900000000000003</v>
      </c>
      <c r="E148" s="8">
        <v>0.47099999999999997</v>
      </c>
      <c r="F148" s="8">
        <f t="shared" si="10"/>
        <v>0.26500000000000001</v>
      </c>
      <c r="G148" s="8">
        <v>0.73499999999999999</v>
      </c>
    </row>
    <row r="149" spans="2:7" x14ac:dyDescent="0.25">
      <c r="B149" s="8">
        <v>63.19</v>
      </c>
      <c r="C149" s="8">
        <v>57.22</v>
      </c>
      <c r="D149" s="8">
        <f t="shared" si="9"/>
        <v>0.42400000000000004</v>
      </c>
      <c r="E149" s="8">
        <v>0.57599999999999996</v>
      </c>
      <c r="F149" s="8">
        <f t="shared" si="10"/>
        <v>0.30400000000000005</v>
      </c>
      <c r="G149" s="8">
        <v>0.69599999999999995</v>
      </c>
    </row>
    <row r="150" spans="2:7" x14ac:dyDescent="0.25">
      <c r="B150" s="8">
        <v>70.349999999999994</v>
      </c>
      <c r="C150" s="8">
        <v>1.45</v>
      </c>
      <c r="D150" s="8">
        <f t="shared" si="9"/>
        <v>0.96799999999999997</v>
      </c>
      <c r="E150" s="8">
        <v>3.2000000000000001E-2</v>
      </c>
      <c r="F150" s="8">
        <f t="shared" si="10"/>
        <v>3.9000000000000035E-2</v>
      </c>
      <c r="G150" s="8">
        <v>0.96099999999999997</v>
      </c>
    </row>
    <row r="151" spans="2:7" x14ac:dyDescent="0.25">
      <c r="B151" s="8">
        <v>70.349999999999994</v>
      </c>
      <c r="C151" s="8">
        <v>3.52</v>
      </c>
      <c r="D151" s="8">
        <f t="shared" si="9"/>
        <v>0.93199999999999994</v>
      </c>
      <c r="E151" s="8">
        <v>6.8000000000000005E-2</v>
      </c>
      <c r="F151" s="8">
        <f t="shared" si="10"/>
        <v>3.3000000000000029E-2</v>
      </c>
      <c r="G151" s="8">
        <v>0.96699999999999997</v>
      </c>
    </row>
    <row r="152" spans="2:7" x14ac:dyDescent="0.25">
      <c r="B152" s="8">
        <v>70.349999999999994</v>
      </c>
      <c r="C152" s="8">
        <v>5.93</v>
      </c>
      <c r="D152" s="8">
        <f t="shared" si="9"/>
        <v>0.89500000000000002</v>
      </c>
      <c r="E152" s="8">
        <v>0.105</v>
      </c>
      <c r="F152" s="8">
        <f t="shared" si="10"/>
        <v>3.8000000000000034E-2</v>
      </c>
      <c r="G152" s="8">
        <v>0.96199999999999997</v>
      </c>
    </row>
    <row r="153" spans="2:7" x14ac:dyDescent="0.25">
      <c r="B153" s="8">
        <v>70.349999999999994</v>
      </c>
      <c r="C153" s="8">
        <v>8.27</v>
      </c>
      <c r="D153" s="8">
        <f t="shared" si="9"/>
        <v>0.86199999999999999</v>
      </c>
      <c r="E153" s="8">
        <v>0.13800000000000001</v>
      </c>
      <c r="F153" s="8">
        <f t="shared" si="10"/>
        <v>4.6000000000000041E-2</v>
      </c>
      <c r="G153" s="8">
        <v>0.95399999999999996</v>
      </c>
    </row>
    <row r="154" spans="2:7" x14ac:dyDescent="0.25">
      <c r="B154" s="8">
        <v>70.349999999999994</v>
      </c>
      <c r="C154" s="8">
        <v>12.13</v>
      </c>
      <c r="D154" s="8">
        <f t="shared" si="9"/>
        <v>0.80299999999999994</v>
      </c>
      <c r="E154" s="8">
        <v>0.19700000000000001</v>
      </c>
      <c r="F154" s="8">
        <f t="shared" si="10"/>
        <v>6.3999999999999946E-2</v>
      </c>
      <c r="G154" s="8">
        <v>0.93600000000000005</v>
      </c>
    </row>
    <row r="155" spans="2:7" x14ac:dyDescent="0.25">
      <c r="B155" s="8">
        <v>70.349999999999994</v>
      </c>
      <c r="C155" s="8">
        <v>15.51</v>
      </c>
      <c r="D155" s="8">
        <f t="shared" si="9"/>
        <v>0.75800000000000001</v>
      </c>
      <c r="E155" s="8">
        <v>0.24199999999999999</v>
      </c>
      <c r="F155" s="8">
        <f t="shared" si="10"/>
        <v>0.10299999999999998</v>
      </c>
      <c r="G155" s="8">
        <v>0.89700000000000002</v>
      </c>
    </row>
    <row r="156" spans="2:7" x14ac:dyDescent="0.25">
      <c r="B156" s="8">
        <v>70.349999999999994</v>
      </c>
      <c r="C156" s="8">
        <v>19.37</v>
      </c>
      <c r="D156" s="8">
        <f t="shared" si="9"/>
        <v>0.71</v>
      </c>
      <c r="E156" s="8">
        <v>0.28999999999999998</v>
      </c>
      <c r="F156" s="8">
        <f t="shared" si="10"/>
        <v>0.126</v>
      </c>
      <c r="G156" s="8">
        <v>0.874</v>
      </c>
    </row>
    <row r="157" spans="2:7" x14ac:dyDescent="0.25">
      <c r="B157" s="8">
        <v>70.349999999999994</v>
      </c>
      <c r="C157" s="8">
        <v>24.68</v>
      </c>
      <c r="D157" s="8">
        <f t="shared" si="9"/>
        <v>0.61699999999999999</v>
      </c>
      <c r="E157" s="8">
        <v>0.38300000000000001</v>
      </c>
      <c r="F157" s="8">
        <f t="shared" si="10"/>
        <v>0.19199999999999995</v>
      </c>
      <c r="G157" s="8">
        <v>0.80800000000000005</v>
      </c>
    </row>
    <row r="158" spans="2:7" x14ac:dyDescent="0.25">
      <c r="B158" s="8">
        <v>70.349999999999994</v>
      </c>
      <c r="C158" s="8">
        <v>26.41</v>
      </c>
      <c r="D158" s="8">
        <f t="shared" si="9"/>
        <v>0.58600000000000008</v>
      </c>
      <c r="E158" s="8">
        <v>0.41399999999999998</v>
      </c>
      <c r="F158" s="8">
        <f t="shared" si="10"/>
        <v>0.21699999999999997</v>
      </c>
      <c r="G158" s="8">
        <v>0.78300000000000003</v>
      </c>
    </row>
    <row r="159" spans="2:7" x14ac:dyDescent="0.25">
      <c r="B159" s="8">
        <v>70.349999999999994</v>
      </c>
      <c r="C159" s="8">
        <v>27.44</v>
      </c>
      <c r="D159" s="8">
        <f t="shared" si="9"/>
        <v>0.55299999999999994</v>
      </c>
      <c r="E159" s="8">
        <v>0.44700000000000001</v>
      </c>
      <c r="F159" s="8">
        <f t="shared" si="10"/>
        <v>0.22899999999999998</v>
      </c>
      <c r="G159" s="8">
        <v>0.77100000000000002</v>
      </c>
    </row>
    <row r="160" spans="2:7" x14ac:dyDescent="0.25">
      <c r="B160" s="8">
        <v>70.349999999999994</v>
      </c>
      <c r="C160" s="8">
        <v>28.68</v>
      </c>
      <c r="D160" s="8">
        <f t="shared" si="9"/>
        <v>0.51300000000000001</v>
      </c>
      <c r="E160" s="8">
        <v>0.48699999999999999</v>
      </c>
      <c r="F160" s="8">
        <f t="shared" si="10"/>
        <v>0.27500000000000002</v>
      </c>
      <c r="G160" s="8">
        <v>0.72499999999999998</v>
      </c>
    </row>
    <row r="161" spans="2:7" x14ac:dyDescent="0.25">
      <c r="B161" s="8">
        <v>70.349999999999994</v>
      </c>
      <c r="C161" s="8">
        <v>29.3</v>
      </c>
      <c r="D161" s="8">
        <f t="shared" si="9"/>
        <v>0.46399999999999997</v>
      </c>
      <c r="E161" s="8">
        <v>0.53600000000000003</v>
      </c>
      <c r="F161" s="8">
        <f t="shared" si="10"/>
        <v>0.31000000000000005</v>
      </c>
      <c r="G161" s="8">
        <v>0.69</v>
      </c>
    </row>
    <row r="162" spans="2:7" x14ac:dyDescent="0.25">
      <c r="B162" s="8">
        <v>77.55</v>
      </c>
      <c r="C162" s="8">
        <v>1.03</v>
      </c>
      <c r="D162" s="8">
        <f t="shared" si="9"/>
        <v>0.97399999999999998</v>
      </c>
      <c r="E162" s="8">
        <v>2.5999999999999999E-2</v>
      </c>
      <c r="F162" s="8">
        <f t="shared" si="10"/>
        <v>0.11399999999999999</v>
      </c>
      <c r="G162" s="8">
        <v>0.88600000000000001</v>
      </c>
    </row>
    <row r="163" spans="2:7" x14ac:dyDescent="0.25">
      <c r="B163" s="8">
        <v>77.55</v>
      </c>
      <c r="C163" s="8">
        <v>2.0699999999999998</v>
      </c>
      <c r="D163" s="8">
        <f t="shared" si="9"/>
        <v>0.95399999999999996</v>
      </c>
      <c r="E163" s="8">
        <v>4.5999999999999999E-2</v>
      </c>
      <c r="F163" s="8">
        <f t="shared" si="10"/>
        <v>8.5999999999999965E-2</v>
      </c>
      <c r="G163" s="8">
        <v>0.91400000000000003</v>
      </c>
    </row>
    <row r="164" spans="2:7" x14ac:dyDescent="0.25">
      <c r="B164" s="8">
        <v>77.55</v>
      </c>
      <c r="C164" s="8">
        <v>3.44</v>
      </c>
      <c r="D164" s="8">
        <f t="shared" si="9"/>
        <v>0.93599999999999994</v>
      </c>
      <c r="E164" s="8">
        <v>6.4000000000000001E-2</v>
      </c>
      <c r="F164" s="8">
        <f t="shared" si="10"/>
        <v>6.899999999999995E-2</v>
      </c>
      <c r="G164" s="8">
        <v>0.93100000000000005</v>
      </c>
    </row>
    <row r="165" spans="2:7" x14ac:dyDescent="0.25">
      <c r="B165" s="8">
        <v>77.55</v>
      </c>
      <c r="C165" s="8">
        <v>4.4800000000000004</v>
      </c>
      <c r="D165" s="8">
        <f t="shared" si="9"/>
        <v>0.91400000000000003</v>
      </c>
      <c r="E165" s="8">
        <v>8.5999999999999993E-2</v>
      </c>
      <c r="F165" s="8">
        <f t="shared" si="10"/>
        <v>7.1999999999999953E-2</v>
      </c>
      <c r="G165" s="8">
        <v>0.92800000000000005</v>
      </c>
    </row>
    <row r="166" spans="2:7" x14ac:dyDescent="0.25">
      <c r="B166" s="8">
        <v>77.55</v>
      </c>
      <c r="C166" s="8">
        <v>7.03</v>
      </c>
      <c r="D166" s="8">
        <f t="shared" si="9"/>
        <v>0.86</v>
      </c>
      <c r="E166" s="8">
        <v>0.14000000000000001</v>
      </c>
      <c r="F166" s="8">
        <f t="shared" si="10"/>
        <v>7.8999999999999959E-2</v>
      </c>
      <c r="G166" s="8">
        <v>0.92100000000000004</v>
      </c>
    </row>
    <row r="167" spans="2:7" x14ac:dyDescent="0.25">
      <c r="B167" s="8">
        <v>77.55</v>
      </c>
      <c r="C167" s="8">
        <v>8.6199999999999992</v>
      </c>
      <c r="D167" s="8">
        <f t="shared" si="9"/>
        <v>0.82699999999999996</v>
      </c>
      <c r="E167" s="8">
        <v>0.17299999999999999</v>
      </c>
      <c r="F167" s="8">
        <f t="shared" si="10"/>
        <v>8.0999999999999961E-2</v>
      </c>
      <c r="G167" s="8">
        <v>0.91900000000000004</v>
      </c>
    </row>
    <row r="168" spans="2:7" x14ac:dyDescent="0.25">
      <c r="B168" s="8">
        <v>77.55</v>
      </c>
      <c r="C168" s="8">
        <v>10.48</v>
      </c>
      <c r="D168" s="8">
        <f t="shared" si="9"/>
        <v>0.78600000000000003</v>
      </c>
      <c r="E168" s="8">
        <v>0.214</v>
      </c>
      <c r="F168" s="8">
        <f t="shared" si="10"/>
        <v>8.1999999999999962E-2</v>
      </c>
      <c r="G168" s="8">
        <v>0.91800000000000004</v>
      </c>
    </row>
    <row r="169" spans="2:7" x14ac:dyDescent="0.25">
      <c r="B169" s="8">
        <v>77.55</v>
      </c>
      <c r="C169" s="8">
        <v>13.79</v>
      </c>
      <c r="D169" s="8">
        <f t="shared" si="9"/>
        <v>0.71399999999999997</v>
      </c>
      <c r="E169" s="8">
        <v>0.28599999999999998</v>
      </c>
      <c r="F169" s="8">
        <f t="shared" si="10"/>
        <v>0.127</v>
      </c>
      <c r="G169" s="8">
        <v>0.873</v>
      </c>
    </row>
    <row r="170" spans="2:7" x14ac:dyDescent="0.25">
      <c r="B170" s="8">
        <v>77.55</v>
      </c>
      <c r="C170" s="8">
        <v>14.55</v>
      </c>
      <c r="D170" s="8">
        <f t="shared" si="9"/>
        <v>0.69399999999999995</v>
      </c>
      <c r="E170" s="8">
        <v>0.30599999999999999</v>
      </c>
      <c r="F170" s="8">
        <f t="shared" si="10"/>
        <v>0.13800000000000001</v>
      </c>
      <c r="G170" s="8">
        <v>0.86199999999999999</v>
      </c>
    </row>
    <row r="171" spans="2:7" x14ac:dyDescent="0.25">
      <c r="B171" s="8">
        <v>77.55</v>
      </c>
      <c r="C171" s="8">
        <v>15.58</v>
      </c>
      <c r="D171" s="8">
        <f t="shared" si="9"/>
        <v>0.66500000000000004</v>
      </c>
      <c r="E171" s="8">
        <v>0.33500000000000002</v>
      </c>
      <c r="F171" s="8">
        <f t="shared" si="10"/>
        <v>0.16000000000000003</v>
      </c>
      <c r="G171" s="8">
        <v>0.84</v>
      </c>
    </row>
    <row r="172" spans="2:7" x14ac:dyDescent="0.25">
      <c r="B172" s="8">
        <v>77.55</v>
      </c>
      <c r="C172" s="8">
        <v>17.100000000000001</v>
      </c>
      <c r="D172" s="8">
        <f t="shared" si="9"/>
        <v>0.627</v>
      </c>
      <c r="E172" s="8">
        <v>0.373</v>
      </c>
      <c r="F172" s="8">
        <f t="shared" si="10"/>
        <v>0.18000000000000005</v>
      </c>
      <c r="G172" s="8">
        <v>0.82</v>
      </c>
    </row>
    <row r="173" spans="2:7" x14ac:dyDescent="0.25">
      <c r="B173" s="8">
        <v>77.55</v>
      </c>
      <c r="C173" s="8">
        <v>18.62</v>
      </c>
      <c r="D173" s="8">
        <f t="shared" si="9"/>
        <v>0.56699999999999995</v>
      </c>
      <c r="E173" s="8">
        <v>0.433</v>
      </c>
      <c r="F173" s="8">
        <f t="shared" si="10"/>
        <v>0.23299999999999998</v>
      </c>
      <c r="G173" s="8">
        <v>0.76700000000000002</v>
      </c>
    </row>
    <row r="174" spans="2:7" x14ac:dyDescent="0.25">
      <c r="B174" s="8">
        <v>77.55</v>
      </c>
      <c r="C174" s="8">
        <v>19.3</v>
      </c>
      <c r="D174" s="8">
        <f>1-E174</f>
        <v>0.52600000000000002</v>
      </c>
      <c r="E174" s="8">
        <v>0.47399999999999998</v>
      </c>
    </row>
    <row r="175" spans="2:7" x14ac:dyDescent="0.25">
      <c r="B175" s="8">
        <v>77.55</v>
      </c>
      <c r="C175" s="8">
        <v>19.440000000000001</v>
      </c>
      <c r="F175" s="8">
        <f t="shared" si="10"/>
        <v>0.26900000000000002</v>
      </c>
      <c r="G175" s="8">
        <v>0.73099999999999998</v>
      </c>
    </row>
    <row r="176" spans="2:7" x14ac:dyDescent="0.25">
      <c r="B176" s="8">
        <v>83.67</v>
      </c>
      <c r="C176" s="8">
        <v>11.27</v>
      </c>
      <c r="D176" s="8">
        <f t="shared" si="9"/>
        <v>0.72699999999999998</v>
      </c>
      <c r="E176" s="8">
        <v>0.27300000000000002</v>
      </c>
      <c r="F176" s="8">
        <f t="shared" si="10"/>
        <v>0.17400000000000004</v>
      </c>
      <c r="G176" s="8">
        <v>0.82599999999999996</v>
      </c>
    </row>
    <row r="177" spans="2:7" x14ac:dyDescent="0.25">
      <c r="B177" s="8">
        <v>83.67</v>
      </c>
      <c r="C177" s="8">
        <v>12.72</v>
      </c>
      <c r="D177" s="8">
        <f t="shared" si="9"/>
        <v>0.67500000000000004</v>
      </c>
      <c r="E177" s="8">
        <v>0.32500000000000001</v>
      </c>
      <c r="F177" s="8">
        <f t="shared" si="10"/>
        <v>0.20199999999999996</v>
      </c>
      <c r="G177" s="8">
        <v>0.79800000000000004</v>
      </c>
    </row>
    <row r="178" spans="2:7" x14ac:dyDescent="0.25">
      <c r="B178" s="8">
        <v>83.67</v>
      </c>
      <c r="C178" s="8">
        <v>13.86</v>
      </c>
      <c r="D178" s="8">
        <f t="shared" si="9"/>
        <v>0.64</v>
      </c>
      <c r="E178" s="8">
        <v>0.36</v>
      </c>
      <c r="F178" s="8">
        <f t="shared" si="10"/>
        <v>0.23499999999999999</v>
      </c>
      <c r="G178" s="8">
        <v>0.76500000000000001</v>
      </c>
    </row>
    <row r="179" spans="2:7" x14ac:dyDescent="0.25">
      <c r="B179" s="8">
        <v>83.67</v>
      </c>
      <c r="C179" s="8">
        <v>14.34</v>
      </c>
      <c r="D179" s="8">
        <f t="shared" si="9"/>
        <v>0.61599999999999999</v>
      </c>
      <c r="E179" s="8">
        <v>0.38400000000000001</v>
      </c>
      <c r="F179" s="8">
        <f t="shared" si="10"/>
        <v>0.253</v>
      </c>
      <c r="G179" s="8">
        <v>0.747</v>
      </c>
    </row>
    <row r="180" spans="2:7" x14ac:dyDescent="0.25">
      <c r="B180" s="8">
        <v>83.67</v>
      </c>
      <c r="C180" s="8">
        <v>14.96</v>
      </c>
      <c r="D180" s="8">
        <f t="shared" si="9"/>
        <v>0.59000000000000008</v>
      </c>
      <c r="E180" s="8">
        <v>0.41</v>
      </c>
    </row>
    <row r="181" spans="2:7" x14ac:dyDescent="0.25">
      <c r="B181" s="8">
        <v>83.67</v>
      </c>
      <c r="C181" s="8">
        <v>15.31</v>
      </c>
      <c r="D181" s="8">
        <f t="shared" si="9"/>
        <v>0.57099999999999995</v>
      </c>
      <c r="E181" s="8">
        <v>0.42899999999999999</v>
      </c>
      <c r="F181" s="8">
        <f t="shared" si="10"/>
        <v>0.28900000000000003</v>
      </c>
      <c r="G181" s="8">
        <v>0.71099999999999997</v>
      </c>
    </row>
    <row r="182" spans="2:7" x14ac:dyDescent="0.25">
      <c r="B182" s="8">
        <v>83.67</v>
      </c>
      <c r="C182" s="8">
        <v>15.68</v>
      </c>
      <c r="D182" s="8">
        <f t="shared" si="9"/>
        <v>0.53499999999999992</v>
      </c>
      <c r="E182" s="8">
        <v>0.46500000000000002</v>
      </c>
      <c r="F182" s="8">
        <f t="shared" si="10"/>
        <v>0.31699999999999995</v>
      </c>
      <c r="G182" s="8">
        <v>0.68300000000000005</v>
      </c>
    </row>
    <row r="183" spans="2:7" x14ac:dyDescent="0.25">
      <c r="B183" s="8">
        <v>90.79</v>
      </c>
      <c r="C183" s="8">
        <v>1.86</v>
      </c>
      <c r="D183" s="8">
        <f t="shared" si="9"/>
        <v>0.96599999999999997</v>
      </c>
      <c r="E183" s="8">
        <v>3.4000000000000002E-2</v>
      </c>
      <c r="F183" s="8">
        <f t="shared" si="10"/>
        <v>0.31499999999999995</v>
      </c>
      <c r="G183" s="8">
        <v>0.68500000000000005</v>
      </c>
    </row>
    <row r="184" spans="2:7" x14ac:dyDescent="0.25">
      <c r="B184" s="8">
        <v>90.79</v>
      </c>
      <c r="C184" s="8">
        <v>2.48</v>
      </c>
      <c r="D184" s="8">
        <f t="shared" si="9"/>
        <v>0.95299999999999996</v>
      </c>
      <c r="E184" s="8">
        <v>4.7E-2</v>
      </c>
      <c r="F184" s="8">
        <f t="shared" si="10"/>
        <v>0.252</v>
      </c>
      <c r="G184" s="8">
        <v>0.748</v>
      </c>
    </row>
    <row r="185" spans="2:7" x14ac:dyDescent="0.25">
      <c r="B185" s="8">
        <v>90.79</v>
      </c>
      <c r="C185" s="8">
        <v>3.45</v>
      </c>
      <c r="D185" s="8">
        <f t="shared" si="9"/>
        <v>0.92800000000000005</v>
      </c>
      <c r="E185" s="8">
        <v>7.1999999999999995E-2</v>
      </c>
      <c r="F185" s="8">
        <f t="shared" si="10"/>
        <v>0.20599999999999996</v>
      </c>
      <c r="G185" s="8">
        <v>0.79400000000000004</v>
      </c>
    </row>
    <row r="186" spans="2:7" x14ac:dyDescent="0.25">
      <c r="B186" s="8">
        <v>90.79</v>
      </c>
      <c r="C186" s="8">
        <v>4.55</v>
      </c>
      <c r="D186" s="8">
        <f t="shared" si="9"/>
        <v>0.90100000000000002</v>
      </c>
      <c r="E186" s="8">
        <v>9.9000000000000005E-2</v>
      </c>
      <c r="F186" s="8">
        <f t="shared" si="10"/>
        <v>0.18400000000000005</v>
      </c>
      <c r="G186" s="8">
        <v>0.81599999999999995</v>
      </c>
    </row>
    <row r="187" spans="2:7" x14ac:dyDescent="0.25">
      <c r="B187" s="8">
        <v>90.79</v>
      </c>
      <c r="C187" s="8">
        <v>6.07</v>
      </c>
      <c r="D187" s="8">
        <f t="shared" si="9"/>
        <v>0.85599999999999998</v>
      </c>
      <c r="E187" s="8">
        <v>0.14399999999999999</v>
      </c>
      <c r="F187" s="8">
        <f t="shared" si="10"/>
        <v>0.17700000000000005</v>
      </c>
      <c r="G187" s="8">
        <v>0.82299999999999995</v>
      </c>
    </row>
    <row r="188" spans="2:7" x14ac:dyDescent="0.25">
      <c r="B188" s="8">
        <v>90.79</v>
      </c>
      <c r="C188" s="8">
        <v>7.31</v>
      </c>
      <c r="D188" s="8">
        <f t="shared" si="9"/>
        <v>0.82200000000000006</v>
      </c>
      <c r="E188" s="8">
        <v>0.17799999999999999</v>
      </c>
      <c r="F188" s="8">
        <f t="shared" si="10"/>
        <v>0.17800000000000005</v>
      </c>
      <c r="G188" s="8">
        <v>0.82199999999999995</v>
      </c>
    </row>
    <row r="189" spans="2:7" x14ac:dyDescent="0.25">
      <c r="B189" s="8">
        <v>90.79</v>
      </c>
      <c r="C189" s="8">
        <v>9.17</v>
      </c>
      <c r="D189" s="8">
        <f t="shared" si="9"/>
        <v>0.76300000000000001</v>
      </c>
      <c r="E189" s="8">
        <v>0.23699999999999999</v>
      </c>
      <c r="F189" s="8">
        <f t="shared" si="10"/>
        <v>0.19699999999999995</v>
      </c>
      <c r="G189" s="8">
        <v>0.80300000000000005</v>
      </c>
    </row>
    <row r="190" spans="2:7" x14ac:dyDescent="0.25">
      <c r="B190" s="8">
        <v>90.79</v>
      </c>
      <c r="C190" s="8">
        <v>10.55</v>
      </c>
      <c r="D190" s="8">
        <f t="shared" si="9"/>
        <v>0.71100000000000008</v>
      </c>
      <c r="E190" s="8">
        <v>0.28899999999999998</v>
      </c>
      <c r="F190" s="8">
        <f t="shared" si="10"/>
        <v>0.22099999999999997</v>
      </c>
      <c r="G190" s="8">
        <v>0.77900000000000003</v>
      </c>
    </row>
    <row r="191" spans="2:7" x14ac:dyDescent="0.25">
      <c r="B191" s="8">
        <v>90.79</v>
      </c>
      <c r="C191" s="8">
        <v>11.86</v>
      </c>
      <c r="D191" s="8">
        <f>1-E191</f>
        <v>0.65100000000000002</v>
      </c>
      <c r="E191" s="8">
        <v>0.34899999999999998</v>
      </c>
      <c r="F191" s="8">
        <f t="shared" si="10"/>
        <v>0.254</v>
      </c>
      <c r="G191" s="8">
        <v>0.746</v>
      </c>
    </row>
    <row r="192" spans="2:7" x14ac:dyDescent="0.25">
      <c r="B192" s="8">
        <v>90.79</v>
      </c>
      <c r="C192" s="8">
        <v>12.76</v>
      </c>
      <c r="D192" s="8">
        <f t="shared" si="9"/>
        <v>0.59299999999999997</v>
      </c>
      <c r="E192" s="8">
        <v>0.40699999999999997</v>
      </c>
      <c r="F192" s="8">
        <f t="shared" si="10"/>
        <v>0.30200000000000005</v>
      </c>
      <c r="G192" s="8">
        <v>0.69799999999999995</v>
      </c>
    </row>
    <row r="193" spans="2:7" x14ac:dyDescent="0.25">
      <c r="B193" s="8">
        <v>100</v>
      </c>
      <c r="C193" s="8">
        <v>1.45</v>
      </c>
      <c r="D193" s="8">
        <f t="shared" si="9"/>
        <v>0.98199999999999998</v>
      </c>
      <c r="E193" s="8">
        <v>1.7999999999999999E-2</v>
      </c>
      <c r="F193" s="8">
        <f t="shared" si="10"/>
        <v>0.66199999999999992</v>
      </c>
      <c r="G193" s="8">
        <v>0.33800000000000002</v>
      </c>
    </row>
    <row r="194" spans="2:7" x14ac:dyDescent="0.25">
      <c r="B194" s="8">
        <v>100</v>
      </c>
      <c r="C194" s="8">
        <v>2.0699999999999998</v>
      </c>
      <c r="D194" s="8">
        <f t="shared" si="9"/>
        <v>0.96899999999999997</v>
      </c>
      <c r="E194" s="8">
        <v>3.1E-2</v>
      </c>
      <c r="F194" s="8">
        <f t="shared" si="10"/>
        <v>0.51</v>
      </c>
      <c r="G194" s="8">
        <v>0.49</v>
      </c>
    </row>
    <row r="195" spans="2:7" x14ac:dyDescent="0.25">
      <c r="B195" s="8">
        <v>100</v>
      </c>
      <c r="C195" s="8">
        <v>2.96</v>
      </c>
      <c r="D195" s="8">
        <f t="shared" si="9"/>
        <v>0.94399999999999995</v>
      </c>
      <c r="E195" s="8">
        <v>5.6000000000000001E-2</v>
      </c>
      <c r="F195" s="8">
        <f t="shared" si="10"/>
        <v>0.41300000000000003</v>
      </c>
      <c r="G195" s="8">
        <v>0.58699999999999997</v>
      </c>
    </row>
    <row r="196" spans="2:7" x14ac:dyDescent="0.25">
      <c r="B196" s="8">
        <v>100</v>
      </c>
      <c r="C196" s="8">
        <v>4.1399999999999997</v>
      </c>
      <c r="D196" s="8">
        <f t="shared" si="9"/>
        <v>0.91</v>
      </c>
      <c r="E196" s="8">
        <v>0.09</v>
      </c>
      <c r="F196" s="8">
        <f t="shared" si="10"/>
        <v>0.34399999999999997</v>
      </c>
      <c r="G196" s="8">
        <v>0.65600000000000003</v>
      </c>
    </row>
    <row r="197" spans="2:7" x14ac:dyDescent="0.25">
      <c r="B197" s="8">
        <v>100</v>
      </c>
      <c r="C197" s="8">
        <v>5.34</v>
      </c>
      <c r="D197" s="8">
        <f t="shared" si="9"/>
        <v>0.872</v>
      </c>
      <c r="E197" s="8">
        <v>0.128</v>
      </c>
      <c r="F197" s="8">
        <f t="shared" si="10"/>
        <v>0.31799999999999995</v>
      </c>
      <c r="G197" s="8">
        <v>0.68200000000000005</v>
      </c>
    </row>
    <row r="198" spans="2:7" x14ac:dyDescent="0.25">
      <c r="B198" s="8">
        <v>100</v>
      </c>
      <c r="C198" s="8">
        <v>6.34</v>
      </c>
      <c r="D198" s="8">
        <f t="shared" si="9"/>
        <v>0.84199999999999997</v>
      </c>
      <c r="E198" s="8">
        <v>0.158</v>
      </c>
      <c r="F198" s="8">
        <f t="shared" si="10"/>
        <v>0.31200000000000006</v>
      </c>
      <c r="G198" s="8">
        <v>0.68799999999999994</v>
      </c>
    </row>
    <row r="199" spans="2:7" x14ac:dyDescent="0.25">
      <c r="B199" s="8">
        <v>100</v>
      </c>
      <c r="C199" s="8">
        <v>7.48</v>
      </c>
      <c r="D199" s="8">
        <f t="shared" si="9"/>
        <v>0.79300000000000004</v>
      </c>
      <c r="E199" s="8">
        <v>0.20699999999999999</v>
      </c>
      <c r="F199" s="8">
        <f t="shared" si="10"/>
        <v>0.31100000000000005</v>
      </c>
      <c r="G199" s="8">
        <v>0.68899999999999995</v>
      </c>
    </row>
    <row r="200" spans="2:7" x14ac:dyDescent="0.25">
      <c r="B200" s="8">
        <v>100</v>
      </c>
      <c r="C200" s="8">
        <v>8.5500000000000007</v>
      </c>
      <c r="D200" s="8">
        <f t="shared" si="9"/>
        <v>0.752</v>
      </c>
      <c r="E200" s="8">
        <v>0.248</v>
      </c>
      <c r="F200" s="8">
        <f t="shared" si="10"/>
        <v>0.32599999999999996</v>
      </c>
      <c r="G200" s="8">
        <v>0.67400000000000004</v>
      </c>
    </row>
    <row r="201" spans="2:7" x14ac:dyDescent="0.25">
      <c r="B201" s="8">
        <v>100</v>
      </c>
      <c r="C201" s="8">
        <v>9.4499999999999993</v>
      </c>
      <c r="D201" s="8">
        <f t="shared" ref="D201:D212" si="11">1-E201</f>
        <v>0.69900000000000007</v>
      </c>
      <c r="E201" s="8">
        <v>0.30099999999999999</v>
      </c>
      <c r="F201" s="8">
        <f t="shared" ref="F201:F215" si="12">1-G201</f>
        <v>0.35499999999999998</v>
      </c>
      <c r="G201" s="8">
        <v>0.64500000000000002</v>
      </c>
    </row>
    <row r="202" spans="2:7" x14ac:dyDescent="0.25">
      <c r="B202" s="8">
        <v>100</v>
      </c>
      <c r="C202" s="8">
        <v>10.34</v>
      </c>
      <c r="D202" s="8">
        <f t="shared" si="11"/>
        <v>0.63900000000000001</v>
      </c>
      <c r="E202" s="8">
        <v>0.36099999999999999</v>
      </c>
      <c r="F202" s="8">
        <f t="shared" si="12"/>
        <v>0.39400000000000002</v>
      </c>
      <c r="G202" s="8">
        <v>0.60599999999999998</v>
      </c>
    </row>
    <row r="203" spans="2:7" x14ac:dyDescent="0.25">
      <c r="B203" s="8">
        <v>110.3</v>
      </c>
      <c r="C203" s="8">
        <v>2.38</v>
      </c>
      <c r="D203" s="8">
        <f t="shared" si="11"/>
        <v>0.97099999999999997</v>
      </c>
      <c r="E203" s="8">
        <v>2.9000000000000001E-2</v>
      </c>
      <c r="F203" s="8">
        <f t="shared" si="12"/>
        <v>0.747</v>
      </c>
      <c r="G203" s="8">
        <v>0.253</v>
      </c>
    </row>
    <row r="204" spans="2:7" x14ac:dyDescent="0.25">
      <c r="B204" s="8">
        <v>110.3</v>
      </c>
      <c r="C204" s="8">
        <v>3.17</v>
      </c>
      <c r="D204" s="8">
        <f t="shared" si="11"/>
        <v>0.94499999999999995</v>
      </c>
      <c r="E204" s="8">
        <v>5.5E-2</v>
      </c>
      <c r="F204" s="8">
        <f t="shared" si="12"/>
        <v>0.63900000000000001</v>
      </c>
      <c r="G204" s="8">
        <v>0.36099999999999999</v>
      </c>
    </row>
    <row r="205" spans="2:7" x14ac:dyDescent="0.25">
      <c r="B205" s="8">
        <v>110.3</v>
      </c>
      <c r="C205" s="8">
        <v>3.9</v>
      </c>
      <c r="D205" s="8">
        <f t="shared" si="11"/>
        <v>0.92</v>
      </c>
      <c r="E205" s="8">
        <v>0.08</v>
      </c>
      <c r="F205" s="8">
        <f t="shared" si="12"/>
        <v>0.57400000000000007</v>
      </c>
      <c r="G205" s="8">
        <v>0.42599999999999999</v>
      </c>
    </row>
    <row r="206" spans="2:7" x14ac:dyDescent="0.25">
      <c r="B206" s="8">
        <v>110.3</v>
      </c>
      <c r="C206" s="8">
        <v>4.6900000000000004</v>
      </c>
      <c r="D206" s="8">
        <f t="shared" si="11"/>
        <v>0.89300000000000002</v>
      </c>
      <c r="E206" s="8">
        <v>0.107</v>
      </c>
      <c r="F206" s="8">
        <f t="shared" si="12"/>
        <v>0.53699999999999992</v>
      </c>
      <c r="G206" s="8">
        <v>0.46300000000000002</v>
      </c>
    </row>
    <row r="207" spans="2:7" x14ac:dyDescent="0.25">
      <c r="B207" s="8">
        <v>110.3</v>
      </c>
      <c r="C207" s="8">
        <v>5.07</v>
      </c>
      <c r="D207" s="8">
        <f t="shared" si="11"/>
        <v>0.875</v>
      </c>
      <c r="E207" s="8">
        <v>0.125</v>
      </c>
      <c r="F207" s="8">
        <f t="shared" si="12"/>
        <v>0.52300000000000002</v>
      </c>
      <c r="G207" s="8">
        <v>0.47699999999999998</v>
      </c>
    </row>
    <row r="208" spans="2:7" x14ac:dyDescent="0.25">
      <c r="B208" s="8">
        <v>110.3</v>
      </c>
      <c r="C208" s="8">
        <v>5.72</v>
      </c>
      <c r="D208" s="8">
        <f t="shared" si="11"/>
        <v>0.84699999999999998</v>
      </c>
      <c r="E208" s="8">
        <v>0.153</v>
      </c>
      <c r="F208" s="8">
        <f t="shared" si="12"/>
        <v>0.51100000000000001</v>
      </c>
      <c r="G208" s="8">
        <v>0.48899999999999999</v>
      </c>
    </row>
    <row r="209" spans="1:7" x14ac:dyDescent="0.25">
      <c r="B209" s="8">
        <v>110.3</v>
      </c>
      <c r="C209" s="8">
        <v>6.17</v>
      </c>
      <c r="D209" s="8">
        <f t="shared" si="11"/>
        <v>0.82800000000000007</v>
      </c>
      <c r="E209" s="8">
        <v>0.17199999999999999</v>
      </c>
      <c r="F209" s="8">
        <f t="shared" si="12"/>
        <v>0.50900000000000001</v>
      </c>
      <c r="G209" s="8">
        <v>0.49099999999999999</v>
      </c>
    </row>
    <row r="210" spans="1:7" x14ac:dyDescent="0.25">
      <c r="B210" s="8">
        <v>110.3</v>
      </c>
      <c r="C210" s="8">
        <v>6.62</v>
      </c>
      <c r="D210" s="8">
        <f t="shared" si="11"/>
        <v>0.79800000000000004</v>
      </c>
      <c r="E210" s="8">
        <v>0.20200000000000001</v>
      </c>
      <c r="F210" s="8">
        <f t="shared" si="12"/>
        <v>0.51400000000000001</v>
      </c>
      <c r="G210" s="8">
        <v>0.48599999999999999</v>
      </c>
    </row>
    <row r="211" spans="1:7" x14ac:dyDescent="0.25">
      <c r="B211" s="8">
        <v>110.3</v>
      </c>
      <c r="C211" s="8">
        <v>7.55</v>
      </c>
      <c r="D211" s="8">
        <f t="shared" si="11"/>
        <v>0.74</v>
      </c>
      <c r="E211" s="8">
        <v>0.26</v>
      </c>
      <c r="F211" s="8">
        <f t="shared" si="12"/>
        <v>0.54400000000000004</v>
      </c>
      <c r="G211" s="8">
        <v>0.45600000000000002</v>
      </c>
    </row>
    <row r="212" spans="1:7" ht="15.75" thickBot="1" x14ac:dyDescent="0.3">
      <c r="A212" s="9"/>
      <c r="B212" s="9">
        <v>110.3</v>
      </c>
      <c r="C212" s="9">
        <v>7.79</v>
      </c>
      <c r="D212" s="9">
        <f t="shared" si="11"/>
        <v>0.71399999999999997</v>
      </c>
      <c r="E212" s="9">
        <v>0.28599999999999998</v>
      </c>
      <c r="F212" s="9">
        <f t="shared" si="12"/>
        <v>0.57899999999999996</v>
      </c>
      <c r="G212" s="9">
        <v>0.42099999999999999</v>
      </c>
    </row>
    <row r="213" spans="1:7" x14ac:dyDescent="0.25">
      <c r="A213" s="18" t="s">
        <v>41</v>
      </c>
      <c r="B213" s="8">
        <v>80</v>
      </c>
      <c r="C213" s="8">
        <v>5</v>
      </c>
      <c r="D213" s="8">
        <f>1-E213</f>
        <v>0.88839999999999997</v>
      </c>
      <c r="E213" s="8">
        <v>0.1116</v>
      </c>
      <c r="F213" s="8">
        <f t="shared" si="12"/>
        <v>7.8500000000000014E-2</v>
      </c>
      <c r="G213" s="8">
        <v>0.92149999999999999</v>
      </c>
    </row>
    <row r="214" spans="1:7" x14ac:dyDescent="0.25">
      <c r="B214" s="8">
        <v>80</v>
      </c>
      <c r="C214" s="8">
        <v>5</v>
      </c>
      <c r="D214" s="8">
        <f t="shared" ref="D214:D215" si="13">1-E214</f>
        <v>0.88819999999999999</v>
      </c>
      <c r="E214" s="8">
        <v>0.1118</v>
      </c>
      <c r="F214" s="8">
        <f t="shared" si="12"/>
        <v>7.8200000000000047E-2</v>
      </c>
      <c r="G214" s="8">
        <v>0.92179999999999995</v>
      </c>
    </row>
    <row r="215" spans="1:7" ht="15.75" thickBot="1" x14ac:dyDescent="0.3">
      <c r="A215" s="9"/>
      <c r="B215" s="9">
        <v>80</v>
      </c>
      <c r="C215" s="9">
        <v>10</v>
      </c>
      <c r="D215" s="9">
        <f t="shared" si="13"/>
        <v>0.76980000000000004</v>
      </c>
      <c r="E215" s="9">
        <v>0.23019999999999999</v>
      </c>
      <c r="F215" s="9">
        <f t="shared" si="12"/>
        <v>0.1149</v>
      </c>
      <c r="G215" s="9">
        <v>0.8851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80DE-45F8-4153-8D08-530FE7894D4C}">
  <sheetPr codeName="Hoja3"/>
  <dimension ref="A1:I478"/>
  <sheetViews>
    <sheetView zoomScale="125" zoomScaleNormal="125" workbookViewId="0">
      <pane ySplit="1" topLeftCell="A435" activePane="bottomLeft" state="frozen"/>
      <selection pane="bottomLeft" activeCell="F464" sqref="F464"/>
    </sheetView>
  </sheetViews>
  <sheetFormatPr defaultColWidth="11.42578125" defaultRowHeight="15" x14ac:dyDescent="0.25"/>
  <cols>
    <col min="1" max="1" width="20.7109375" style="8" bestFit="1" customWidth="1"/>
    <col min="2" max="2" width="8" style="8" bestFit="1" customWidth="1"/>
    <col min="3" max="3" width="8.5703125" style="8" bestFit="1" customWidth="1"/>
    <col min="4" max="4" width="14.140625" style="8" bestFit="1" customWidth="1"/>
    <col min="5" max="5" width="9.42578125" style="8" bestFit="1" customWidth="1"/>
    <col min="6" max="6" width="14.140625" style="8" bestFit="1" customWidth="1"/>
    <col min="7" max="7" width="9.42578125" style="8" bestFit="1" customWidth="1"/>
    <col min="8" max="8" width="11.42578125" style="1"/>
    <col min="9" max="9" width="20.7109375" style="1" bestFit="1" customWidth="1"/>
    <col min="10" max="16384" width="11.42578125" style="1"/>
  </cols>
  <sheetData>
    <row r="1" spans="1:9" ht="18" x14ac:dyDescent="0.25">
      <c r="A1" s="8" t="s">
        <v>0</v>
      </c>
      <c r="B1" s="10" t="s">
        <v>3</v>
      </c>
      <c r="C1" s="12" t="s">
        <v>4</v>
      </c>
      <c r="D1" s="8" t="s">
        <v>10</v>
      </c>
      <c r="E1" s="8" t="s">
        <v>2</v>
      </c>
      <c r="F1" s="8" t="s">
        <v>11</v>
      </c>
      <c r="G1" s="8" t="s">
        <v>7</v>
      </c>
      <c r="I1" s="1" t="s">
        <v>0</v>
      </c>
    </row>
    <row r="2" spans="1:9" x14ac:dyDescent="0.25">
      <c r="A2" s="18" t="s">
        <v>57</v>
      </c>
      <c r="B2" s="8">
        <f>-40+273.15</f>
        <v>233.14999999999998</v>
      </c>
      <c r="C2" s="12">
        <v>5.2689000000000004</v>
      </c>
      <c r="D2" s="8">
        <f>1-E2</f>
        <v>0.93900000000000006</v>
      </c>
      <c r="E2" s="8">
        <v>6.0999999999999999E-2</v>
      </c>
      <c r="F2" s="8">
        <f>1-G2</f>
        <v>0.125</v>
      </c>
      <c r="G2" s="8">
        <v>0.875</v>
      </c>
      <c r="I2" s="1" t="s">
        <v>57</v>
      </c>
    </row>
    <row r="3" spans="1:9" x14ac:dyDescent="0.25">
      <c r="B3" s="8">
        <f t="shared" ref="B3:B5" si="0">-40+273.15</f>
        <v>233.14999999999998</v>
      </c>
      <c r="C3" s="12">
        <v>10.1831625</v>
      </c>
      <c r="D3" s="8">
        <f t="shared" ref="D3:D24" si="1">1-E3</f>
        <v>0.95399999999999996</v>
      </c>
      <c r="E3" s="8">
        <v>4.5999999999999999E-2</v>
      </c>
      <c r="F3" s="8">
        <f t="shared" ref="F3:F24" si="2">1-G3</f>
        <v>0.13600000000000001</v>
      </c>
      <c r="G3" s="8">
        <v>0.86399999999999999</v>
      </c>
      <c r="I3" s="1" t="s">
        <v>55</v>
      </c>
    </row>
    <row r="4" spans="1:9" x14ac:dyDescent="0.25">
      <c r="B4" s="8">
        <f t="shared" si="0"/>
        <v>233.14999999999998</v>
      </c>
      <c r="C4" s="12">
        <v>15.0872925</v>
      </c>
      <c r="D4" s="8">
        <f t="shared" si="1"/>
        <v>0.97099999999999997</v>
      </c>
      <c r="E4" s="8">
        <v>2.9000000000000001E-2</v>
      </c>
      <c r="F4" s="8">
        <f t="shared" si="2"/>
        <v>0.16500000000000004</v>
      </c>
      <c r="G4" s="8">
        <v>0.83499999999999996</v>
      </c>
      <c r="I4" s="1" t="s">
        <v>60</v>
      </c>
    </row>
    <row r="5" spans="1:9" x14ac:dyDescent="0.25">
      <c r="B5" s="8">
        <f t="shared" si="0"/>
        <v>233.14999999999998</v>
      </c>
      <c r="C5" s="12">
        <v>19.991422499999999</v>
      </c>
      <c r="D5" s="8">
        <f t="shared" si="1"/>
        <v>0.98599999999999999</v>
      </c>
      <c r="E5" s="8">
        <v>1.4E-2</v>
      </c>
      <c r="F5" s="8">
        <f t="shared" si="2"/>
        <v>0.254</v>
      </c>
      <c r="G5" s="8">
        <v>0.746</v>
      </c>
      <c r="I5" s="1" t="s">
        <v>53</v>
      </c>
    </row>
    <row r="6" spans="1:9" x14ac:dyDescent="0.25">
      <c r="B6" s="8">
        <f>-20+273.15</f>
        <v>253.14999999999998</v>
      </c>
      <c r="C6" s="12">
        <v>5.2689000000000004</v>
      </c>
      <c r="D6" s="8">
        <f t="shared" si="1"/>
        <v>0.91600000000000004</v>
      </c>
      <c r="E6" s="8">
        <v>8.4000000000000005E-2</v>
      </c>
      <c r="F6" s="8">
        <f t="shared" si="2"/>
        <v>0.22499999999999998</v>
      </c>
      <c r="G6" s="8">
        <v>0.77500000000000002</v>
      </c>
      <c r="I6" s="1" t="s">
        <v>56</v>
      </c>
    </row>
    <row r="7" spans="1:9" x14ac:dyDescent="0.25">
      <c r="B7" s="8">
        <f t="shared" ref="B7:B9" si="3">-20+273.15</f>
        <v>253.14999999999998</v>
      </c>
      <c r="C7" s="12">
        <v>10.1831625</v>
      </c>
      <c r="D7" s="8">
        <f t="shared" si="1"/>
        <v>0.93900000000000006</v>
      </c>
      <c r="E7" s="8">
        <v>6.0999999999999999E-2</v>
      </c>
      <c r="F7" s="8">
        <f t="shared" si="2"/>
        <v>0.247</v>
      </c>
      <c r="G7" s="8">
        <v>0.753</v>
      </c>
      <c r="I7" s="1" t="s">
        <v>59</v>
      </c>
    </row>
    <row r="8" spans="1:9" x14ac:dyDescent="0.25">
      <c r="B8" s="8">
        <f t="shared" si="3"/>
        <v>253.14999999999998</v>
      </c>
      <c r="C8" s="12">
        <v>15.0872925</v>
      </c>
      <c r="D8" s="8">
        <f t="shared" si="1"/>
        <v>0.96199999999999997</v>
      </c>
      <c r="E8" s="8">
        <v>3.7999999999999999E-2</v>
      </c>
      <c r="F8" s="8">
        <f t="shared" si="2"/>
        <v>0.30400000000000005</v>
      </c>
      <c r="G8" s="8">
        <v>0.69599999999999995</v>
      </c>
      <c r="I8" s="1" t="s">
        <v>58</v>
      </c>
    </row>
    <row r="9" spans="1:9" x14ac:dyDescent="0.25">
      <c r="B9" s="8">
        <f t="shared" si="3"/>
        <v>253.14999999999998</v>
      </c>
      <c r="C9" s="12">
        <v>19.991422499999999</v>
      </c>
      <c r="D9" s="8">
        <f t="shared" si="1"/>
        <v>0.98399999999999999</v>
      </c>
      <c r="E9" s="8">
        <v>1.6E-2</v>
      </c>
      <c r="F9" s="8">
        <f t="shared" si="2"/>
        <v>0.47799999999999998</v>
      </c>
      <c r="G9" s="8">
        <v>0.52200000000000002</v>
      </c>
      <c r="I9" s="1" t="s">
        <v>54</v>
      </c>
    </row>
    <row r="10" spans="1:9" x14ac:dyDescent="0.25">
      <c r="B10" s="8">
        <f>0+273.15</f>
        <v>273.14999999999998</v>
      </c>
      <c r="C10" s="12">
        <v>5.0763825000000002</v>
      </c>
      <c r="F10" s="8">
        <f t="shared" si="2"/>
        <v>0.39700000000000002</v>
      </c>
      <c r="G10" s="8">
        <v>0.60299999999999998</v>
      </c>
    </row>
    <row r="11" spans="1:9" x14ac:dyDescent="0.25">
      <c r="B11" s="8">
        <f t="shared" ref="B11:B15" si="4">0+273.15</f>
        <v>273.14999999999998</v>
      </c>
      <c r="C11" s="12">
        <v>9.6360074999999998</v>
      </c>
      <c r="D11" s="8">
        <f t="shared" si="1"/>
        <v>0.88200000000000001</v>
      </c>
      <c r="E11" s="8">
        <v>0.11799999999999999</v>
      </c>
      <c r="F11" s="8">
        <f t="shared" si="2"/>
        <v>0.39400000000000002</v>
      </c>
      <c r="G11" s="8">
        <v>0.60599999999999998</v>
      </c>
    </row>
    <row r="12" spans="1:9" x14ac:dyDescent="0.25">
      <c r="B12" s="8">
        <f t="shared" si="4"/>
        <v>273.14999999999998</v>
      </c>
      <c r="C12" s="12">
        <v>10.1831625</v>
      </c>
      <c r="D12" s="8">
        <f t="shared" si="1"/>
        <v>0.91900000000000004</v>
      </c>
      <c r="E12" s="8">
        <v>8.1000000000000003E-2</v>
      </c>
      <c r="F12" s="8">
        <f t="shared" si="2"/>
        <v>0.43200000000000005</v>
      </c>
      <c r="G12" s="8">
        <v>0.56799999999999995</v>
      </c>
    </row>
    <row r="13" spans="1:9" x14ac:dyDescent="0.25">
      <c r="B13" s="8">
        <f t="shared" si="4"/>
        <v>273.14999999999998</v>
      </c>
      <c r="C13" s="12">
        <v>14.570535000000001</v>
      </c>
      <c r="D13" s="8">
        <f t="shared" si="1"/>
        <v>0.95499999999999996</v>
      </c>
      <c r="E13" s="8">
        <v>4.4999999999999998E-2</v>
      </c>
      <c r="F13" s="8">
        <f t="shared" si="2"/>
        <v>0.51700000000000002</v>
      </c>
      <c r="G13" s="8">
        <v>0.48299999999999998</v>
      </c>
    </row>
    <row r="14" spans="1:9" x14ac:dyDescent="0.25">
      <c r="B14" s="8">
        <f t="shared" si="4"/>
        <v>273.14999999999998</v>
      </c>
      <c r="C14" s="12">
        <v>19.505062500000001</v>
      </c>
      <c r="D14" s="8">
        <f t="shared" si="1"/>
        <v>0.95699999999999996</v>
      </c>
      <c r="E14" s="8">
        <v>4.2999999999999997E-2</v>
      </c>
      <c r="F14" s="8">
        <f t="shared" si="2"/>
        <v>0.52200000000000002</v>
      </c>
      <c r="G14" s="8">
        <v>0.47799999999999998</v>
      </c>
    </row>
    <row r="15" spans="1:9" x14ac:dyDescent="0.25">
      <c r="B15" s="8">
        <f t="shared" si="4"/>
        <v>273.14999999999998</v>
      </c>
      <c r="C15" s="12">
        <v>19.991422499999999</v>
      </c>
      <c r="D15" s="8">
        <f t="shared" si="1"/>
        <v>0.98899999999999999</v>
      </c>
      <c r="E15" s="8">
        <v>1.0999999999999999E-2</v>
      </c>
      <c r="F15" s="8">
        <f t="shared" si="2"/>
        <v>0.78800000000000003</v>
      </c>
      <c r="G15" s="8">
        <v>0.21199999999999999</v>
      </c>
    </row>
    <row r="16" spans="1:9" x14ac:dyDescent="0.25">
      <c r="B16" s="8">
        <f>10+273.15</f>
        <v>283.14999999999998</v>
      </c>
      <c r="C16" s="12">
        <v>7.4473874999999996</v>
      </c>
      <c r="D16" s="8">
        <f t="shared" si="1"/>
        <v>0.98660000000000003</v>
      </c>
      <c r="E16" s="8">
        <v>1.34E-2</v>
      </c>
      <c r="F16" s="8">
        <f t="shared" si="2"/>
        <v>0.53100000000000003</v>
      </c>
      <c r="G16" s="8">
        <v>0.46899999999999997</v>
      </c>
    </row>
    <row r="17" spans="1:7" x14ac:dyDescent="0.25">
      <c r="B17" s="8">
        <f t="shared" ref="B17:B19" si="5">10+273.15</f>
        <v>283.14999999999998</v>
      </c>
      <c r="C17" s="12">
        <v>9.6360074999999998</v>
      </c>
      <c r="D17" s="8">
        <f t="shared" si="1"/>
        <v>0.91400000000000003</v>
      </c>
      <c r="E17" s="8">
        <v>8.5999999999999993E-2</v>
      </c>
      <c r="F17" s="8">
        <f t="shared" si="2"/>
        <v>0.56099999999999994</v>
      </c>
      <c r="G17" s="8">
        <v>0.439</v>
      </c>
    </row>
    <row r="18" spans="1:7" x14ac:dyDescent="0.25">
      <c r="B18" s="8">
        <f t="shared" si="5"/>
        <v>283.14999999999998</v>
      </c>
      <c r="C18" s="12">
        <v>14.570535000000001</v>
      </c>
      <c r="D18" s="8">
        <f t="shared" si="1"/>
        <v>0.95599999999999996</v>
      </c>
      <c r="E18" s="8">
        <v>4.3999999999999997E-2</v>
      </c>
    </row>
    <row r="19" spans="1:7" x14ac:dyDescent="0.25">
      <c r="B19" s="8">
        <f t="shared" si="5"/>
        <v>283.14999999999998</v>
      </c>
      <c r="C19" s="12">
        <v>19.505062500000001</v>
      </c>
      <c r="F19" s="8">
        <f t="shared" si="2"/>
        <v>0.754</v>
      </c>
      <c r="G19" s="8">
        <v>0.246</v>
      </c>
    </row>
    <row r="20" spans="1:7" x14ac:dyDescent="0.25">
      <c r="B20" s="8">
        <f>20+273.15</f>
        <v>293.14999999999998</v>
      </c>
      <c r="C20" s="12">
        <v>9.6360074999999998</v>
      </c>
      <c r="D20" s="8">
        <f t="shared" si="1"/>
        <v>0.82099999999999995</v>
      </c>
      <c r="E20" s="8">
        <v>0.17899999999999999</v>
      </c>
      <c r="F20" s="8">
        <f t="shared" si="2"/>
        <v>0.74</v>
      </c>
      <c r="G20" s="8">
        <v>0.26</v>
      </c>
    </row>
    <row r="21" spans="1:7" x14ac:dyDescent="0.25">
      <c r="B21" s="8">
        <f t="shared" ref="B21:B22" si="6">20+273.15</f>
        <v>293.14999999999998</v>
      </c>
      <c r="C21" s="12">
        <v>14.570535000000001</v>
      </c>
      <c r="D21" s="8">
        <f t="shared" si="1"/>
        <v>0.89100000000000001</v>
      </c>
      <c r="E21" s="8">
        <v>0.109</v>
      </c>
      <c r="F21" s="8">
        <f t="shared" si="2"/>
        <v>0.67900000000000005</v>
      </c>
      <c r="G21" s="8">
        <v>0.32100000000000001</v>
      </c>
    </row>
    <row r="22" spans="1:7" x14ac:dyDescent="0.25">
      <c r="B22" s="8">
        <f t="shared" si="6"/>
        <v>293.14999999999998</v>
      </c>
      <c r="C22" s="12">
        <v>19.505062500000001</v>
      </c>
      <c r="D22" s="8">
        <f t="shared" si="1"/>
        <v>0.95599999999999996</v>
      </c>
      <c r="E22" s="8">
        <v>4.3999999999999997E-2</v>
      </c>
      <c r="F22" s="8">
        <f t="shared" si="2"/>
        <v>0.78700000000000003</v>
      </c>
      <c r="G22" s="8">
        <v>0.21299999999999999</v>
      </c>
    </row>
    <row r="23" spans="1:7" x14ac:dyDescent="0.25">
      <c r="B23" s="8">
        <f>25+273.15</f>
        <v>298.14999999999998</v>
      </c>
      <c r="C23" s="12">
        <v>9.6360074999999998</v>
      </c>
      <c r="D23" s="8">
        <f t="shared" si="1"/>
        <v>0.90100000000000002</v>
      </c>
      <c r="E23" s="8">
        <v>9.9000000000000005E-2</v>
      </c>
      <c r="F23" s="8">
        <f t="shared" si="2"/>
        <v>0.80899999999999994</v>
      </c>
      <c r="G23" s="8">
        <v>0.191</v>
      </c>
    </row>
    <row r="24" spans="1:7" ht="15.75" thickBot="1" x14ac:dyDescent="0.3">
      <c r="A24" s="9"/>
      <c r="B24" s="9">
        <f>25+273.15</f>
        <v>298.14999999999998</v>
      </c>
      <c r="C24" s="15">
        <v>12.412312500000001</v>
      </c>
      <c r="D24" s="9">
        <f t="shared" si="1"/>
        <v>0.95599999999999996</v>
      </c>
      <c r="E24" s="9">
        <v>4.3999999999999997E-2</v>
      </c>
      <c r="F24" s="9">
        <f t="shared" si="2"/>
        <v>0.95899999999999996</v>
      </c>
      <c r="G24" s="9">
        <v>4.1000000000000002E-2</v>
      </c>
    </row>
    <row r="25" spans="1:7" x14ac:dyDescent="0.25">
      <c r="A25" s="18" t="s">
        <v>55</v>
      </c>
      <c r="B25" s="13">
        <v>219.9</v>
      </c>
      <c r="C25" s="12">
        <v>1.0841775</v>
      </c>
      <c r="D25" s="14">
        <f>1-E25</f>
        <v>0.99870000000000003</v>
      </c>
      <c r="E25" s="14">
        <v>1.2999999999999999E-3</v>
      </c>
      <c r="F25" s="14">
        <v>0.57200000000000006</v>
      </c>
      <c r="G25" s="14">
        <f>1-F25</f>
        <v>0.42799999999999994</v>
      </c>
    </row>
    <row r="26" spans="1:7" x14ac:dyDescent="0.25">
      <c r="B26" s="13">
        <v>219.9</v>
      </c>
      <c r="C26" s="12">
        <v>2.1582224999999999</v>
      </c>
      <c r="D26" s="14">
        <f t="shared" ref="D26:D81" si="7">1-E26</f>
        <v>0.99560000000000004</v>
      </c>
      <c r="E26" s="14">
        <v>4.4000000000000003E-3</v>
      </c>
      <c r="F26" s="14">
        <v>0.307</v>
      </c>
      <c r="G26" s="14">
        <f t="shared" ref="G26:G82" si="8">1-F26</f>
        <v>0.69300000000000006</v>
      </c>
    </row>
    <row r="27" spans="1:7" x14ac:dyDescent="0.25">
      <c r="B27" s="13">
        <v>219.9</v>
      </c>
      <c r="C27" s="12">
        <v>3.5869049999999998</v>
      </c>
      <c r="D27" s="14">
        <f t="shared" si="7"/>
        <v>0.9919</v>
      </c>
      <c r="E27" s="14">
        <v>8.1000000000000013E-3</v>
      </c>
      <c r="F27" s="14">
        <v>0.2</v>
      </c>
      <c r="G27" s="14">
        <f t="shared" si="8"/>
        <v>0.8</v>
      </c>
    </row>
    <row r="28" spans="1:7" x14ac:dyDescent="0.25">
      <c r="B28" s="13">
        <v>219.9</v>
      </c>
      <c r="C28" s="12">
        <v>5.2790324999999996</v>
      </c>
      <c r="D28" s="14">
        <f t="shared" si="7"/>
        <v>0.98719999999999997</v>
      </c>
      <c r="E28" s="14">
        <v>1.2800000000000001E-2</v>
      </c>
      <c r="F28" s="14">
        <v>0.14800000000000002</v>
      </c>
      <c r="G28" s="14">
        <f t="shared" si="8"/>
        <v>0.85199999999999998</v>
      </c>
    </row>
    <row r="29" spans="1:7" x14ac:dyDescent="0.25">
      <c r="B29" s="13">
        <v>219.9</v>
      </c>
      <c r="C29" s="12">
        <v>7.0623525000000003</v>
      </c>
      <c r="D29" s="14">
        <f t="shared" si="7"/>
        <v>0.98250000000000004</v>
      </c>
      <c r="E29" s="14">
        <v>1.7500000000000002E-2</v>
      </c>
      <c r="F29" s="14"/>
      <c r="G29" s="14"/>
    </row>
    <row r="30" spans="1:7" x14ac:dyDescent="0.25">
      <c r="B30" s="13">
        <v>219.9</v>
      </c>
      <c r="C30" s="12">
        <v>7.3156650000000001</v>
      </c>
      <c r="D30" s="14"/>
      <c r="E30" s="14"/>
      <c r="F30" s="14">
        <v>0.115</v>
      </c>
      <c r="G30" s="14">
        <f t="shared" si="8"/>
        <v>0.88500000000000001</v>
      </c>
    </row>
    <row r="31" spans="1:7" x14ac:dyDescent="0.25">
      <c r="B31" s="13">
        <v>219.9</v>
      </c>
      <c r="C31" s="12">
        <v>10.284487499999999</v>
      </c>
      <c r="D31" s="14">
        <f t="shared" si="7"/>
        <v>0.97419999999999995</v>
      </c>
      <c r="E31" s="14">
        <v>2.58E-2</v>
      </c>
      <c r="F31" s="14">
        <v>9.0999999999999998E-2</v>
      </c>
      <c r="G31" s="14">
        <f t="shared" si="8"/>
        <v>0.90900000000000003</v>
      </c>
    </row>
    <row r="32" spans="1:7" x14ac:dyDescent="0.25">
      <c r="B32" s="13">
        <v>219.9</v>
      </c>
      <c r="C32" s="12">
        <v>15.441929999999999</v>
      </c>
      <c r="D32" s="14">
        <f t="shared" si="7"/>
        <v>0.96150000000000002</v>
      </c>
      <c r="E32" s="14">
        <v>3.85E-2</v>
      </c>
      <c r="F32" s="14">
        <v>7.3300000000000004E-2</v>
      </c>
      <c r="G32" s="14">
        <f t="shared" si="8"/>
        <v>0.92669999999999997</v>
      </c>
    </row>
    <row r="33" spans="2:7" x14ac:dyDescent="0.25">
      <c r="B33" s="13">
        <v>219.9</v>
      </c>
      <c r="C33" s="12">
        <v>19.829302500000001</v>
      </c>
      <c r="D33" s="14">
        <f t="shared" si="7"/>
        <v>0.95130000000000003</v>
      </c>
      <c r="E33" s="14">
        <v>4.87E-2</v>
      </c>
      <c r="F33" s="14">
        <v>6.6500000000000004E-2</v>
      </c>
      <c r="G33" s="14">
        <f t="shared" si="8"/>
        <v>0.9335</v>
      </c>
    </row>
    <row r="34" spans="2:7" x14ac:dyDescent="0.25">
      <c r="B34" s="13">
        <v>229.9</v>
      </c>
      <c r="C34" s="12">
        <v>1.6617299999999997</v>
      </c>
      <c r="D34" s="14"/>
      <c r="E34" s="14"/>
      <c r="F34" s="14">
        <v>0.57999999999999996</v>
      </c>
      <c r="G34" s="14">
        <f t="shared" si="8"/>
        <v>0.42000000000000004</v>
      </c>
    </row>
    <row r="35" spans="2:7" x14ac:dyDescent="0.25">
      <c r="B35" s="13">
        <v>229.9</v>
      </c>
      <c r="C35" s="12">
        <v>2.5837875000000001</v>
      </c>
      <c r="D35" s="14">
        <f t="shared" si="7"/>
        <v>0.99439999999999995</v>
      </c>
      <c r="E35" s="14">
        <v>5.6000000000000008E-3</v>
      </c>
      <c r="F35" s="14">
        <v>0.38600000000000001</v>
      </c>
      <c r="G35" s="14">
        <f t="shared" si="8"/>
        <v>0.61399999999999999</v>
      </c>
    </row>
    <row r="36" spans="2:7" x14ac:dyDescent="0.25">
      <c r="B36" s="13">
        <v>229.9</v>
      </c>
      <c r="C36" s="12">
        <v>3.1816049999999998</v>
      </c>
      <c r="D36" s="14">
        <f t="shared" si="7"/>
        <v>0.99229999999999996</v>
      </c>
      <c r="E36" s="14">
        <v>7.7000000000000002E-3</v>
      </c>
      <c r="F36" s="14"/>
      <c r="G36" s="14"/>
    </row>
    <row r="37" spans="2:7" x14ac:dyDescent="0.25">
      <c r="B37" s="13">
        <v>229.9</v>
      </c>
      <c r="C37" s="12">
        <v>3.6476999999999999</v>
      </c>
      <c r="D37" s="14">
        <f t="shared" si="7"/>
        <v>0.99080000000000001</v>
      </c>
      <c r="E37" s="14">
        <v>9.1999999999999998E-3</v>
      </c>
      <c r="F37" s="14"/>
      <c r="G37" s="14"/>
    </row>
    <row r="38" spans="2:7" x14ac:dyDescent="0.25">
      <c r="B38" s="13">
        <v>229.9</v>
      </c>
      <c r="C38" s="12">
        <v>4.5697574999999997</v>
      </c>
      <c r="D38" s="14">
        <f t="shared" si="7"/>
        <v>0.9879</v>
      </c>
      <c r="E38" s="14">
        <v>1.21E-2</v>
      </c>
      <c r="F38" s="14"/>
      <c r="G38" s="14"/>
    </row>
    <row r="39" spans="2:7" x14ac:dyDescent="0.25">
      <c r="B39" s="13">
        <v>229.9</v>
      </c>
      <c r="C39" s="12">
        <v>4.6508174999999996</v>
      </c>
      <c r="D39" s="14"/>
      <c r="E39" s="14"/>
      <c r="F39" s="14">
        <v>0.23499999999999999</v>
      </c>
      <c r="G39" s="14">
        <f t="shared" si="8"/>
        <v>0.76500000000000001</v>
      </c>
    </row>
    <row r="40" spans="2:7" x14ac:dyDescent="0.25">
      <c r="B40" s="13">
        <v>229.9</v>
      </c>
      <c r="C40" s="12">
        <v>6.6570524999999998</v>
      </c>
      <c r="D40" s="14"/>
      <c r="E40" s="14"/>
      <c r="F40" s="14">
        <v>0.17800000000000002</v>
      </c>
      <c r="G40" s="14">
        <f t="shared" si="8"/>
        <v>0.82199999999999995</v>
      </c>
    </row>
    <row r="41" spans="2:7" x14ac:dyDescent="0.25">
      <c r="B41" s="13">
        <v>229.9</v>
      </c>
      <c r="C41" s="12">
        <v>7.3257975000000002</v>
      </c>
      <c r="D41" s="14">
        <f t="shared" si="7"/>
        <v>0.97840000000000005</v>
      </c>
      <c r="E41" s="14">
        <v>2.1600000000000001E-2</v>
      </c>
      <c r="F41" s="14">
        <v>0.16800000000000001</v>
      </c>
      <c r="G41" s="14">
        <f t="shared" si="8"/>
        <v>0.83199999999999996</v>
      </c>
    </row>
    <row r="42" spans="2:7" x14ac:dyDescent="0.25">
      <c r="B42" s="13">
        <v>229.9</v>
      </c>
      <c r="C42" s="12">
        <v>8.7139500000000005</v>
      </c>
      <c r="D42" s="14"/>
      <c r="E42" s="14"/>
      <c r="F42" s="14">
        <v>0.15</v>
      </c>
      <c r="G42" s="14">
        <f t="shared" si="8"/>
        <v>0.85</v>
      </c>
    </row>
    <row r="43" spans="2:7" x14ac:dyDescent="0.25">
      <c r="B43" s="13">
        <v>229.9</v>
      </c>
      <c r="C43" s="12">
        <v>10.6897875</v>
      </c>
      <c r="D43" s="14"/>
      <c r="E43" s="14"/>
      <c r="F43" s="14">
        <v>0.13600000000000001</v>
      </c>
      <c r="G43" s="14">
        <f t="shared" si="8"/>
        <v>0.86399999999999999</v>
      </c>
    </row>
    <row r="44" spans="2:7" x14ac:dyDescent="0.25">
      <c r="B44" s="13">
        <v>229.9</v>
      </c>
      <c r="C44" s="12">
        <v>12.159000000000001</v>
      </c>
      <c r="D44" s="14">
        <f t="shared" si="7"/>
        <v>0.96350000000000002</v>
      </c>
      <c r="E44" s="14">
        <v>3.6499999999999998E-2</v>
      </c>
      <c r="F44" s="14">
        <v>0.122</v>
      </c>
      <c r="G44" s="14">
        <f t="shared" si="8"/>
        <v>0.878</v>
      </c>
    </row>
    <row r="45" spans="2:7" x14ac:dyDescent="0.25">
      <c r="B45" s="13">
        <v>229.9</v>
      </c>
      <c r="C45" s="12">
        <v>16.161337499999998</v>
      </c>
      <c r="D45" s="14">
        <f t="shared" si="7"/>
        <v>0.95230000000000004</v>
      </c>
      <c r="E45" s="14">
        <v>4.7699999999999992E-2</v>
      </c>
      <c r="F45" s="14">
        <v>0.10400000000000001</v>
      </c>
      <c r="G45" s="14">
        <f t="shared" si="8"/>
        <v>0.89600000000000002</v>
      </c>
    </row>
    <row r="46" spans="2:7" x14ac:dyDescent="0.25">
      <c r="B46" s="13">
        <v>229.9</v>
      </c>
      <c r="C46" s="12">
        <v>20.2953975</v>
      </c>
      <c r="D46" s="14">
        <f t="shared" si="7"/>
        <v>0.94140000000000001</v>
      </c>
      <c r="E46" s="14">
        <v>5.8600000000000006E-2</v>
      </c>
      <c r="F46" s="14">
        <v>9.5399999999999985E-2</v>
      </c>
      <c r="G46" s="14">
        <f t="shared" si="8"/>
        <v>0.90460000000000007</v>
      </c>
    </row>
    <row r="47" spans="2:7" x14ac:dyDescent="0.25">
      <c r="B47" s="13">
        <v>244.9</v>
      </c>
      <c r="C47" s="12">
        <v>2.0771625</v>
      </c>
      <c r="D47" s="14">
        <f t="shared" si="7"/>
        <v>0.99729999999999996</v>
      </c>
      <c r="E47" s="14">
        <v>2.7000000000000001E-3</v>
      </c>
      <c r="F47" s="14"/>
      <c r="G47" s="14"/>
    </row>
    <row r="48" spans="2:7" x14ac:dyDescent="0.25">
      <c r="B48" s="13">
        <v>244.9</v>
      </c>
      <c r="C48" s="12">
        <v>2.1784875000000001</v>
      </c>
      <c r="D48" s="14"/>
      <c r="E48" s="14"/>
      <c r="F48" s="14">
        <v>0.73499999999999999</v>
      </c>
      <c r="G48" s="14">
        <f t="shared" si="8"/>
        <v>0.26500000000000001</v>
      </c>
    </row>
    <row r="49" spans="2:7" x14ac:dyDescent="0.25">
      <c r="B49" s="13">
        <v>244.9</v>
      </c>
      <c r="C49" s="12">
        <v>3.7996875000000001</v>
      </c>
      <c r="D49" s="14"/>
      <c r="E49" s="14"/>
      <c r="F49" s="14">
        <v>0.47700000000000004</v>
      </c>
      <c r="G49" s="14">
        <f t="shared" si="8"/>
        <v>0.52299999999999991</v>
      </c>
    </row>
    <row r="50" spans="2:7" x14ac:dyDescent="0.25">
      <c r="B50" s="13">
        <v>244.9</v>
      </c>
      <c r="C50" s="12">
        <v>5.2587675000000003</v>
      </c>
      <c r="D50" s="14">
        <f t="shared" si="7"/>
        <v>0.98409999999999997</v>
      </c>
      <c r="E50" s="14">
        <v>1.5900000000000001E-2</v>
      </c>
      <c r="F50" s="14">
        <v>0.36599999999999999</v>
      </c>
      <c r="G50" s="14">
        <f t="shared" si="8"/>
        <v>0.63400000000000001</v>
      </c>
    </row>
    <row r="51" spans="2:7" x14ac:dyDescent="0.25">
      <c r="B51" s="13">
        <v>244.9</v>
      </c>
      <c r="C51" s="12">
        <v>8.045205000000001</v>
      </c>
      <c r="D51" s="14">
        <f t="shared" si="7"/>
        <v>0.97240000000000004</v>
      </c>
      <c r="E51" s="14">
        <v>2.76E-2</v>
      </c>
      <c r="F51" s="14">
        <v>0.26700000000000002</v>
      </c>
      <c r="G51" s="14">
        <f t="shared" si="8"/>
        <v>0.73299999999999998</v>
      </c>
    </row>
    <row r="52" spans="2:7" x14ac:dyDescent="0.25">
      <c r="B52" s="13">
        <v>244.9</v>
      </c>
      <c r="C52" s="12">
        <v>11.2977375</v>
      </c>
      <c r="D52" s="14">
        <f t="shared" si="7"/>
        <v>0.95930000000000004</v>
      </c>
      <c r="E52" s="14">
        <v>4.07E-2</v>
      </c>
      <c r="F52" s="14">
        <v>0.21100000000000002</v>
      </c>
      <c r="G52" s="14">
        <f t="shared" si="8"/>
        <v>0.78899999999999992</v>
      </c>
    </row>
    <row r="53" spans="2:7" x14ac:dyDescent="0.25">
      <c r="B53" s="13">
        <v>244.9</v>
      </c>
      <c r="C53" s="12">
        <v>16.110675000000001</v>
      </c>
      <c r="D53" s="14">
        <f t="shared" si="7"/>
        <v>0.94110000000000005</v>
      </c>
      <c r="E53" s="14">
        <v>5.8899999999999994E-2</v>
      </c>
      <c r="F53" s="14">
        <v>0.17399999999999999</v>
      </c>
      <c r="G53" s="14">
        <f t="shared" si="8"/>
        <v>0.82600000000000007</v>
      </c>
    </row>
    <row r="54" spans="2:7" x14ac:dyDescent="0.25">
      <c r="B54" s="13">
        <v>244.9</v>
      </c>
      <c r="C54" s="12">
        <v>16.515975000000001</v>
      </c>
      <c r="D54" s="14">
        <f t="shared" si="7"/>
        <v>0.9395</v>
      </c>
      <c r="E54" s="14">
        <v>6.0499999999999998E-2</v>
      </c>
      <c r="F54" s="14">
        <v>0.17199999999999999</v>
      </c>
      <c r="G54" s="14">
        <f t="shared" si="8"/>
        <v>0.82800000000000007</v>
      </c>
    </row>
    <row r="55" spans="2:7" x14ac:dyDescent="0.25">
      <c r="B55" s="13">
        <v>244.9</v>
      </c>
      <c r="C55" s="12">
        <v>20.1130125</v>
      </c>
      <c r="D55" s="14">
        <f t="shared" si="7"/>
        <v>0.92730000000000001</v>
      </c>
      <c r="E55" s="14">
        <v>7.2700000000000001E-2</v>
      </c>
      <c r="F55" s="14">
        <v>0.161</v>
      </c>
      <c r="G55" s="14">
        <f t="shared" si="8"/>
        <v>0.83899999999999997</v>
      </c>
    </row>
    <row r="56" spans="2:7" x14ac:dyDescent="0.25">
      <c r="B56" s="13">
        <v>244.9</v>
      </c>
      <c r="C56" s="12">
        <v>20.315662499999998</v>
      </c>
      <c r="D56" s="14">
        <f t="shared" si="7"/>
        <v>0.92679999999999996</v>
      </c>
      <c r="E56" s="14">
        <v>7.3200000000000001E-2</v>
      </c>
      <c r="F56" s="14">
        <v>0.159</v>
      </c>
      <c r="G56" s="14">
        <f t="shared" si="8"/>
        <v>0.84099999999999997</v>
      </c>
    </row>
    <row r="57" spans="2:7" x14ac:dyDescent="0.25">
      <c r="B57" s="13">
        <v>259.89999999999998</v>
      </c>
      <c r="C57" s="12">
        <v>3.1005449999999999</v>
      </c>
      <c r="D57" s="14"/>
      <c r="E57" s="14"/>
      <c r="F57" s="14">
        <v>0.82599999999999996</v>
      </c>
      <c r="G57" s="14">
        <f t="shared" si="8"/>
        <v>0.17400000000000004</v>
      </c>
    </row>
    <row r="58" spans="2:7" x14ac:dyDescent="0.25">
      <c r="B58" s="13">
        <v>259.89999999999998</v>
      </c>
      <c r="C58" s="12">
        <v>3.2727974999999994</v>
      </c>
      <c r="D58" s="14">
        <f t="shared" si="7"/>
        <v>0.99529999999999996</v>
      </c>
      <c r="E58" s="14">
        <v>4.6999999999999993E-3</v>
      </c>
      <c r="F58" s="14">
        <v>0.79400000000000004</v>
      </c>
      <c r="G58" s="14">
        <f t="shared" si="8"/>
        <v>0.20599999999999996</v>
      </c>
    </row>
    <row r="59" spans="2:7" x14ac:dyDescent="0.25">
      <c r="B59" s="13">
        <v>259.89999999999998</v>
      </c>
      <c r="C59" s="12">
        <v>5.0662500000000001</v>
      </c>
      <c r="D59" s="14">
        <f t="shared" si="7"/>
        <v>0.98540000000000005</v>
      </c>
      <c r="E59" s="14">
        <v>1.46E-2</v>
      </c>
      <c r="F59" s="14">
        <v>0.57999999999999996</v>
      </c>
      <c r="G59" s="14">
        <f t="shared" si="8"/>
        <v>0.42000000000000004</v>
      </c>
    </row>
    <row r="60" spans="2:7" x14ac:dyDescent="0.25">
      <c r="B60" s="13">
        <v>259.89999999999998</v>
      </c>
      <c r="C60" s="12">
        <v>7.3865925000000008</v>
      </c>
      <c r="D60" s="14">
        <f t="shared" si="7"/>
        <v>0.97309999999999997</v>
      </c>
      <c r="E60" s="14">
        <v>2.69E-2</v>
      </c>
      <c r="F60" s="14">
        <v>0.45</v>
      </c>
      <c r="G60" s="14">
        <f t="shared" si="8"/>
        <v>0.55000000000000004</v>
      </c>
    </row>
    <row r="61" spans="2:7" x14ac:dyDescent="0.25">
      <c r="B61" s="13">
        <v>259.89999999999998</v>
      </c>
      <c r="C61" s="12">
        <v>9.2611050000000006</v>
      </c>
      <c r="D61" s="14">
        <f t="shared" si="7"/>
        <v>0.9637</v>
      </c>
      <c r="E61" s="14">
        <v>3.6299999999999999E-2</v>
      </c>
      <c r="F61" s="14">
        <v>0.38200000000000001</v>
      </c>
      <c r="G61" s="14">
        <f t="shared" si="8"/>
        <v>0.61799999999999999</v>
      </c>
    </row>
    <row r="62" spans="2:7" x14ac:dyDescent="0.25">
      <c r="B62" s="13">
        <v>259.89999999999998</v>
      </c>
      <c r="C62" s="12">
        <v>12.321120000000001</v>
      </c>
      <c r="D62" s="14"/>
      <c r="E62" s="14"/>
      <c r="F62" s="14">
        <v>0.32500000000000001</v>
      </c>
      <c r="G62" s="14">
        <f t="shared" si="8"/>
        <v>0.67500000000000004</v>
      </c>
    </row>
    <row r="63" spans="2:7" x14ac:dyDescent="0.25">
      <c r="B63" s="13">
        <v>259.89999999999998</v>
      </c>
      <c r="C63" s="12">
        <v>13.496489999999998</v>
      </c>
      <c r="D63" s="14">
        <f t="shared" si="7"/>
        <v>0.94020000000000004</v>
      </c>
      <c r="E63" s="14">
        <v>5.9800000000000006E-2</v>
      </c>
      <c r="F63" s="14">
        <v>0.30499999999999999</v>
      </c>
      <c r="G63" s="14">
        <f t="shared" si="8"/>
        <v>0.69500000000000006</v>
      </c>
    </row>
    <row r="64" spans="2:7" x14ac:dyDescent="0.25">
      <c r="B64" s="13">
        <v>259.89999999999998</v>
      </c>
      <c r="C64" s="12">
        <v>15.350737499999999</v>
      </c>
      <c r="D64" s="14">
        <f t="shared" si="7"/>
        <v>0.93120000000000003</v>
      </c>
      <c r="E64" s="14">
        <v>6.88E-2</v>
      </c>
      <c r="F64" s="14">
        <v>0.28899999999999998</v>
      </c>
      <c r="G64" s="14">
        <f t="shared" si="8"/>
        <v>0.71100000000000008</v>
      </c>
    </row>
    <row r="65" spans="2:7" x14ac:dyDescent="0.25">
      <c r="B65" s="13">
        <v>259.89999999999998</v>
      </c>
      <c r="C65" s="12">
        <v>15.674977499999999</v>
      </c>
      <c r="D65" s="14">
        <f t="shared" si="7"/>
        <v>0.92999999999999994</v>
      </c>
      <c r="E65" s="14">
        <v>7.0000000000000007E-2</v>
      </c>
      <c r="F65" s="14">
        <v>0.28800000000000003</v>
      </c>
      <c r="G65" s="14">
        <f t="shared" si="8"/>
        <v>0.71199999999999997</v>
      </c>
    </row>
    <row r="66" spans="2:7" x14ac:dyDescent="0.25">
      <c r="B66" s="13">
        <v>259.89999999999998</v>
      </c>
      <c r="C66" s="12">
        <v>20.315662499999998</v>
      </c>
      <c r="D66" s="14">
        <f t="shared" si="7"/>
        <v>0.9073</v>
      </c>
      <c r="E66" s="14">
        <v>9.2699999999999991E-2</v>
      </c>
      <c r="F66" s="14">
        <v>0.255</v>
      </c>
      <c r="G66" s="14">
        <f t="shared" si="8"/>
        <v>0.745</v>
      </c>
    </row>
    <row r="67" spans="2:7" x14ac:dyDescent="0.25">
      <c r="B67" s="13">
        <v>274.89999999999998</v>
      </c>
      <c r="C67" s="12">
        <v>4.9851900000000002</v>
      </c>
      <c r="D67" s="14">
        <f t="shared" si="7"/>
        <v>0.99029999999999996</v>
      </c>
      <c r="E67" s="14">
        <v>9.7000000000000003E-3</v>
      </c>
      <c r="F67" s="14">
        <v>0.82</v>
      </c>
      <c r="G67" s="14">
        <f t="shared" si="8"/>
        <v>0.18000000000000005</v>
      </c>
    </row>
    <row r="68" spans="2:7" x14ac:dyDescent="0.25">
      <c r="B68" s="13">
        <v>274.89999999999998</v>
      </c>
      <c r="C68" s="12">
        <v>6.6063900000000002</v>
      </c>
      <c r="D68" s="14">
        <f t="shared" si="7"/>
        <v>0.97870000000000001</v>
      </c>
      <c r="E68" s="14">
        <v>2.1299999999999999E-2</v>
      </c>
      <c r="F68" s="14">
        <v>0.7</v>
      </c>
      <c r="G68" s="14">
        <f t="shared" si="8"/>
        <v>0.30000000000000004</v>
      </c>
    </row>
    <row r="69" spans="2:7" x14ac:dyDescent="0.25">
      <c r="B69" s="13">
        <v>274.89999999999998</v>
      </c>
      <c r="C69" s="12">
        <v>9.5042849999999994</v>
      </c>
      <c r="D69" s="14">
        <f t="shared" si="7"/>
        <v>0.95950000000000002</v>
      </c>
      <c r="E69" s="14">
        <v>4.0500000000000001E-2</v>
      </c>
      <c r="F69" s="14">
        <v>0.55799999999999994</v>
      </c>
      <c r="G69" s="14">
        <f t="shared" si="8"/>
        <v>0.44200000000000006</v>
      </c>
    </row>
    <row r="70" spans="2:7" x14ac:dyDescent="0.25">
      <c r="B70" s="13">
        <v>274.89999999999998</v>
      </c>
      <c r="C70" s="12">
        <v>12.3109875</v>
      </c>
      <c r="D70" s="14">
        <f t="shared" si="7"/>
        <v>0.94120000000000004</v>
      </c>
      <c r="E70" s="14">
        <v>5.8799999999999998E-2</v>
      </c>
      <c r="F70" s="14">
        <v>0.48200000000000004</v>
      </c>
      <c r="G70" s="14">
        <f t="shared" si="8"/>
        <v>0.51800000000000002</v>
      </c>
    </row>
    <row r="71" spans="2:7" x14ac:dyDescent="0.25">
      <c r="B71" s="13">
        <v>274.89999999999998</v>
      </c>
      <c r="C71" s="12">
        <v>16.049880000000002</v>
      </c>
      <c r="D71" s="14">
        <f t="shared" si="7"/>
        <v>0.91400000000000003</v>
      </c>
      <c r="E71" s="14">
        <v>8.5999999999999993E-2</v>
      </c>
      <c r="F71" s="14"/>
      <c r="G71" s="14"/>
    </row>
    <row r="72" spans="2:7" x14ac:dyDescent="0.25">
      <c r="B72" s="13">
        <v>274.89999999999998</v>
      </c>
      <c r="C72" s="12">
        <v>16.597035000000002</v>
      </c>
      <c r="D72" s="14"/>
      <c r="E72" s="14"/>
      <c r="F72" s="14">
        <v>0.41200000000000003</v>
      </c>
      <c r="G72" s="14">
        <f t="shared" si="8"/>
        <v>0.58799999999999997</v>
      </c>
    </row>
    <row r="73" spans="2:7" x14ac:dyDescent="0.25">
      <c r="B73" s="13">
        <v>274.89999999999998</v>
      </c>
      <c r="C73" s="12">
        <v>17.731874999999999</v>
      </c>
      <c r="D73" s="14">
        <f t="shared" si="7"/>
        <v>0.9</v>
      </c>
      <c r="E73" s="14">
        <v>0.1</v>
      </c>
      <c r="F73" s="14"/>
      <c r="G73" s="14"/>
    </row>
    <row r="74" spans="2:7" x14ac:dyDescent="0.25">
      <c r="B74" s="13">
        <v>274.89999999999998</v>
      </c>
      <c r="C74" s="12">
        <v>19.2010875</v>
      </c>
      <c r="D74" s="14"/>
      <c r="E74" s="14"/>
      <c r="F74" s="14">
        <v>0.39</v>
      </c>
      <c r="G74" s="14">
        <f t="shared" si="8"/>
        <v>0.61</v>
      </c>
    </row>
    <row r="75" spans="2:7" x14ac:dyDescent="0.25">
      <c r="B75" s="13">
        <v>274.89999999999998</v>
      </c>
      <c r="C75" s="12">
        <v>20.062349999999999</v>
      </c>
      <c r="D75" s="14">
        <f t="shared" si="7"/>
        <v>0.88500000000000001</v>
      </c>
      <c r="E75" s="14">
        <v>0.115</v>
      </c>
      <c r="F75" s="14"/>
      <c r="G75" s="14"/>
    </row>
    <row r="76" spans="2:7" x14ac:dyDescent="0.25">
      <c r="B76" s="13">
        <v>289.89999999999998</v>
      </c>
      <c r="C76" s="12">
        <v>6.5759925000000008</v>
      </c>
      <c r="D76" s="14">
        <f t="shared" si="7"/>
        <v>0.98699999999999999</v>
      </c>
      <c r="E76" s="14">
        <v>1.3000000000000001E-2</v>
      </c>
      <c r="F76" s="14">
        <v>0.89800000000000002</v>
      </c>
      <c r="G76" s="14">
        <f t="shared" si="8"/>
        <v>0.10199999999999998</v>
      </c>
    </row>
    <row r="77" spans="2:7" x14ac:dyDescent="0.25">
      <c r="B77" s="13">
        <v>289.89999999999998</v>
      </c>
      <c r="C77" s="12">
        <v>8.9976599999999998</v>
      </c>
      <c r="D77" s="14">
        <f t="shared" si="7"/>
        <v>0.97419999999999995</v>
      </c>
      <c r="E77" s="14">
        <v>2.58E-2</v>
      </c>
      <c r="F77" s="14">
        <v>0.82400000000000007</v>
      </c>
      <c r="G77" s="14">
        <f t="shared" si="8"/>
        <v>0.17599999999999993</v>
      </c>
    </row>
    <row r="78" spans="2:7" x14ac:dyDescent="0.25">
      <c r="B78" s="13">
        <v>289.89999999999998</v>
      </c>
      <c r="C78" s="12">
        <v>10.233825</v>
      </c>
      <c r="D78" s="14">
        <f t="shared" si="7"/>
        <v>0.95099999999999996</v>
      </c>
      <c r="E78" s="14">
        <v>4.9000000000000002E-2</v>
      </c>
      <c r="F78" s="14">
        <v>0.72</v>
      </c>
      <c r="G78" s="14">
        <f t="shared" si="8"/>
        <v>0.28000000000000003</v>
      </c>
    </row>
    <row r="79" spans="2:7" x14ac:dyDescent="0.25">
      <c r="B79" s="13">
        <v>289.89999999999998</v>
      </c>
      <c r="C79" s="12">
        <v>15.371002499999998</v>
      </c>
      <c r="D79" s="14">
        <f t="shared" si="7"/>
        <v>0.89</v>
      </c>
      <c r="E79" s="14">
        <v>0.11</v>
      </c>
      <c r="F79" s="14">
        <v>0.60899999999999999</v>
      </c>
      <c r="G79" s="14">
        <f t="shared" si="8"/>
        <v>0.39100000000000001</v>
      </c>
    </row>
    <row r="80" spans="2:7" x14ac:dyDescent="0.25">
      <c r="B80" s="13">
        <v>289.89999999999998</v>
      </c>
      <c r="C80" s="12">
        <v>16.212</v>
      </c>
      <c r="D80" s="14">
        <f t="shared" si="7"/>
        <v>0.879</v>
      </c>
      <c r="E80" s="14">
        <v>0.121</v>
      </c>
      <c r="F80" s="14">
        <v>0.6</v>
      </c>
      <c r="G80" s="14">
        <f t="shared" si="8"/>
        <v>0.4</v>
      </c>
    </row>
    <row r="81" spans="1:7" x14ac:dyDescent="0.25">
      <c r="B81" s="13">
        <v>289.89999999999998</v>
      </c>
      <c r="C81" s="12">
        <v>17.529225</v>
      </c>
      <c r="D81" s="14">
        <f t="shared" si="7"/>
        <v>0.86099999999999999</v>
      </c>
      <c r="E81" s="14">
        <v>0.13900000000000001</v>
      </c>
      <c r="F81" s="14">
        <v>0.57799999999999996</v>
      </c>
      <c r="G81" s="14">
        <f t="shared" si="8"/>
        <v>0.42200000000000004</v>
      </c>
    </row>
    <row r="82" spans="1:7" ht="15.75" thickBot="1" x14ac:dyDescent="0.3">
      <c r="A82" s="9"/>
      <c r="B82" s="17">
        <v>289.89999999999998</v>
      </c>
      <c r="C82" s="15">
        <v>18.2891625</v>
      </c>
      <c r="D82" s="16"/>
      <c r="E82" s="16"/>
      <c r="F82" s="16">
        <v>0.57499999999999996</v>
      </c>
      <c r="G82" s="16" cm="1">
        <f t="array" aca="1" ref="G82" ca="1">B25:G82</f>
        <v>0</v>
      </c>
    </row>
    <row r="83" spans="1:7" x14ac:dyDescent="0.25">
      <c r="A83" s="18" t="s">
        <v>60</v>
      </c>
      <c r="B83" s="8">
        <v>273.14999999999998</v>
      </c>
      <c r="C83" s="12">
        <v>6.0795000000000003</v>
      </c>
      <c r="D83" s="14"/>
      <c r="F83" s="8">
        <f>1-G83</f>
        <v>0.71700000000000008</v>
      </c>
      <c r="G83" s="8">
        <v>0.28299999999999997</v>
      </c>
    </row>
    <row r="84" spans="1:7" x14ac:dyDescent="0.25">
      <c r="B84" s="8">
        <v>273.14999999999998</v>
      </c>
      <c r="C84" s="12">
        <v>10.436475</v>
      </c>
      <c r="D84" s="8">
        <f t="shared" ref="D84:D94" si="9">1-E84</f>
        <v>0.95299999999999996</v>
      </c>
      <c r="E84" s="8">
        <v>4.7E-2</v>
      </c>
      <c r="F84" s="8">
        <f t="shared" ref="F84:F94" si="10">1-G84</f>
        <v>0.52600000000000002</v>
      </c>
      <c r="G84" s="8">
        <v>0.47399999999999998</v>
      </c>
    </row>
    <row r="85" spans="1:7" x14ac:dyDescent="0.25">
      <c r="B85" s="8">
        <v>273.14999999999998</v>
      </c>
      <c r="C85" s="12">
        <v>13.881525</v>
      </c>
      <c r="D85" s="8">
        <f t="shared" si="9"/>
        <v>0.92110000000000003</v>
      </c>
      <c r="E85" s="8">
        <v>7.8899999999999998E-2</v>
      </c>
      <c r="F85" s="8">
        <f t="shared" si="10"/>
        <v>0.43700000000000006</v>
      </c>
      <c r="G85" s="8">
        <v>0.56299999999999994</v>
      </c>
    </row>
    <row r="86" spans="1:7" x14ac:dyDescent="0.25">
      <c r="B86" s="8">
        <v>273.14999999999998</v>
      </c>
      <c r="C86" s="12">
        <v>18.339825000000001</v>
      </c>
      <c r="D86" s="8">
        <f t="shared" si="9"/>
        <v>0.89600000000000002</v>
      </c>
      <c r="E86" s="8">
        <v>0.104</v>
      </c>
      <c r="F86" s="8">
        <f t="shared" si="10"/>
        <v>0.40400000000000003</v>
      </c>
      <c r="G86" s="8">
        <v>0.59599999999999997</v>
      </c>
    </row>
    <row r="87" spans="1:7" x14ac:dyDescent="0.25">
      <c r="B87" s="8">
        <v>273.14999999999998</v>
      </c>
      <c r="C87" s="12">
        <v>23.304749999999999</v>
      </c>
      <c r="D87" s="8">
        <f t="shared" si="9"/>
        <v>0.84399999999999997</v>
      </c>
      <c r="E87" s="8">
        <v>0.156</v>
      </c>
      <c r="F87" s="8">
        <f t="shared" si="10"/>
        <v>0.375</v>
      </c>
      <c r="G87" s="8">
        <v>0.625</v>
      </c>
    </row>
    <row r="88" spans="1:7" x14ac:dyDescent="0.25">
      <c r="B88" s="8">
        <v>273.14999999999998</v>
      </c>
      <c r="C88" s="12">
        <v>27.76305</v>
      </c>
      <c r="D88" s="8">
        <f t="shared" si="9"/>
        <v>0.82000000000000006</v>
      </c>
      <c r="E88" s="8">
        <v>0.18</v>
      </c>
      <c r="F88" s="8">
        <f t="shared" si="10"/>
        <v>0.35099999999999998</v>
      </c>
      <c r="G88" s="8">
        <v>0.64900000000000002</v>
      </c>
    </row>
    <row r="89" spans="1:7" x14ac:dyDescent="0.25">
      <c r="B89" s="8">
        <v>273.14999999999998</v>
      </c>
      <c r="C89" s="12">
        <v>30.296175000000002</v>
      </c>
      <c r="D89" s="8">
        <f t="shared" si="9"/>
        <v>0.78600000000000003</v>
      </c>
      <c r="E89" s="8">
        <v>0.214</v>
      </c>
      <c r="F89" s="8">
        <f t="shared" si="10"/>
        <v>0.34899999999999998</v>
      </c>
      <c r="G89" s="8">
        <v>0.65100000000000002</v>
      </c>
    </row>
    <row r="90" spans="1:7" x14ac:dyDescent="0.25">
      <c r="B90" s="8">
        <v>273.14999999999998</v>
      </c>
      <c r="C90" s="12">
        <v>31.309425000000001</v>
      </c>
      <c r="D90" s="8">
        <f t="shared" si="9"/>
        <v>0.77700000000000002</v>
      </c>
      <c r="E90" s="8">
        <v>0.223</v>
      </c>
    </row>
    <row r="91" spans="1:7" x14ac:dyDescent="0.25">
      <c r="B91" s="8">
        <v>273.14999999999998</v>
      </c>
      <c r="C91" s="12">
        <v>33.943874999999998</v>
      </c>
      <c r="D91" s="8">
        <f t="shared" si="9"/>
        <v>0.71399999999999997</v>
      </c>
      <c r="E91" s="8">
        <v>0.28599999999999998</v>
      </c>
      <c r="F91" s="8">
        <f t="shared" si="10"/>
        <v>0.39600000000000002</v>
      </c>
      <c r="G91" s="8">
        <v>0.60399999999999998</v>
      </c>
    </row>
    <row r="92" spans="1:7" x14ac:dyDescent="0.25">
      <c r="B92" s="8">
        <v>273.14999999999998</v>
      </c>
      <c r="C92" s="12">
        <v>35.463749999999997</v>
      </c>
      <c r="D92" s="8">
        <f t="shared" si="9"/>
        <v>0.68300000000000005</v>
      </c>
      <c r="E92" s="8">
        <v>0.317</v>
      </c>
      <c r="F92" s="8">
        <f t="shared" si="10"/>
        <v>0.42000000000000004</v>
      </c>
      <c r="G92" s="8">
        <v>0.57999999999999996</v>
      </c>
    </row>
    <row r="93" spans="1:7" x14ac:dyDescent="0.25">
      <c r="B93" s="8">
        <v>273.14999999999998</v>
      </c>
      <c r="C93" s="12">
        <v>36.274349999999998</v>
      </c>
      <c r="D93" s="8">
        <f t="shared" si="9"/>
        <v>0.67900000000000005</v>
      </c>
      <c r="E93" s="8">
        <v>0.32100000000000001</v>
      </c>
      <c r="F93" s="8">
        <f t="shared" si="10"/>
        <v>0.46599999999999997</v>
      </c>
      <c r="G93" s="8">
        <v>0.53400000000000003</v>
      </c>
    </row>
    <row r="94" spans="1:7" ht="15.75" thickBot="1" x14ac:dyDescent="0.3">
      <c r="A94" s="9"/>
      <c r="B94" s="9">
        <v>273.14999999999998</v>
      </c>
      <c r="C94" s="15">
        <v>37.490250000000003</v>
      </c>
      <c r="D94" s="9">
        <f t="shared" si="9"/>
        <v>0.52800000000000002</v>
      </c>
      <c r="E94" s="9">
        <v>0.47199999999999998</v>
      </c>
      <c r="F94" s="9">
        <f t="shared" si="10"/>
        <v>0.52200000000000002</v>
      </c>
      <c r="G94" s="9">
        <v>0.47799999999999998</v>
      </c>
    </row>
    <row r="95" spans="1:7" x14ac:dyDescent="0.25">
      <c r="A95" s="18" t="s">
        <v>53</v>
      </c>
      <c r="B95" s="8">
        <v>220</v>
      </c>
      <c r="C95" s="13">
        <v>0.93</v>
      </c>
      <c r="D95" s="8">
        <f>1-E95</f>
        <v>0.99850000000000005</v>
      </c>
      <c r="E95" s="8">
        <v>1.5E-3</v>
      </c>
      <c r="F95" s="8">
        <f>1-G95</f>
        <v>0.71019999999999994</v>
      </c>
      <c r="G95" s="8">
        <v>0.2898</v>
      </c>
    </row>
    <row r="96" spans="1:7" x14ac:dyDescent="0.25">
      <c r="B96" s="8">
        <v>220</v>
      </c>
      <c r="C96" s="13">
        <v>1</v>
      </c>
      <c r="F96" s="8">
        <f t="shared" ref="F96:F159" si="11">1-G96</f>
        <v>0.65549999999999997</v>
      </c>
      <c r="G96" s="8">
        <v>0.34449999999999997</v>
      </c>
    </row>
    <row r="97" spans="2:7" x14ac:dyDescent="0.25">
      <c r="B97" s="8">
        <v>220</v>
      </c>
      <c r="C97" s="13">
        <v>1.07</v>
      </c>
      <c r="D97" s="8">
        <f t="shared" ref="D97:D159" si="12">1-E97</f>
        <v>0.99719999999999998</v>
      </c>
      <c r="E97" s="8">
        <v>2.8E-3</v>
      </c>
      <c r="F97" s="8">
        <f t="shared" si="11"/>
        <v>0.6129</v>
      </c>
      <c r="G97" s="8">
        <v>0.3871</v>
      </c>
    </row>
    <row r="98" spans="2:7" x14ac:dyDescent="0.25">
      <c r="B98" s="8">
        <v>220</v>
      </c>
      <c r="C98" s="13">
        <v>1.18</v>
      </c>
      <c r="F98" s="8">
        <f t="shared" si="11"/>
        <v>0.56909999999999994</v>
      </c>
      <c r="G98" s="8">
        <v>0.43090000000000001</v>
      </c>
    </row>
    <row r="99" spans="2:7" x14ac:dyDescent="0.25">
      <c r="B99" s="8">
        <v>220</v>
      </c>
      <c r="C99" s="13">
        <v>1.27</v>
      </c>
      <c r="D99" s="8">
        <f t="shared" si="12"/>
        <v>0.99680000000000002</v>
      </c>
      <c r="E99" s="8">
        <v>3.2000000000000002E-3</v>
      </c>
      <c r="F99" s="8">
        <f t="shared" si="11"/>
        <v>0.53580000000000005</v>
      </c>
      <c r="G99" s="8">
        <v>0.4642</v>
      </c>
    </row>
    <row r="100" spans="2:7" x14ac:dyDescent="0.25">
      <c r="B100" s="8">
        <v>220</v>
      </c>
      <c r="C100" s="13">
        <v>1.35</v>
      </c>
      <c r="D100" s="8">
        <f t="shared" si="12"/>
        <v>0.99650000000000005</v>
      </c>
      <c r="E100" s="8">
        <v>3.5000000000000001E-3</v>
      </c>
      <c r="F100" s="8">
        <f t="shared" si="11"/>
        <v>0.49750000000000005</v>
      </c>
      <c r="G100" s="8">
        <v>0.50249999999999995</v>
      </c>
    </row>
    <row r="101" spans="2:7" x14ac:dyDescent="0.25">
      <c r="B101" s="8">
        <v>220</v>
      </c>
      <c r="C101" s="13">
        <v>2.23</v>
      </c>
      <c r="D101" s="8">
        <f t="shared" si="12"/>
        <v>0.99329999999999996</v>
      </c>
      <c r="E101" s="8">
        <v>6.7000000000000002E-3</v>
      </c>
      <c r="F101" s="8">
        <f t="shared" si="11"/>
        <v>0.32450000000000001</v>
      </c>
      <c r="G101" s="8">
        <v>0.67549999999999999</v>
      </c>
    </row>
    <row r="102" spans="2:7" x14ac:dyDescent="0.25">
      <c r="B102" s="8">
        <v>220</v>
      </c>
      <c r="C102" s="13">
        <v>3.51</v>
      </c>
      <c r="D102" s="8">
        <f t="shared" si="12"/>
        <v>0.98880000000000001</v>
      </c>
      <c r="E102" s="8">
        <v>1.12E-2</v>
      </c>
      <c r="F102" s="8">
        <f t="shared" si="11"/>
        <v>0.21899999999999997</v>
      </c>
      <c r="G102" s="8">
        <v>0.78100000000000003</v>
      </c>
    </row>
    <row r="103" spans="2:7" x14ac:dyDescent="0.25">
      <c r="B103" s="8">
        <v>220</v>
      </c>
      <c r="C103" s="13">
        <v>5.13</v>
      </c>
      <c r="D103" s="8">
        <f t="shared" si="12"/>
        <v>0.98409999999999997</v>
      </c>
      <c r="E103" s="8">
        <v>1.5900000000000001E-2</v>
      </c>
      <c r="F103" s="8">
        <f t="shared" si="11"/>
        <v>0.16310000000000002</v>
      </c>
      <c r="G103" s="8">
        <v>0.83689999999999998</v>
      </c>
    </row>
    <row r="104" spans="2:7" x14ac:dyDescent="0.25">
      <c r="B104" s="8">
        <v>220</v>
      </c>
      <c r="C104" s="13">
        <v>7.13</v>
      </c>
      <c r="D104" s="8">
        <f t="shared" si="12"/>
        <v>0.97819999999999996</v>
      </c>
      <c r="E104" s="8">
        <v>2.18E-2</v>
      </c>
      <c r="F104" s="8">
        <f t="shared" si="11"/>
        <v>0.12629999999999997</v>
      </c>
      <c r="G104" s="8">
        <v>0.87370000000000003</v>
      </c>
    </row>
    <row r="105" spans="2:7" x14ac:dyDescent="0.25">
      <c r="B105" s="8">
        <v>220</v>
      </c>
      <c r="C105" s="13">
        <v>11.01</v>
      </c>
      <c r="D105" s="8">
        <f t="shared" si="12"/>
        <v>0.97030000000000005</v>
      </c>
      <c r="E105" s="8">
        <v>2.9700000000000001E-2</v>
      </c>
      <c r="F105" s="8">
        <f t="shared" si="11"/>
        <v>9.4500000000000028E-2</v>
      </c>
      <c r="G105" s="8">
        <v>0.90549999999999997</v>
      </c>
    </row>
    <row r="106" spans="2:7" x14ac:dyDescent="0.25">
      <c r="B106" s="8">
        <v>220</v>
      </c>
      <c r="C106" s="13">
        <v>14</v>
      </c>
      <c r="D106" s="8">
        <f t="shared" si="12"/>
        <v>0.96389999999999998</v>
      </c>
      <c r="E106" s="8">
        <v>3.61E-2</v>
      </c>
      <c r="F106" s="8">
        <f t="shared" si="11"/>
        <v>8.3799999999999986E-2</v>
      </c>
      <c r="G106" s="8">
        <v>0.91620000000000001</v>
      </c>
    </row>
    <row r="107" spans="2:7" x14ac:dyDescent="0.25">
      <c r="B107" s="8">
        <v>220</v>
      </c>
      <c r="C107" s="13">
        <v>15.46</v>
      </c>
      <c r="D107" s="8">
        <f t="shared" si="12"/>
        <v>0.96060000000000001</v>
      </c>
      <c r="E107" s="8">
        <v>3.9399999999999998E-2</v>
      </c>
      <c r="F107" s="8">
        <f t="shared" si="11"/>
        <v>8.109999999999995E-2</v>
      </c>
      <c r="G107" s="8">
        <v>0.91890000000000005</v>
      </c>
    </row>
    <row r="108" spans="2:7" x14ac:dyDescent="0.25">
      <c r="B108" s="8">
        <v>220</v>
      </c>
      <c r="C108" s="13">
        <v>16.93</v>
      </c>
      <c r="D108" s="8">
        <f t="shared" si="12"/>
        <v>0.95730000000000004</v>
      </c>
      <c r="E108" s="8">
        <v>4.2700000000000002E-2</v>
      </c>
      <c r="F108" s="8">
        <f t="shared" si="11"/>
        <v>7.8699999999999992E-2</v>
      </c>
      <c r="G108" s="8">
        <v>0.92130000000000001</v>
      </c>
    </row>
    <row r="109" spans="2:7" x14ac:dyDescent="0.25">
      <c r="B109" s="8">
        <v>220</v>
      </c>
      <c r="C109" s="13">
        <v>18.79</v>
      </c>
      <c r="D109" s="8">
        <f t="shared" si="12"/>
        <v>0.95369999999999999</v>
      </c>
      <c r="E109" s="8">
        <v>4.6300000000000001E-2</v>
      </c>
      <c r="F109" s="8">
        <f t="shared" si="11"/>
        <v>7.9099999999999948E-2</v>
      </c>
      <c r="G109" s="8">
        <v>0.92090000000000005</v>
      </c>
    </row>
    <row r="110" spans="2:7" x14ac:dyDescent="0.25">
      <c r="B110" s="8">
        <v>220</v>
      </c>
      <c r="C110" s="13">
        <v>20.99</v>
      </c>
      <c r="D110" s="8">
        <f t="shared" si="12"/>
        <v>0.9486</v>
      </c>
      <c r="E110" s="8">
        <v>5.1400000000000001E-2</v>
      </c>
      <c r="F110" s="8">
        <f t="shared" si="11"/>
        <v>7.3999999999999955E-2</v>
      </c>
      <c r="G110" s="8">
        <v>0.92600000000000005</v>
      </c>
    </row>
    <row r="111" spans="2:7" x14ac:dyDescent="0.25">
      <c r="B111" s="8">
        <v>220</v>
      </c>
      <c r="C111" s="13">
        <v>24.34</v>
      </c>
      <c r="D111" s="8">
        <f t="shared" si="12"/>
        <v>0.94069999999999998</v>
      </c>
      <c r="E111" s="8">
        <v>5.9299999999999999E-2</v>
      </c>
      <c r="F111" s="8">
        <f t="shared" si="11"/>
        <v>7.0100000000000051E-2</v>
      </c>
      <c r="G111" s="8">
        <v>0.92989999999999995</v>
      </c>
    </row>
    <row r="112" spans="2:7" x14ac:dyDescent="0.25">
      <c r="B112" s="8">
        <v>220</v>
      </c>
      <c r="C112" s="13">
        <v>26.44</v>
      </c>
      <c r="D112" s="8">
        <f t="shared" si="12"/>
        <v>0.93530000000000002</v>
      </c>
      <c r="E112" s="8">
        <v>6.4699999999999994E-2</v>
      </c>
      <c r="F112" s="8">
        <f t="shared" si="11"/>
        <v>6.9300000000000028E-2</v>
      </c>
      <c r="G112" s="8">
        <v>0.93069999999999997</v>
      </c>
    </row>
    <row r="113" spans="2:7" x14ac:dyDescent="0.25">
      <c r="B113" s="8">
        <v>220</v>
      </c>
      <c r="C113" s="13">
        <v>27.59</v>
      </c>
      <c r="D113" s="8">
        <f t="shared" si="12"/>
        <v>0.93369999999999997</v>
      </c>
      <c r="E113" s="8">
        <v>6.6299999999999998E-2</v>
      </c>
      <c r="F113" s="8">
        <f t="shared" si="11"/>
        <v>6.9699999999999984E-2</v>
      </c>
      <c r="G113" s="8">
        <v>0.93030000000000002</v>
      </c>
    </row>
    <row r="114" spans="2:7" x14ac:dyDescent="0.25">
      <c r="B114" s="8">
        <v>220</v>
      </c>
      <c r="C114" s="13">
        <v>31.5</v>
      </c>
      <c r="D114" s="8">
        <f t="shared" si="12"/>
        <v>0.92789999999999995</v>
      </c>
      <c r="E114" s="8">
        <v>7.2099999999999997E-2</v>
      </c>
      <c r="F114" s="8">
        <f t="shared" si="11"/>
        <v>6.9300000000000028E-2</v>
      </c>
      <c r="G114" s="8">
        <v>0.93069999999999997</v>
      </c>
    </row>
    <row r="115" spans="2:7" x14ac:dyDescent="0.25">
      <c r="B115" s="8">
        <v>220</v>
      </c>
      <c r="C115" s="13">
        <v>35.4</v>
      </c>
      <c r="D115" s="8">
        <f t="shared" si="12"/>
        <v>0.91620000000000001</v>
      </c>
      <c r="E115" s="8">
        <v>8.3799999999999999E-2</v>
      </c>
      <c r="F115" s="8">
        <f t="shared" si="11"/>
        <v>6.8500000000000005E-2</v>
      </c>
      <c r="G115" s="8">
        <v>0.93149999999999999</v>
      </c>
    </row>
    <row r="116" spans="2:7" x14ac:dyDescent="0.25">
      <c r="B116" s="8">
        <v>225</v>
      </c>
      <c r="C116" s="8">
        <v>1.18</v>
      </c>
      <c r="D116" s="8">
        <f t="shared" si="12"/>
        <v>0.99770000000000003</v>
      </c>
      <c r="E116" s="8">
        <v>2.3E-3</v>
      </c>
      <c r="F116" s="8">
        <f t="shared" si="11"/>
        <v>0.68979999999999997</v>
      </c>
      <c r="G116" s="8">
        <v>0.31019999999999998</v>
      </c>
    </row>
    <row r="117" spans="2:7" x14ac:dyDescent="0.25">
      <c r="B117" s="8">
        <v>225</v>
      </c>
      <c r="C117" s="8">
        <v>1.17</v>
      </c>
      <c r="D117" s="8">
        <f t="shared" si="12"/>
        <v>0.99609999999999999</v>
      </c>
      <c r="E117" s="8">
        <v>3.8999999999999998E-3</v>
      </c>
      <c r="F117" s="8">
        <f t="shared" si="11"/>
        <v>0.56279999999999997</v>
      </c>
      <c r="G117" s="8">
        <v>0.43719999999999998</v>
      </c>
    </row>
    <row r="118" spans="2:7" x14ac:dyDescent="0.25">
      <c r="B118" s="8">
        <v>225</v>
      </c>
      <c r="C118" s="8">
        <v>2.16</v>
      </c>
      <c r="D118" s="8">
        <f t="shared" si="12"/>
        <v>0.99319999999999997</v>
      </c>
      <c r="E118" s="8">
        <v>6.7999999999999996E-3</v>
      </c>
      <c r="F118" s="8">
        <f t="shared" si="11"/>
        <v>0.40029999999999999</v>
      </c>
      <c r="G118" s="8">
        <v>0.59970000000000001</v>
      </c>
    </row>
    <row r="119" spans="2:7" x14ac:dyDescent="0.25">
      <c r="B119" s="8">
        <v>225</v>
      </c>
      <c r="C119" s="8">
        <v>2.78</v>
      </c>
      <c r="D119" s="8">
        <f t="shared" si="12"/>
        <v>0.99109999999999998</v>
      </c>
      <c r="E119" s="8">
        <v>8.8999999999999999E-3</v>
      </c>
      <c r="F119" s="8">
        <f t="shared" si="11"/>
        <v>0.32430000000000003</v>
      </c>
      <c r="G119" s="8">
        <v>0.67569999999999997</v>
      </c>
    </row>
    <row r="120" spans="2:7" x14ac:dyDescent="0.25">
      <c r="B120" s="8">
        <v>225</v>
      </c>
      <c r="C120" s="8">
        <v>3.56</v>
      </c>
      <c r="D120" s="8">
        <f t="shared" si="12"/>
        <v>0.98829999999999996</v>
      </c>
      <c r="E120" s="8">
        <v>1.17E-2</v>
      </c>
      <c r="F120" s="8">
        <f t="shared" si="11"/>
        <v>0.2591</v>
      </c>
      <c r="G120" s="8">
        <v>0.7409</v>
      </c>
    </row>
    <row r="121" spans="2:7" x14ac:dyDescent="0.25">
      <c r="B121" s="8">
        <v>225</v>
      </c>
      <c r="C121" s="8">
        <v>4.8499999999999996</v>
      </c>
      <c r="D121" s="8">
        <f t="shared" si="12"/>
        <v>0.98409999999999997</v>
      </c>
      <c r="E121" s="8">
        <v>1.5900000000000001E-2</v>
      </c>
      <c r="F121" s="8">
        <f t="shared" si="11"/>
        <v>0.20350000000000001</v>
      </c>
      <c r="G121" s="8">
        <v>0.79649999999999999</v>
      </c>
    </row>
    <row r="122" spans="2:7" x14ac:dyDescent="0.25">
      <c r="B122" s="8">
        <v>225</v>
      </c>
      <c r="C122" s="8">
        <v>7</v>
      </c>
      <c r="D122" s="8">
        <f t="shared" si="12"/>
        <v>0.97819999999999996</v>
      </c>
      <c r="E122" s="8">
        <v>2.18E-2</v>
      </c>
      <c r="F122" s="8">
        <f t="shared" si="11"/>
        <v>0.14929999999999999</v>
      </c>
      <c r="G122" s="8">
        <v>0.85070000000000001</v>
      </c>
    </row>
    <row r="123" spans="2:7" x14ac:dyDescent="0.25">
      <c r="B123" s="8">
        <v>225</v>
      </c>
      <c r="C123" s="8">
        <v>10.65</v>
      </c>
      <c r="D123" s="8">
        <f t="shared" si="12"/>
        <v>0.96879999999999999</v>
      </c>
      <c r="E123" s="8">
        <v>3.1199999999999999E-2</v>
      </c>
      <c r="F123" s="8">
        <f t="shared" si="11"/>
        <v>0.11099999999999999</v>
      </c>
      <c r="G123" s="8">
        <v>0.88900000000000001</v>
      </c>
    </row>
    <row r="124" spans="2:7" x14ac:dyDescent="0.25">
      <c r="B124" s="8">
        <v>225</v>
      </c>
      <c r="C124" s="8">
        <v>14.22</v>
      </c>
      <c r="D124" s="8">
        <f t="shared" si="12"/>
        <v>0.9607</v>
      </c>
      <c r="E124" s="8">
        <v>3.9300000000000002E-2</v>
      </c>
      <c r="F124" s="8">
        <f t="shared" si="11"/>
        <v>9.6400000000000041E-2</v>
      </c>
      <c r="G124" s="8">
        <v>0.90359999999999996</v>
      </c>
    </row>
    <row r="125" spans="2:7" x14ac:dyDescent="0.25">
      <c r="B125" s="8">
        <v>225</v>
      </c>
      <c r="C125" s="8">
        <v>1.49</v>
      </c>
      <c r="D125" s="8">
        <f t="shared" si="12"/>
        <v>0.99609999999999999</v>
      </c>
      <c r="E125" s="8">
        <v>3.8999999999999998E-3</v>
      </c>
      <c r="F125" s="8">
        <f t="shared" si="11"/>
        <v>0.7873</v>
      </c>
      <c r="G125" s="8">
        <v>0.2127</v>
      </c>
    </row>
    <row r="126" spans="2:7" x14ac:dyDescent="0.25">
      <c r="B126" s="8">
        <v>225</v>
      </c>
      <c r="C126" s="8">
        <v>2.14</v>
      </c>
      <c r="D126" s="8">
        <f t="shared" si="12"/>
        <v>0.99309999999999998</v>
      </c>
      <c r="E126" s="8">
        <v>6.8999999999999999E-3</v>
      </c>
      <c r="F126" s="8">
        <f t="shared" si="11"/>
        <v>0.57719999999999994</v>
      </c>
      <c r="G126" s="8">
        <v>0.42280000000000001</v>
      </c>
    </row>
    <row r="127" spans="2:7" x14ac:dyDescent="0.25">
      <c r="B127" s="8">
        <v>225</v>
      </c>
      <c r="C127" s="8">
        <v>3.38</v>
      </c>
      <c r="D127" s="8">
        <f t="shared" si="12"/>
        <v>0.9879</v>
      </c>
      <c r="E127" s="8">
        <v>1.21E-2</v>
      </c>
      <c r="F127" s="8">
        <f t="shared" si="11"/>
        <v>0.39119999999999999</v>
      </c>
      <c r="G127" s="8">
        <v>0.60880000000000001</v>
      </c>
    </row>
    <row r="128" spans="2:7" x14ac:dyDescent="0.25">
      <c r="B128" s="8">
        <v>225</v>
      </c>
      <c r="C128" s="8">
        <v>5.22</v>
      </c>
      <c r="D128" s="8">
        <f t="shared" si="12"/>
        <v>0.98150000000000004</v>
      </c>
      <c r="E128" s="8">
        <v>1.8499999999999999E-2</v>
      </c>
      <c r="F128" s="8">
        <f t="shared" si="11"/>
        <v>0.27139999999999997</v>
      </c>
      <c r="G128" s="8">
        <v>0.72860000000000003</v>
      </c>
    </row>
    <row r="129" spans="2:7" x14ac:dyDescent="0.25">
      <c r="B129" s="8">
        <v>225</v>
      </c>
      <c r="C129" s="8">
        <v>7.06</v>
      </c>
      <c r="D129" s="8">
        <f t="shared" si="12"/>
        <v>0.97570000000000001</v>
      </c>
      <c r="E129" s="8">
        <v>2.4299999999999999E-2</v>
      </c>
      <c r="F129" s="8">
        <f t="shared" si="11"/>
        <v>0.21940000000000004</v>
      </c>
      <c r="G129" s="8">
        <v>0.78059999999999996</v>
      </c>
    </row>
    <row r="130" spans="2:7" x14ac:dyDescent="0.25">
      <c r="B130" s="8">
        <v>225</v>
      </c>
      <c r="C130" s="8">
        <v>10.46</v>
      </c>
      <c r="D130" s="8">
        <f t="shared" si="12"/>
        <v>0.96579999999999999</v>
      </c>
      <c r="E130" s="8">
        <v>3.4200000000000001E-2</v>
      </c>
      <c r="F130" s="8">
        <f t="shared" si="11"/>
        <v>0.16779999999999995</v>
      </c>
      <c r="G130" s="8">
        <v>0.83220000000000005</v>
      </c>
    </row>
    <row r="131" spans="2:7" x14ac:dyDescent="0.25">
      <c r="B131" s="8">
        <v>225</v>
      </c>
      <c r="C131" s="8">
        <v>14.03</v>
      </c>
      <c r="D131" s="8">
        <f t="shared" si="12"/>
        <v>0.95499999999999996</v>
      </c>
      <c r="E131" s="8">
        <v>4.4999999999999998E-2</v>
      </c>
      <c r="F131" s="8">
        <f t="shared" si="11"/>
        <v>0.14380000000000004</v>
      </c>
      <c r="G131" s="8">
        <v>0.85619999999999996</v>
      </c>
    </row>
    <row r="132" spans="2:7" x14ac:dyDescent="0.25">
      <c r="B132" s="8">
        <v>225</v>
      </c>
      <c r="C132" s="8">
        <v>20.73</v>
      </c>
      <c r="D132" s="8">
        <f t="shared" si="12"/>
        <v>0.93410000000000004</v>
      </c>
      <c r="E132" s="8">
        <v>6.59E-2</v>
      </c>
      <c r="F132" s="8">
        <f t="shared" si="11"/>
        <v>0.12450000000000006</v>
      </c>
      <c r="G132" s="8">
        <v>0.87549999999999994</v>
      </c>
    </row>
    <row r="133" spans="2:7" x14ac:dyDescent="0.25">
      <c r="B133" s="8">
        <v>225</v>
      </c>
      <c r="C133" s="8">
        <v>27.71</v>
      </c>
      <c r="D133" s="8">
        <f t="shared" si="12"/>
        <v>0.91190000000000004</v>
      </c>
      <c r="E133" s="8">
        <v>8.8099999999999998E-2</v>
      </c>
      <c r="F133" s="8">
        <f t="shared" si="11"/>
        <v>0.31720000000000004</v>
      </c>
      <c r="G133" s="8">
        <v>0.68279999999999996</v>
      </c>
    </row>
    <row r="134" spans="2:7" x14ac:dyDescent="0.25">
      <c r="B134" s="8">
        <v>225</v>
      </c>
      <c r="C134" s="8">
        <v>35.22</v>
      </c>
      <c r="D134" s="8">
        <f t="shared" si="12"/>
        <v>0.88770000000000004</v>
      </c>
      <c r="E134" s="8">
        <v>0.1123</v>
      </c>
      <c r="F134" s="8">
        <f t="shared" si="11"/>
        <v>0.11319999999999997</v>
      </c>
      <c r="G134" s="8">
        <v>0.88680000000000003</v>
      </c>
    </row>
    <row r="135" spans="2:7" x14ac:dyDescent="0.25">
      <c r="B135" s="8">
        <v>225</v>
      </c>
      <c r="C135" s="8">
        <v>21.15</v>
      </c>
      <c r="D135" s="8">
        <f t="shared" si="12"/>
        <v>0.94330000000000003</v>
      </c>
      <c r="E135" s="8">
        <v>5.67E-2</v>
      </c>
      <c r="F135" s="8">
        <f t="shared" si="11"/>
        <v>8.2200000000000051E-2</v>
      </c>
      <c r="G135" s="8">
        <v>0.91779999999999995</v>
      </c>
    </row>
    <row r="136" spans="2:7" x14ac:dyDescent="0.25">
      <c r="B136" s="8">
        <v>225</v>
      </c>
      <c r="C136" s="8">
        <v>27.88</v>
      </c>
      <c r="D136" s="8">
        <f t="shared" si="12"/>
        <v>0.92600000000000005</v>
      </c>
      <c r="E136" s="8">
        <v>7.3999999999999996E-2</v>
      </c>
      <c r="F136" s="8">
        <f t="shared" si="11"/>
        <v>7.7500000000000013E-2</v>
      </c>
      <c r="G136" s="8">
        <v>0.92249999999999999</v>
      </c>
    </row>
    <row r="137" spans="2:7" x14ac:dyDescent="0.25">
      <c r="B137" s="8">
        <v>225</v>
      </c>
      <c r="C137" s="8">
        <v>34.69</v>
      </c>
      <c r="D137" s="8">
        <f t="shared" si="12"/>
        <v>0.90859999999999996</v>
      </c>
      <c r="E137" s="8">
        <v>9.1399999999999995E-2</v>
      </c>
      <c r="F137" s="8">
        <f t="shared" si="11"/>
        <v>7.6799999999999979E-2</v>
      </c>
      <c r="G137" s="8">
        <v>0.92320000000000002</v>
      </c>
    </row>
    <row r="138" spans="2:7" x14ac:dyDescent="0.25">
      <c r="B138" s="8">
        <v>225</v>
      </c>
      <c r="C138" s="8">
        <v>41.44</v>
      </c>
      <c r="D138" s="8">
        <f t="shared" si="12"/>
        <v>0.89270000000000005</v>
      </c>
      <c r="E138" s="8">
        <v>0.10730000000000001</v>
      </c>
      <c r="F138" s="8">
        <f t="shared" si="11"/>
        <v>7.5999999999999956E-2</v>
      </c>
      <c r="G138" s="8">
        <v>0.92400000000000004</v>
      </c>
    </row>
    <row r="139" spans="2:7" x14ac:dyDescent="0.25">
      <c r="B139" s="8">
        <v>225</v>
      </c>
      <c r="C139" s="8">
        <v>48.37</v>
      </c>
      <c r="D139" s="8">
        <f t="shared" si="12"/>
        <v>0.87650000000000006</v>
      </c>
      <c r="E139" s="8">
        <v>0.1235</v>
      </c>
      <c r="F139" s="8">
        <f t="shared" si="11"/>
        <v>7.7200000000000046E-2</v>
      </c>
      <c r="G139" s="8">
        <v>0.92279999999999995</v>
      </c>
    </row>
    <row r="140" spans="2:7" x14ac:dyDescent="0.25">
      <c r="B140" s="8">
        <v>225</v>
      </c>
      <c r="C140" s="8">
        <v>55.35</v>
      </c>
      <c r="D140" s="8">
        <f t="shared" si="12"/>
        <v>0.86099999999999999</v>
      </c>
      <c r="E140" s="8">
        <v>0.13900000000000001</v>
      </c>
      <c r="F140" s="8">
        <f t="shared" si="11"/>
        <v>7.9099999999999948E-2</v>
      </c>
      <c r="G140" s="8">
        <v>0.92090000000000005</v>
      </c>
    </row>
    <row r="141" spans="2:7" x14ac:dyDescent="0.25">
      <c r="B141" s="8">
        <v>225</v>
      </c>
      <c r="C141" s="8">
        <v>69.989999999999995</v>
      </c>
      <c r="D141" s="8">
        <f t="shared" si="12"/>
        <v>0.83099999999999996</v>
      </c>
      <c r="E141" s="8">
        <v>0.16900000000000001</v>
      </c>
      <c r="F141" s="8">
        <f t="shared" si="11"/>
        <v>8.6899999999999977E-2</v>
      </c>
      <c r="G141" s="8">
        <v>0.91310000000000002</v>
      </c>
    </row>
    <row r="142" spans="2:7" x14ac:dyDescent="0.25">
      <c r="B142" s="8">
        <v>225</v>
      </c>
      <c r="C142" s="8">
        <v>79.48</v>
      </c>
      <c r="D142" s="8">
        <f t="shared" si="12"/>
        <v>0.81230000000000002</v>
      </c>
      <c r="E142" s="8">
        <v>0.18770000000000001</v>
      </c>
      <c r="F142" s="8">
        <f t="shared" si="11"/>
        <v>9.2999999999999972E-2</v>
      </c>
      <c r="G142" s="8">
        <v>0.90700000000000003</v>
      </c>
    </row>
    <row r="143" spans="2:7" x14ac:dyDescent="0.25">
      <c r="B143" s="8">
        <v>225</v>
      </c>
      <c r="C143" s="8">
        <v>91.26</v>
      </c>
      <c r="D143" s="8">
        <f t="shared" si="12"/>
        <v>0.78879999999999995</v>
      </c>
      <c r="E143" s="8">
        <v>0.2112</v>
      </c>
      <c r="F143" s="8">
        <f t="shared" si="11"/>
        <v>9.6400000000000041E-2</v>
      </c>
      <c r="G143" s="8">
        <v>0.90359999999999996</v>
      </c>
    </row>
    <row r="144" spans="2:7" x14ac:dyDescent="0.25">
      <c r="B144" s="8">
        <v>225</v>
      </c>
      <c r="C144" s="8">
        <v>41.38</v>
      </c>
      <c r="D144" s="8">
        <f t="shared" si="12"/>
        <v>0.86929999999999996</v>
      </c>
      <c r="E144" s="8">
        <v>0.13070000000000001</v>
      </c>
      <c r="F144" s="8">
        <f t="shared" si="11"/>
        <v>0.11360000000000003</v>
      </c>
      <c r="G144" s="8">
        <v>0.88639999999999997</v>
      </c>
    </row>
    <row r="145" spans="2:7" x14ac:dyDescent="0.25">
      <c r="B145" s="8">
        <v>225</v>
      </c>
      <c r="C145" s="8">
        <v>55.17</v>
      </c>
      <c r="D145" s="8">
        <f t="shared" si="12"/>
        <v>0.82930000000000004</v>
      </c>
      <c r="E145" s="8">
        <v>0.17069999999999999</v>
      </c>
      <c r="F145" s="8">
        <f t="shared" si="11"/>
        <v>0.11870000000000003</v>
      </c>
      <c r="G145" s="8">
        <v>0.88129999999999997</v>
      </c>
    </row>
    <row r="146" spans="2:7" x14ac:dyDescent="0.25">
      <c r="B146" s="8">
        <v>225</v>
      </c>
      <c r="C146" s="8">
        <v>73.099999999999994</v>
      </c>
      <c r="D146" s="8">
        <f t="shared" si="12"/>
        <v>0.78159999999999996</v>
      </c>
      <c r="E146" s="8">
        <v>0.21840000000000001</v>
      </c>
      <c r="F146" s="8">
        <f t="shared" si="11"/>
        <v>0.12960000000000005</v>
      </c>
      <c r="G146" s="8">
        <v>0.87039999999999995</v>
      </c>
    </row>
    <row r="147" spans="2:7" x14ac:dyDescent="0.25">
      <c r="B147" s="8">
        <v>225</v>
      </c>
      <c r="C147" s="8">
        <v>93.03</v>
      </c>
      <c r="D147" s="8">
        <f t="shared" si="12"/>
        <v>0.72720000000000007</v>
      </c>
      <c r="E147" s="8">
        <v>0.27279999999999999</v>
      </c>
      <c r="F147" s="8">
        <f t="shared" si="11"/>
        <v>0.14380000000000004</v>
      </c>
      <c r="G147" s="8">
        <v>0.85619999999999996</v>
      </c>
    </row>
    <row r="148" spans="2:7" x14ac:dyDescent="0.25">
      <c r="B148" s="8">
        <v>225</v>
      </c>
      <c r="C148" s="8">
        <v>117.61</v>
      </c>
      <c r="D148" s="8">
        <f t="shared" si="12"/>
        <v>0.66290000000000004</v>
      </c>
      <c r="E148" s="8">
        <v>0.33710000000000001</v>
      </c>
      <c r="F148" s="8">
        <f t="shared" si="11"/>
        <v>0.16569999999999996</v>
      </c>
      <c r="G148" s="8">
        <v>0.83430000000000004</v>
      </c>
    </row>
    <row r="149" spans="2:7" x14ac:dyDescent="0.25">
      <c r="B149" s="8">
        <v>225</v>
      </c>
      <c r="C149" s="8">
        <v>137.35</v>
      </c>
      <c r="D149" s="8">
        <f t="shared" si="12"/>
        <v>0.60719999999999996</v>
      </c>
      <c r="E149" s="8">
        <v>0.39279999999999998</v>
      </c>
      <c r="F149" s="8">
        <f t="shared" si="11"/>
        <v>0.18979999999999997</v>
      </c>
      <c r="G149" s="8">
        <v>0.81020000000000003</v>
      </c>
    </row>
    <row r="150" spans="2:7" x14ac:dyDescent="0.25">
      <c r="B150" s="8">
        <v>225</v>
      </c>
      <c r="C150" s="8">
        <v>152</v>
      </c>
      <c r="D150" s="8">
        <f t="shared" si="12"/>
        <v>0.5635</v>
      </c>
      <c r="E150" s="8">
        <v>0.4365</v>
      </c>
      <c r="F150" s="8">
        <f t="shared" si="11"/>
        <v>0.21230000000000004</v>
      </c>
      <c r="G150" s="8">
        <v>0.78769999999999996</v>
      </c>
    </row>
    <row r="151" spans="2:7" x14ac:dyDescent="0.25">
      <c r="B151" s="8">
        <v>225</v>
      </c>
      <c r="C151" s="8">
        <v>165.58</v>
      </c>
      <c r="D151" s="8">
        <f t="shared" si="12"/>
        <v>0.51160000000000005</v>
      </c>
      <c r="E151" s="8">
        <v>0.4884</v>
      </c>
      <c r="F151" s="8">
        <f t="shared" si="11"/>
        <v>0.24439999999999995</v>
      </c>
      <c r="G151" s="8">
        <v>0.75560000000000005</v>
      </c>
    </row>
    <row r="152" spans="2:7" x14ac:dyDescent="0.25">
      <c r="B152" s="8">
        <v>225</v>
      </c>
      <c r="C152" s="8">
        <v>168.96</v>
      </c>
      <c r="D152" s="8">
        <f t="shared" si="12"/>
        <v>0.49380000000000002</v>
      </c>
      <c r="E152" s="8">
        <v>0.50619999999999998</v>
      </c>
      <c r="F152" s="8">
        <f t="shared" si="11"/>
        <v>0.25449999999999995</v>
      </c>
      <c r="G152" s="8">
        <v>0.74550000000000005</v>
      </c>
    </row>
    <row r="153" spans="2:7" x14ac:dyDescent="0.25">
      <c r="B153" s="8">
        <v>225</v>
      </c>
      <c r="C153" s="8">
        <v>171.79</v>
      </c>
      <c r="D153" s="8">
        <f t="shared" si="12"/>
        <v>0.47360000000000002</v>
      </c>
      <c r="E153" s="8">
        <v>0.52639999999999998</v>
      </c>
      <c r="F153" s="8">
        <f t="shared" si="11"/>
        <v>0.26719999999999999</v>
      </c>
      <c r="G153" s="8">
        <v>0.73280000000000001</v>
      </c>
    </row>
    <row r="154" spans="2:7" x14ac:dyDescent="0.25">
      <c r="B154" s="8">
        <v>237</v>
      </c>
      <c r="C154" s="8">
        <v>132.08000000000001</v>
      </c>
      <c r="D154" s="8">
        <f t="shared" si="12"/>
        <v>0.59329999999999994</v>
      </c>
      <c r="E154" s="8">
        <v>0.40670000000000001</v>
      </c>
      <c r="F154" s="8">
        <f t="shared" si="11"/>
        <v>0.20509999999999995</v>
      </c>
      <c r="G154" s="8">
        <v>0.79490000000000005</v>
      </c>
    </row>
    <row r="155" spans="2:7" x14ac:dyDescent="0.25">
      <c r="B155" s="8">
        <v>237</v>
      </c>
      <c r="C155" s="8">
        <v>138</v>
      </c>
      <c r="D155" s="8">
        <f t="shared" si="12"/>
        <v>0.57190000000000007</v>
      </c>
      <c r="E155" s="8">
        <v>0.42809999999999998</v>
      </c>
      <c r="F155" s="8">
        <f t="shared" si="11"/>
        <v>0.21630000000000005</v>
      </c>
      <c r="G155" s="8">
        <v>0.78369999999999995</v>
      </c>
    </row>
    <row r="156" spans="2:7" x14ac:dyDescent="0.25">
      <c r="B156" s="8">
        <v>237</v>
      </c>
      <c r="C156" s="8">
        <v>144.9</v>
      </c>
      <c r="D156" s="8">
        <f t="shared" si="12"/>
        <v>0.54699999999999993</v>
      </c>
      <c r="E156" s="8">
        <v>0.45300000000000001</v>
      </c>
      <c r="F156" s="8">
        <f t="shared" si="11"/>
        <v>0.23019999999999996</v>
      </c>
      <c r="G156" s="8">
        <v>0.76980000000000004</v>
      </c>
    </row>
    <row r="157" spans="2:7" x14ac:dyDescent="0.25">
      <c r="B157" s="8">
        <v>237</v>
      </c>
      <c r="C157" s="8">
        <v>148.35</v>
      </c>
      <c r="D157" s="8">
        <f t="shared" si="12"/>
        <v>0.52689999999999992</v>
      </c>
      <c r="E157" s="8">
        <v>0.47310000000000002</v>
      </c>
      <c r="F157" s="8">
        <f t="shared" si="11"/>
        <v>0.24760000000000004</v>
      </c>
      <c r="G157" s="8">
        <v>0.75239999999999996</v>
      </c>
    </row>
    <row r="158" spans="2:7" x14ac:dyDescent="0.25">
      <c r="B158" s="8">
        <v>237</v>
      </c>
      <c r="C158" s="8">
        <v>150.28</v>
      </c>
      <c r="D158" s="8">
        <f t="shared" si="12"/>
        <v>0.52110000000000001</v>
      </c>
      <c r="E158" s="8">
        <v>0.47889999999999999</v>
      </c>
      <c r="F158" s="8">
        <f t="shared" si="11"/>
        <v>0.25139999999999996</v>
      </c>
      <c r="G158" s="8">
        <v>0.74860000000000004</v>
      </c>
    </row>
    <row r="159" spans="2:7" x14ac:dyDescent="0.25">
      <c r="B159" s="8">
        <v>237</v>
      </c>
      <c r="C159" s="8">
        <v>152.07</v>
      </c>
      <c r="D159" s="8">
        <f t="shared" si="12"/>
        <v>0.50919999999999999</v>
      </c>
      <c r="E159" s="8">
        <v>0.49080000000000001</v>
      </c>
      <c r="F159" s="8">
        <f t="shared" si="11"/>
        <v>0.26100000000000001</v>
      </c>
      <c r="G159" s="8">
        <v>0.73899999999999999</v>
      </c>
    </row>
    <row r="160" spans="2:7" x14ac:dyDescent="0.25">
      <c r="B160" s="8">
        <v>237</v>
      </c>
      <c r="C160" s="8">
        <v>154.9</v>
      </c>
      <c r="D160" s="8">
        <f t="shared" ref="D160:D223" si="13">1-E160</f>
        <v>0.49509999999999998</v>
      </c>
      <c r="E160" s="8">
        <v>0.50490000000000002</v>
      </c>
      <c r="F160" s="8">
        <f t="shared" ref="F160:F223" si="14">1-G160</f>
        <v>0.27</v>
      </c>
      <c r="G160" s="8">
        <v>0.73</v>
      </c>
    </row>
    <row r="161" spans="2:7" x14ac:dyDescent="0.25">
      <c r="B161" s="8">
        <v>237</v>
      </c>
      <c r="C161" s="8">
        <v>156.97</v>
      </c>
      <c r="D161" s="8">
        <f t="shared" si="13"/>
        <v>0.47619999999999996</v>
      </c>
      <c r="E161" s="8">
        <v>0.52380000000000004</v>
      </c>
      <c r="F161" s="8">
        <f t="shared" si="14"/>
        <v>0.28100000000000003</v>
      </c>
      <c r="G161" s="8">
        <v>0.71899999999999997</v>
      </c>
    </row>
    <row r="162" spans="2:7" x14ac:dyDescent="0.25">
      <c r="B162" s="8">
        <v>237</v>
      </c>
      <c r="C162" s="8">
        <v>158.83000000000001</v>
      </c>
      <c r="D162" s="8">
        <f t="shared" si="13"/>
        <v>0.45989999999999998</v>
      </c>
      <c r="E162" s="8">
        <v>0.54010000000000002</v>
      </c>
      <c r="F162" s="8">
        <f t="shared" si="14"/>
        <v>0.2954</v>
      </c>
      <c r="G162" s="8">
        <v>0.7046</v>
      </c>
    </row>
    <row r="163" spans="2:7" x14ac:dyDescent="0.25">
      <c r="B163" s="8">
        <v>237</v>
      </c>
      <c r="C163" s="8">
        <v>160.41</v>
      </c>
      <c r="D163" s="8">
        <f t="shared" si="13"/>
        <v>0.44340000000000002</v>
      </c>
      <c r="E163" s="8">
        <v>0.55659999999999998</v>
      </c>
      <c r="F163" s="8">
        <f t="shared" si="14"/>
        <v>0.30789999999999995</v>
      </c>
      <c r="G163" s="8">
        <v>0.69210000000000005</v>
      </c>
    </row>
    <row r="164" spans="2:7" x14ac:dyDescent="0.25">
      <c r="B164" s="8">
        <v>245</v>
      </c>
      <c r="C164" s="8">
        <v>83.68</v>
      </c>
      <c r="D164" s="8">
        <f t="shared" si="13"/>
        <v>0.67490000000000006</v>
      </c>
      <c r="E164" s="8">
        <v>0.3251</v>
      </c>
      <c r="F164" s="8">
        <f t="shared" si="14"/>
        <v>0.20820000000000005</v>
      </c>
      <c r="G164" s="8">
        <v>0.79179999999999995</v>
      </c>
    </row>
    <row r="165" spans="2:7" x14ac:dyDescent="0.25">
      <c r="B165" s="8">
        <v>245</v>
      </c>
      <c r="C165" s="8">
        <v>89.58</v>
      </c>
      <c r="D165" s="8">
        <f t="shared" si="13"/>
        <v>0.64789999999999992</v>
      </c>
      <c r="E165" s="8">
        <v>0.35210000000000002</v>
      </c>
      <c r="F165" s="8">
        <f t="shared" si="14"/>
        <v>0.22240000000000004</v>
      </c>
      <c r="G165" s="8">
        <v>0.77759999999999996</v>
      </c>
    </row>
    <row r="166" spans="2:7" x14ac:dyDescent="0.25">
      <c r="B166" s="8">
        <v>245</v>
      </c>
      <c r="C166" s="8">
        <v>96.65</v>
      </c>
      <c r="D166" s="8">
        <f t="shared" si="13"/>
        <v>0.61180000000000001</v>
      </c>
      <c r="E166" s="8">
        <v>0.38819999999999999</v>
      </c>
      <c r="F166" s="8">
        <f t="shared" si="14"/>
        <v>0.24</v>
      </c>
      <c r="G166" s="8">
        <v>0.76</v>
      </c>
    </row>
    <row r="167" spans="2:7" x14ac:dyDescent="0.25">
      <c r="B167" s="8">
        <v>245</v>
      </c>
      <c r="C167" s="8">
        <v>101.54</v>
      </c>
      <c r="D167" s="8">
        <f t="shared" si="13"/>
        <v>0.58450000000000002</v>
      </c>
      <c r="E167" s="8">
        <v>0.41549999999999998</v>
      </c>
      <c r="F167" s="8">
        <f t="shared" si="14"/>
        <v>0.25590000000000002</v>
      </c>
      <c r="G167" s="8">
        <v>0.74409999999999998</v>
      </c>
    </row>
    <row r="168" spans="2:7" x14ac:dyDescent="0.25">
      <c r="B168" s="8">
        <v>245</v>
      </c>
      <c r="C168" s="8">
        <v>105.06</v>
      </c>
      <c r="D168" s="8">
        <f t="shared" si="13"/>
        <v>0.56210000000000004</v>
      </c>
      <c r="E168" s="8">
        <v>0.43790000000000001</v>
      </c>
      <c r="F168" s="8">
        <f t="shared" si="14"/>
        <v>0.26970000000000005</v>
      </c>
      <c r="G168" s="8">
        <v>0.73029999999999995</v>
      </c>
    </row>
    <row r="169" spans="2:7" x14ac:dyDescent="0.25">
      <c r="B169" s="8">
        <v>245</v>
      </c>
      <c r="C169" s="8">
        <v>108.51</v>
      </c>
      <c r="D169" s="8">
        <f t="shared" si="13"/>
        <v>0.5343</v>
      </c>
      <c r="E169" s="8">
        <v>0.4657</v>
      </c>
      <c r="F169" s="8">
        <f t="shared" si="14"/>
        <v>0.29059999999999997</v>
      </c>
      <c r="G169" s="8">
        <v>0.70940000000000003</v>
      </c>
    </row>
    <row r="170" spans="2:7" x14ac:dyDescent="0.25">
      <c r="B170" s="8">
        <v>245</v>
      </c>
      <c r="C170" s="8">
        <v>111.83</v>
      </c>
      <c r="D170" s="8">
        <f t="shared" si="13"/>
        <v>0.499</v>
      </c>
      <c r="E170" s="8">
        <v>0.501</v>
      </c>
      <c r="F170" s="8">
        <f t="shared" si="14"/>
        <v>0.32110000000000005</v>
      </c>
      <c r="G170" s="8">
        <v>0.67889999999999995</v>
      </c>
    </row>
    <row r="171" spans="2:7" x14ac:dyDescent="0.25">
      <c r="B171" s="8">
        <v>245</v>
      </c>
      <c r="C171" s="8">
        <v>113.23</v>
      </c>
      <c r="D171" s="8">
        <f t="shared" si="13"/>
        <v>0.4738</v>
      </c>
      <c r="E171" s="8">
        <v>0.5262</v>
      </c>
      <c r="F171" s="8">
        <f t="shared" si="14"/>
        <v>0.3397</v>
      </c>
      <c r="G171" s="8">
        <v>0.6603</v>
      </c>
    </row>
    <row r="172" spans="2:7" x14ac:dyDescent="0.25">
      <c r="B172" s="8">
        <v>250</v>
      </c>
      <c r="C172" s="8">
        <v>2.31</v>
      </c>
      <c r="D172" s="8">
        <f t="shared" si="13"/>
        <v>0.99539999999999995</v>
      </c>
      <c r="E172" s="8">
        <v>4.5999999999999999E-3</v>
      </c>
      <c r="F172" s="8">
        <f t="shared" si="14"/>
        <v>0.84109999999999996</v>
      </c>
      <c r="G172" s="8">
        <v>0.15890000000000001</v>
      </c>
    </row>
    <row r="173" spans="2:7" x14ac:dyDescent="0.25">
      <c r="B173" s="8">
        <v>250</v>
      </c>
      <c r="C173" s="8">
        <v>3.04</v>
      </c>
      <c r="D173" s="8">
        <f t="shared" si="13"/>
        <v>0.99139999999999995</v>
      </c>
      <c r="E173" s="8">
        <v>8.6E-3</v>
      </c>
      <c r="F173" s="8">
        <f t="shared" si="14"/>
        <v>0.6804</v>
      </c>
      <c r="G173" s="8">
        <v>0.3196</v>
      </c>
    </row>
    <row r="174" spans="2:7" x14ac:dyDescent="0.25">
      <c r="B174" s="8">
        <v>250</v>
      </c>
      <c r="C174" s="8">
        <v>3.63</v>
      </c>
      <c r="D174" s="8">
        <f t="shared" si="13"/>
        <v>0.98760000000000003</v>
      </c>
      <c r="E174" s="8">
        <v>1.24E-2</v>
      </c>
      <c r="F174" s="8">
        <f t="shared" si="14"/>
        <v>0.59099999999999997</v>
      </c>
      <c r="G174" s="8">
        <v>0.40899999999999997</v>
      </c>
    </row>
    <row r="175" spans="2:7" x14ac:dyDescent="0.25">
      <c r="B175" s="8">
        <v>250</v>
      </c>
      <c r="C175" s="8">
        <v>5.2</v>
      </c>
      <c r="D175" s="8">
        <f t="shared" si="13"/>
        <v>0.98140000000000005</v>
      </c>
      <c r="E175" s="8">
        <v>1.8599999999999998E-2</v>
      </c>
      <c r="F175" s="8">
        <f t="shared" si="14"/>
        <v>0.44989999999999997</v>
      </c>
      <c r="G175" s="8">
        <v>0.55010000000000003</v>
      </c>
    </row>
    <row r="176" spans="2:7" x14ac:dyDescent="0.25">
      <c r="B176" s="8">
        <v>250</v>
      </c>
      <c r="C176" s="8">
        <v>6.9</v>
      </c>
      <c r="D176" s="8">
        <f t="shared" si="13"/>
        <v>0.9738</v>
      </c>
      <c r="E176" s="8">
        <v>2.6200000000000001E-2</v>
      </c>
      <c r="F176" s="8">
        <f t="shared" si="14"/>
        <v>0.3629</v>
      </c>
      <c r="G176" s="8">
        <v>0.6371</v>
      </c>
    </row>
    <row r="177" spans="2:7" x14ac:dyDescent="0.25">
      <c r="B177" s="8">
        <v>250</v>
      </c>
      <c r="C177" s="8">
        <v>10.29</v>
      </c>
      <c r="D177" s="8">
        <f t="shared" si="13"/>
        <v>0.96040000000000003</v>
      </c>
      <c r="E177" s="8">
        <v>3.9600000000000003E-2</v>
      </c>
      <c r="F177" s="8">
        <f t="shared" si="14"/>
        <v>0.28210000000000002</v>
      </c>
      <c r="G177" s="8">
        <v>0.71789999999999998</v>
      </c>
    </row>
    <row r="178" spans="2:7" x14ac:dyDescent="0.25">
      <c r="B178" s="8">
        <v>250</v>
      </c>
      <c r="C178" s="8">
        <v>13.85</v>
      </c>
      <c r="D178" s="8">
        <f t="shared" si="13"/>
        <v>0.94550000000000001</v>
      </c>
      <c r="E178" s="8">
        <v>5.45E-2</v>
      </c>
      <c r="F178" s="8">
        <f t="shared" si="14"/>
        <v>0.24150000000000005</v>
      </c>
      <c r="G178" s="8">
        <v>0.75849999999999995</v>
      </c>
    </row>
    <row r="179" spans="2:7" x14ac:dyDescent="0.25">
      <c r="B179" s="8">
        <v>250</v>
      </c>
      <c r="C179" s="8">
        <v>17.28</v>
      </c>
      <c r="D179" s="8">
        <f t="shared" si="13"/>
        <v>0.93049999999999999</v>
      </c>
      <c r="E179" s="8">
        <v>6.9500000000000006E-2</v>
      </c>
      <c r="F179" s="8">
        <f t="shared" si="14"/>
        <v>0.21779999999999999</v>
      </c>
      <c r="G179" s="8">
        <v>0.78220000000000001</v>
      </c>
    </row>
    <row r="180" spans="2:7" x14ac:dyDescent="0.25">
      <c r="B180" s="8">
        <v>250</v>
      </c>
      <c r="C180" s="8">
        <v>25.44</v>
      </c>
      <c r="D180" s="8">
        <f t="shared" si="13"/>
        <v>0.89419999999999999</v>
      </c>
      <c r="E180" s="8">
        <v>0.10580000000000001</v>
      </c>
      <c r="F180" s="8">
        <f t="shared" si="14"/>
        <v>0.1956</v>
      </c>
      <c r="G180" s="8">
        <v>0.8044</v>
      </c>
    </row>
    <row r="181" spans="2:7" x14ac:dyDescent="0.25">
      <c r="B181" s="8">
        <v>250</v>
      </c>
      <c r="C181" s="8">
        <v>31.54</v>
      </c>
      <c r="D181" s="8">
        <f t="shared" si="13"/>
        <v>0.86680000000000001</v>
      </c>
      <c r="E181" s="8">
        <v>0.13320000000000001</v>
      </c>
      <c r="F181" s="8">
        <f t="shared" si="14"/>
        <v>0.1895</v>
      </c>
      <c r="G181" s="8">
        <v>0.8105</v>
      </c>
    </row>
    <row r="182" spans="2:7" x14ac:dyDescent="0.25">
      <c r="B182" s="8">
        <v>250</v>
      </c>
      <c r="C182" s="8">
        <v>35.340000000000003</v>
      </c>
      <c r="D182" s="8">
        <f t="shared" si="13"/>
        <v>0.85119999999999996</v>
      </c>
      <c r="E182" s="8">
        <v>0.14879999999999999</v>
      </c>
      <c r="F182" s="8">
        <f t="shared" si="14"/>
        <v>0.18840000000000001</v>
      </c>
      <c r="G182" s="8">
        <v>0.81159999999999999</v>
      </c>
    </row>
    <row r="183" spans="2:7" x14ac:dyDescent="0.25">
      <c r="B183" s="8">
        <v>250</v>
      </c>
      <c r="C183" s="8">
        <v>49.66</v>
      </c>
      <c r="D183" s="8">
        <f t="shared" si="13"/>
        <v>0.78790000000000004</v>
      </c>
      <c r="E183" s="8">
        <v>0.21210000000000001</v>
      </c>
      <c r="F183" s="8">
        <f t="shared" si="14"/>
        <v>0.19399999999999995</v>
      </c>
      <c r="G183" s="8">
        <v>0.80600000000000005</v>
      </c>
    </row>
    <row r="184" spans="2:7" x14ac:dyDescent="0.25">
      <c r="B184" s="8">
        <v>250</v>
      </c>
      <c r="C184" s="8">
        <v>62.81</v>
      </c>
      <c r="D184" s="8">
        <f t="shared" si="13"/>
        <v>0.72760000000000002</v>
      </c>
      <c r="E184" s="8">
        <v>0.27239999999999998</v>
      </c>
      <c r="F184" s="8">
        <f t="shared" si="14"/>
        <v>0.21660000000000001</v>
      </c>
      <c r="G184" s="8">
        <v>0.78339999999999999</v>
      </c>
    </row>
    <row r="185" spans="2:7" x14ac:dyDescent="0.25">
      <c r="B185" s="8">
        <v>250</v>
      </c>
      <c r="C185" s="8">
        <v>75.88</v>
      </c>
      <c r="D185" s="8">
        <f t="shared" si="13"/>
        <v>0.65880000000000005</v>
      </c>
      <c r="E185" s="8">
        <v>0.3412</v>
      </c>
      <c r="F185" s="8">
        <f t="shared" si="14"/>
        <v>0.24590000000000001</v>
      </c>
      <c r="G185" s="8">
        <v>0.75409999999999999</v>
      </c>
    </row>
    <row r="186" spans="2:7" x14ac:dyDescent="0.25">
      <c r="B186" s="8">
        <v>250</v>
      </c>
      <c r="C186" s="8">
        <v>83.22</v>
      </c>
      <c r="D186" s="8">
        <f t="shared" si="13"/>
        <v>0.61129999999999995</v>
      </c>
      <c r="E186" s="8">
        <v>0.38869999999999999</v>
      </c>
      <c r="F186" s="8">
        <f t="shared" si="14"/>
        <v>0.27</v>
      </c>
      <c r="G186" s="8">
        <v>0.73</v>
      </c>
    </row>
    <row r="187" spans="2:7" x14ac:dyDescent="0.25">
      <c r="B187" s="8">
        <v>250</v>
      </c>
      <c r="C187" s="8">
        <v>86.54</v>
      </c>
      <c r="D187" s="8">
        <f t="shared" si="13"/>
        <v>0.58529999999999993</v>
      </c>
      <c r="E187" s="8">
        <v>0.41470000000000001</v>
      </c>
      <c r="F187" s="8">
        <f t="shared" si="14"/>
        <v>0.28739999999999999</v>
      </c>
      <c r="G187" s="8">
        <v>0.71260000000000001</v>
      </c>
    </row>
    <row r="188" spans="2:7" x14ac:dyDescent="0.25">
      <c r="B188" s="8">
        <v>250</v>
      </c>
      <c r="C188" s="8">
        <v>88.39</v>
      </c>
      <c r="D188" s="8">
        <f t="shared" si="13"/>
        <v>0.56830000000000003</v>
      </c>
      <c r="E188" s="8">
        <v>0.43169999999999997</v>
      </c>
      <c r="F188" s="8">
        <f t="shared" si="14"/>
        <v>0.29700000000000004</v>
      </c>
      <c r="G188" s="8">
        <v>0.70299999999999996</v>
      </c>
    </row>
    <row r="189" spans="2:7" x14ac:dyDescent="0.25">
      <c r="B189" s="8">
        <v>250</v>
      </c>
      <c r="C189" s="8">
        <v>91.61</v>
      </c>
      <c r="D189" s="8">
        <f t="shared" si="13"/>
        <v>0.53200000000000003</v>
      </c>
      <c r="E189" s="8">
        <v>0.46800000000000003</v>
      </c>
    </row>
    <row r="190" spans="2:7" x14ac:dyDescent="0.25">
      <c r="B190" s="8">
        <v>260</v>
      </c>
      <c r="C190" s="8">
        <v>3.37</v>
      </c>
      <c r="D190" s="8">
        <f t="shared" si="13"/>
        <v>0.9919</v>
      </c>
      <c r="E190" s="8">
        <v>8.0999999999999996E-3</v>
      </c>
      <c r="F190" s="8">
        <f t="shared" si="14"/>
        <v>0.79169999999999996</v>
      </c>
      <c r="G190" s="8">
        <v>0.20830000000000001</v>
      </c>
    </row>
    <row r="191" spans="2:7" x14ac:dyDescent="0.25">
      <c r="B191" s="8">
        <v>260</v>
      </c>
      <c r="C191" s="8">
        <v>5.58</v>
      </c>
      <c r="D191" s="8">
        <f t="shared" si="13"/>
        <v>0.97919999999999996</v>
      </c>
      <c r="E191" s="8">
        <v>2.0799999999999999E-2</v>
      </c>
      <c r="F191" s="8">
        <f t="shared" si="14"/>
        <v>0.54889999999999994</v>
      </c>
      <c r="G191" s="8">
        <v>0.4511</v>
      </c>
    </row>
    <row r="192" spans="2:7" x14ac:dyDescent="0.25">
      <c r="B192" s="8">
        <v>260</v>
      </c>
      <c r="C192" s="8">
        <v>7.23</v>
      </c>
      <c r="D192" s="8">
        <f t="shared" si="13"/>
        <v>0.97160000000000002</v>
      </c>
      <c r="E192" s="8">
        <v>2.8400000000000002E-2</v>
      </c>
      <c r="F192" s="8">
        <f t="shared" si="14"/>
        <v>0.46179999999999999</v>
      </c>
      <c r="G192" s="8">
        <v>0.53820000000000001</v>
      </c>
    </row>
    <row r="193" spans="2:7" x14ac:dyDescent="0.25">
      <c r="B193" s="8">
        <v>260</v>
      </c>
      <c r="C193" s="8">
        <v>10.53</v>
      </c>
      <c r="D193" s="8">
        <f t="shared" si="13"/>
        <v>0.95499999999999996</v>
      </c>
      <c r="E193" s="8">
        <v>4.4999999999999998E-2</v>
      </c>
      <c r="F193" s="8">
        <f t="shared" si="14"/>
        <v>0.36519999999999997</v>
      </c>
      <c r="G193" s="8">
        <v>0.63480000000000003</v>
      </c>
    </row>
    <row r="194" spans="2:7" x14ac:dyDescent="0.25">
      <c r="B194" s="8">
        <v>260</v>
      </c>
      <c r="C194" s="8">
        <v>13.49</v>
      </c>
      <c r="D194" s="8">
        <f t="shared" si="13"/>
        <v>0.94040000000000001</v>
      </c>
      <c r="E194" s="8">
        <v>5.96E-2</v>
      </c>
      <c r="F194" s="8">
        <f t="shared" si="14"/>
        <v>0.32130000000000003</v>
      </c>
      <c r="G194" s="8">
        <v>0.67869999999999997</v>
      </c>
    </row>
    <row r="195" spans="2:7" x14ac:dyDescent="0.25">
      <c r="B195" s="8">
        <v>260</v>
      </c>
      <c r="C195" s="8">
        <v>21.62</v>
      </c>
      <c r="D195" s="8">
        <f t="shared" si="13"/>
        <v>0.89559999999999995</v>
      </c>
      <c r="E195" s="8">
        <v>0.10440000000000001</v>
      </c>
      <c r="F195" s="8">
        <f t="shared" si="14"/>
        <v>0.26580000000000004</v>
      </c>
      <c r="G195" s="8">
        <v>0.73419999999999996</v>
      </c>
    </row>
    <row r="196" spans="2:7" x14ac:dyDescent="0.25">
      <c r="B196" s="8">
        <v>260</v>
      </c>
      <c r="C196" s="8">
        <v>28.15</v>
      </c>
      <c r="D196" s="8">
        <f t="shared" si="13"/>
        <v>0.85860000000000003</v>
      </c>
      <c r="E196" s="8">
        <v>0.1414</v>
      </c>
      <c r="F196" s="8">
        <f t="shared" si="14"/>
        <v>0.25370000000000004</v>
      </c>
      <c r="G196" s="8">
        <v>0.74629999999999996</v>
      </c>
    </row>
    <row r="197" spans="2:7" x14ac:dyDescent="0.25">
      <c r="B197" s="8">
        <v>260</v>
      </c>
      <c r="C197" s="8">
        <v>4.38</v>
      </c>
      <c r="D197" s="8">
        <f t="shared" si="13"/>
        <v>0.98819999999999997</v>
      </c>
      <c r="E197" s="8">
        <v>1.18E-2</v>
      </c>
      <c r="F197" s="8">
        <f t="shared" si="14"/>
        <v>0.82319999999999993</v>
      </c>
      <c r="G197" s="8">
        <v>0.17680000000000001</v>
      </c>
    </row>
    <row r="198" spans="2:7" x14ac:dyDescent="0.25">
      <c r="B198" s="8">
        <v>260</v>
      </c>
      <c r="C198" s="8">
        <v>5.31</v>
      </c>
      <c r="D198" s="8">
        <f t="shared" si="13"/>
        <v>0.9869</v>
      </c>
      <c r="E198" s="8">
        <v>1.3100000000000001E-2</v>
      </c>
      <c r="F198" s="8">
        <f t="shared" si="14"/>
        <v>0.72510000000000008</v>
      </c>
      <c r="G198" s="8">
        <v>0.27489999999999998</v>
      </c>
    </row>
    <row r="199" spans="2:7" x14ac:dyDescent="0.25">
      <c r="B199" s="8">
        <v>260</v>
      </c>
      <c r="C199" s="8">
        <v>7.08</v>
      </c>
      <c r="D199" s="8">
        <f t="shared" si="13"/>
        <v>0.96989999999999998</v>
      </c>
      <c r="E199" s="8">
        <v>3.0099999999999998E-2</v>
      </c>
      <c r="F199" s="8">
        <f t="shared" si="14"/>
        <v>0.60289999999999999</v>
      </c>
      <c r="G199" s="8">
        <v>0.39710000000000001</v>
      </c>
    </row>
    <row r="200" spans="2:7" x14ac:dyDescent="0.25">
      <c r="B200" s="8">
        <v>260</v>
      </c>
      <c r="C200" s="8">
        <v>10.62</v>
      </c>
      <c r="D200" s="8">
        <f t="shared" si="13"/>
        <v>0.94359999999999999</v>
      </c>
      <c r="E200" s="8">
        <v>5.6399999999999999E-2</v>
      </c>
      <c r="F200" s="8">
        <f t="shared" si="14"/>
        <v>0.4718</v>
      </c>
      <c r="G200" s="8">
        <v>0.5282</v>
      </c>
    </row>
    <row r="201" spans="2:7" x14ac:dyDescent="0.25">
      <c r="B201" s="8">
        <v>260</v>
      </c>
      <c r="C201" s="8">
        <v>13.86</v>
      </c>
      <c r="D201" s="8">
        <f t="shared" si="13"/>
        <v>0.91830000000000001</v>
      </c>
      <c r="E201" s="8">
        <v>8.1699999999999995E-2</v>
      </c>
      <c r="F201" s="8">
        <f t="shared" si="14"/>
        <v>0.41479999999999995</v>
      </c>
      <c r="G201" s="8">
        <v>0.58520000000000005</v>
      </c>
    </row>
    <row r="202" spans="2:7" x14ac:dyDescent="0.25">
      <c r="B202" s="8">
        <v>260</v>
      </c>
      <c r="C202" s="8">
        <v>17.440000000000001</v>
      </c>
      <c r="D202" s="8">
        <f t="shared" si="13"/>
        <v>0.89049999999999996</v>
      </c>
      <c r="E202" s="8">
        <v>0.1095</v>
      </c>
      <c r="F202" s="8">
        <f t="shared" si="14"/>
        <v>0.37990000000000002</v>
      </c>
      <c r="G202" s="8">
        <v>0.62009999999999998</v>
      </c>
    </row>
    <row r="203" spans="2:7" x14ac:dyDescent="0.25">
      <c r="B203" s="8">
        <v>260</v>
      </c>
      <c r="C203" s="8">
        <v>21.93</v>
      </c>
      <c r="D203" s="8">
        <f t="shared" si="13"/>
        <v>0.86119999999999997</v>
      </c>
      <c r="E203" s="8">
        <v>0.13880000000000001</v>
      </c>
      <c r="F203" s="8">
        <f t="shared" si="14"/>
        <v>0.35599999999999998</v>
      </c>
      <c r="G203" s="8">
        <v>0.64400000000000002</v>
      </c>
    </row>
    <row r="204" spans="2:7" x14ac:dyDescent="0.25">
      <c r="B204" s="8">
        <v>260</v>
      </c>
      <c r="C204" s="8">
        <v>34.700000000000003</v>
      </c>
      <c r="D204" s="8">
        <f t="shared" si="13"/>
        <v>0.82230000000000003</v>
      </c>
      <c r="E204" s="8">
        <v>0.1777</v>
      </c>
      <c r="F204" s="8">
        <f t="shared" si="14"/>
        <v>0.25170000000000003</v>
      </c>
      <c r="G204" s="8">
        <v>0.74829999999999997</v>
      </c>
    </row>
    <row r="205" spans="2:7" x14ac:dyDescent="0.25">
      <c r="B205" s="8">
        <v>260</v>
      </c>
      <c r="C205" s="8">
        <v>41.71</v>
      </c>
      <c r="D205" s="8">
        <f t="shared" si="13"/>
        <v>0.78029999999999999</v>
      </c>
      <c r="E205" s="8">
        <v>0.21970000000000001</v>
      </c>
      <c r="F205" s="8">
        <f t="shared" si="14"/>
        <v>0.26300000000000001</v>
      </c>
      <c r="G205" s="8">
        <v>0.73699999999999999</v>
      </c>
    </row>
    <row r="206" spans="2:7" x14ac:dyDescent="0.25">
      <c r="B206" s="8">
        <v>260</v>
      </c>
      <c r="C206" s="8">
        <v>48.44</v>
      </c>
      <c r="D206" s="8">
        <f t="shared" si="13"/>
        <v>0.73599999999999999</v>
      </c>
      <c r="E206" s="8">
        <v>0.26400000000000001</v>
      </c>
      <c r="F206" s="8">
        <f t="shared" si="14"/>
        <v>0.27829999999999999</v>
      </c>
      <c r="G206" s="8">
        <v>0.72170000000000001</v>
      </c>
    </row>
    <row r="207" spans="2:7" x14ac:dyDescent="0.25">
      <c r="B207" s="8">
        <v>260</v>
      </c>
      <c r="C207" s="8">
        <v>55.59</v>
      </c>
      <c r="D207" s="8">
        <f t="shared" si="13"/>
        <v>0.68009999999999993</v>
      </c>
      <c r="E207" s="8">
        <v>0.31990000000000002</v>
      </c>
      <c r="F207" s="8">
        <f t="shared" si="14"/>
        <v>0.30349999999999999</v>
      </c>
      <c r="G207" s="8">
        <v>0.69650000000000001</v>
      </c>
    </row>
    <row r="208" spans="2:7" x14ac:dyDescent="0.25">
      <c r="B208" s="8">
        <v>260</v>
      </c>
      <c r="C208" s="8">
        <v>62.04</v>
      </c>
      <c r="D208" s="8">
        <f t="shared" si="13"/>
        <v>0.60919999999999996</v>
      </c>
      <c r="E208" s="8">
        <v>0.39079999999999998</v>
      </c>
      <c r="F208" s="8">
        <f t="shared" si="14"/>
        <v>0.35289999999999999</v>
      </c>
      <c r="G208" s="8">
        <v>0.64710000000000001</v>
      </c>
    </row>
    <row r="209" spans="2:7" x14ac:dyDescent="0.25">
      <c r="B209" s="8">
        <v>260</v>
      </c>
      <c r="C209" s="8">
        <v>65.64</v>
      </c>
      <c r="D209" s="8">
        <f t="shared" si="13"/>
        <v>0.5232</v>
      </c>
      <c r="E209" s="8">
        <v>0.4768</v>
      </c>
      <c r="F209" s="8">
        <f t="shared" si="14"/>
        <v>0.42269999999999996</v>
      </c>
      <c r="G209" s="8">
        <v>0.57730000000000004</v>
      </c>
    </row>
    <row r="210" spans="2:7" x14ac:dyDescent="0.25">
      <c r="B210" s="8">
        <v>260</v>
      </c>
    </row>
    <row r="211" spans="2:7" x14ac:dyDescent="0.25">
      <c r="B211" s="8">
        <v>260</v>
      </c>
      <c r="C211" s="8">
        <v>25.26</v>
      </c>
      <c r="D211" s="8">
        <f t="shared" si="13"/>
        <v>0.82940000000000003</v>
      </c>
      <c r="E211" s="8">
        <v>0.1706</v>
      </c>
      <c r="F211" s="8">
        <f t="shared" si="14"/>
        <v>0.35040000000000004</v>
      </c>
      <c r="G211" s="8">
        <v>0.64959999999999996</v>
      </c>
    </row>
    <row r="212" spans="2:7" x14ac:dyDescent="0.25">
      <c r="B212" s="8">
        <v>260</v>
      </c>
      <c r="C212" s="8">
        <v>27.97</v>
      </c>
      <c r="D212" s="8">
        <f t="shared" si="13"/>
        <v>0.8044</v>
      </c>
      <c r="E212" s="8">
        <v>0.1956</v>
      </c>
      <c r="F212" s="8">
        <f t="shared" si="14"/>
        <v>0.35250000000000004</v>
      </c>
      <c r="G212" s="8">
        <v>0.64749999999999996</v>
      </c>
    </row>
    <row r="213" spans="2:7" x14ac:dyDescent="0.25">
      <c r="B213" s="8">
        <v>260</v>
      </c>
      <c r="C213" s="8">
        <v>34.76</v>
      </c>
      <c r="D213" s="8">
        <f t="shared" si="13"/>
        <v>0.75429999999999997</v>
      </c>
      <c r="E213" s="8">
        <v>0.2457</v>
      </c>
      <c r="F213" s="8">
        <f t="shared" si="14"/>
        <v>0.36009999999999998</v>
      </c>
      <c r="G213" s="8">
        <v>0.63990000000000002</v>
      </c>
    </row>
    <row r="214" spans="2:7" x14ac:dyDescent="0.25">
      <c r="B214" s="8">
        <v>260</v>
      </c>
      <c r="C214" s="8">
        <v>39.99</v>
      </c>
      <c r="D214" s="8">
        <f t="shared" si="13"/>
        <v>0.70500000000000007</v>
      </c>
      <c r="E214" s="8">
        <v>0.29499999999999998</v>
      </c>
      <c r="F214" s="8">
        <f t="shared" si="14"/>
        <v>0.38429999999999997</v>
      </c>
      <c r="G214" s="8">
        <v>0.61570000000000003</v>
      </c>
    </row>
    <row r="215" spans="2:7" x14ac:dyDescent="0.25">
      <c r="B215" s="8">
        <v>260</v>
      </c>
      <c r="C215" s="8">
        <v>44.14</v>
      </c>
      <c r="D215" s="8">
        <f t="shared" si="13"/>
        <v>0.64400000000000002</v>
      </c>
      <c r="E215" s="8">
        <v>0.35599999999999998</v>
      </c>
      <c r="F215" s="8">
        <f t="shared" si="14"/>
        <v>0.42490000000000006</v>
      </c>
      <c r="G215" s="8">
        <v>0.57509999999999994</v>
      </c>
    </row>
    <row r="216" spans="2:7" x14ac:dyDescent="0.25">
      <c r="B216" s="8">
        <v>260</v>
      </c>
      <c r="C216" s="8">
        <v>45.69</v>
      </c>
      <c r="D216" s="8">
        <f t="shared" si="13"/>
        <v>0.60329999999999995</v>
      </c>
      <c r="E216" s="8">
        <v>0.3967</v>
      </c>
      <c r="F216" s="8">
        <f t="shared" si="14"/>
        <v>0.46679999999999999</v>
      </c>
      <c r="G216" s="8">
        <v>0.53320000000000001</v>
      </c>
    </row>
    <row r="217" spans="2:7" x14ac:dyDescent="0.25">
      <c r="B217" s="8">
        <v>260</v>
      </c>
    </row>
    <row r="218" spans="2:7" x14ac:dyDescent="0.25">
      <c r="B218" s="8">
        <v>280</v>
      </c>
      <c r="C218" s="8">
        <v>7.44</v>
      </c>
      <c r="F218" s="8">
        <f t="shared" si="14"/>
        <v>0.71089999999999998</v>
      </c>
      <c r="G218" s="8">
        <v>0.28910000000000002</v>
      </c>
    </row>
    <row r="219" spans="2:7" x14ac:dyDescent="0.25">
      <c r="B219" s="8">
        <v>280</v>
      </c>
      <c r="C219" s="8">
        <v>9.15</v>
      </c>
      <c r="F219" s="8">
        <f t="shared" si="14"/>
        <v>0.63880000000000003</v>
      </c>
      <c r="G219" s="8">
        <v>0.36120000000000002</v>
      </c>
    </row>
    <row r="220" spans="2:7" x14ac:dyDescent="0.25">
      <c r="B220" s="8">
        <v>280</v>
      </c>
      <c r="C220" s="8">
        <v>11.27</v>
      </c>
      <c r="F220" s="8">
        <f t="shared" si="14"/>
        <v>0.57489999999999997</v>
      </c>
      <c r="G220" s="8">
        <v>0.42509999999999998</v>
      </c>
    </row>
    <row r="221" spans="2:7" x14ac:dyDescent="0.25">
      <c r="B221" s="8">
        <v>280</v>
      </c>
      <c r="C221" s="8">
        <v>13.8</v>
      </c>
      <c r="D221" s="8">
        <f t="shared" si="13"/>
        <v>0.89</v>
      </c>
      <c r="E221" s="8">
        <v>0.11</v>
      </c>
      <c r="F221" s="8">
        <f t="shared" si="14"/>
        <v>0.52689999999999992</v>
      </c>
      <c r="G221" s="8">
        <v>0.47310000000000002</v>
      </c>
    </row>
    <row r="222" spans="2:7" x14ac:dyDescent="0.25">
      <c r="B222" s="8">
        <v>280</v>
      </c>
      <c r="C222" s="8">
        <v>18.350000000000001</v>
      </c>
      <c r="D222" s="8">
        <f t="shared" si="13"/>
        <v>0.84199999999999997</v>
      </c>
      <c r="E222" s="8">
        <v>0.158</v>
      </c>
      <c r="F222" s="8">
        <f t="shared" si="14"/>
        <v>0.48340000000000005</v>
      </c>
      <c r="G222" s="8">
        <v>0.51659999999999995</v>
      </c>
    </row>
    <row r="223" spans="2:7" x14ac:dyDescent="0.25">
      <c r="B223" s="8">
        <v>280</v>
      </c>
      <c r="C223" s="8">
        <v>20.3</v>
      </c>
      <c r="D223" s="8">
        <f t="shared" si="13"/>
        <v>0.82089999999999996</v>
      </c>
      <c r="E223" s="8">
        <v>0.17910000000000001</v>
      </c>
      <c r="F223" s="8">
        <f t="shared" si="14"/>
        <v>0.47450000000000003</v>
      </c>
      <c r="G223" s="8">
        <v>0.52549999999999997</v>
      </c>
    </row>
    <row r="224" spans="2:7" x14ac:dyDescent="0.25">
      <c r="B224" s="8">
        <v>280</v>
      </c>
      <c r="C224" s="8">
        <v>22.62</v>
      </c>
      <c r="D224" s="8">
        <f t="shared" ref="D224:D240" si="15">1-E224</f>
        <v>0.8</v>
      </c>
      <c r="E224" s="8">
        <v>0.2</v>
      </c>
      <c r="F224" s="8">
        <f t="shared" ref="F224:F240" si="16">1-G224</f>
        <v>0.47360000000000002</v>
      </c>
      <c r="G224" s="8">
        <v>0.52639999999999998</v>
      </c>
    </row>
    <row r="225" spans="2:7" x14ac:dyDescent="0.25">
      <c r="B225" s="8">
        <v>280</v>
      </c>
      <c r="C225" s="8">
        <v>24.56</v>
      </c>
      <c r="D225" s="8">
        <f t="shared" si="15"/>
        <v>0.78049999999999997</v>
      </c>
      <c r="E225" s="8">
        <v>0.2195</v>
      </c>
    </row>
    <row r="226" spans="2:7" x14ac:dyDescent="0.25">
      <c r="B226" s="8">
        <v>280</v>
      </c>
      <c r="C226" s="8">
        <v>26.01</v>
      </c>
      <c r="D226" s="8">
        <f t="shared" si="15"/>
        <v>0.76419999999999999</v>
      </c>
      <c r="E226" s="8">
        <v>0.23580000000000001</v>
      </c>
      <c r="F226" s="8">
        <f t="shared" si="16"/>
        <v>0.48060000000000003</v>
      </c>
      <c r="G226" s="8">
        <v>0.51939999999999997</v>
      </c>
    </row>
    <row r="227" spans="2:7" x14ac:dyDescent="0.25">
      <c r="B227" s="8">
        <v>280</v>
      </c>
      <c r="C227" s="8">
        <v>27.45</v>
      </c>
      <c r="D227" s="8">
        <f t="shared" si="15"/>
        <v>0.74639999999999995</v>
      </c>
      <c r="E227" s="8">
        <v>0.25359999999999999</v>
      </c>
      <c r="F227" s="8">
        <f t="shared" si="16"/>
        <v>0.48670000000000002</v>
      </c>
      <c r="G227" s="8">
        <v>0.51329999999999998</v>
      </c>
    </row>
    <row r="228" spans="2:7" x14ac:dyDescent="0.25">
      <c r="B228" s="8">
        <v>280</v>
      </c>
      <c r="C228" s="8">
        <v>29.25</v>
      </c>
      <c r="D228" s="8">
        <f t="shared" si="15"/>
        <v>0.72550000000000003</v>
      </c>
      <c r="E228" s="8">
        <v>0.27450000000000002</v>
      </c>
      <c r="F228" s="8">
        <f t="shared" si="16"/>
        <v>0.49609999999999999</v>
      </c>
      <c r="G228" s="8">
        <v>0.50390000000000001</v>
      </c>
    </row>
    <row r="229" spans="2:7" x14ac:dyDescent="0.25">
      <c r="B229" s="8">
        <v>280</v>
      </c>
      <c r="C229" s="8">
        <v>31.19</v>
      </c>
      <c r="D229" s="8">
        <f t="shared" si="15"/>
        <v>0.69569999999999999</v>
      </c>
      <c r="E229" s="8">
        <v>0.30430000000000001</v>
      </c>
      <c r="F229" s="8">
        <f t="shared" si="16"/>
        <v>0.52600000000000002</v>
      </c>
      <c r="G229" s="8">
        <v>0.47399999999999998</v>
      </c>
    </row>
    <row r="230" spans="2:7" x14ac:dyDescent="0.25">
      <c r="B230" s="8">
        <v>280</v>
      </c>
      <c r="C230" s="8">
        <v>31.96</v>
      </c>
      <c r="D230" s="8">
        <f t="shared" si="15"/>
        <v>0.67300000000000004</v>
      </c>
      <c r="E230" s="8">
        <v>0.32700000000000001</v>
      </c>
      <c r="F230" s="8">
        <f t="shared" si="16"/>
        <v>0.55279999999999996</v>
      </c>
      <c r="G230" s="8">
        <v>0.44719999999999999</v>
      </c>
    </row>
    <row r="231" spans="2:7" x14ac:dyDescent="0.25">
      <c r="B231" s="8">
        <v>280</v>
      </c>
    </row>
    <row r="232" spans="2:7" x14ac:dyDescent="0.25">
      <c r="B232" s="8">
        <v>290</v>
      </c>
      <c r="C232" s="8">
        <v>8.5299999999999994</v>
      </c>
      <c r="D232" s="8">
        <f t="shared" si="15"/>
        <v>0.95950000000000002</v>
      </c>
      <c r="E232" s="8">
        <v>4.0500000000000001E-2</v>
      </c>
      <c r="F232" s="8">
        <f t="shared" si="16"/>
        <v>0.80120000000000002</v>
      </c>
      <c r="G232" s="8">
        <v>0.1988</v>
      </c>
    </row>
    <row r="233" spans="2:7" x14ac:dyDescent="0.25">
      <c r="B233" s="8">
        <v>290</v>
      </c>
      <c r="C233" s="8">
        <v>9.49</v>
      </c>
      <c r="D233" s="8">
        <f t="shared" si="15"/>
        <v>0.94720000000000004</v>
      </c>
      <c r="E233" s="8">
        <v>5.28E-2</v>
      </c>
      <c r="F233" s="8">
        <f t="shared" si="16"/>
        <v>0.76580000000000004</v>
      </c>
      <c r="G233" s="8">
        <v>0.23419999999999999</v>
      </c>
    </row>
    <row r="234" spans="2:7" x14ac:dyDescent="0.25">
      <c r="B234" s="8">
        <v>290</v>
      </c>
      <c r="C234" s="8">
        <v>11.29</v>
      </c>
      <c r="D234" s="8">
        <f t="shared" si="15"/>
        <v>0.91959999999999997</v>
      </c>
      <c r="E234" s="8">
        <v>8.0399999999999999E-2</v>
      </c>
      <c r="F234" s="8">
        <f t="shared" si="16"/>
        <v>0.71330000000000005</v>
      </c>
      <c r="G234" s="8">
        <v>0.28670000000000001</v>
      </c>
    </row>
    <row r="235" spans="2:7" x14ac:dyDescent="0.25">
      <c r="B235" s="8">
        <v>290</v>
      </c>
      <c r="C235" s="8">
        <v>11.72</v>
      </c>
      <c r="F235" s="8">
        <f t="shared" si="16"/>
        <v>0.70310000000000006</v>
      </c>
      <c r="G235" s="8">
        <v>0.2969</v>
      </c>
    </row>
    <row r="236" spans="2:7" x14ac:dyDescent="0.25">
      <c r="B236" s="8">
        <v>290</v>
      </c>
      <c r="C236" s="8">
        <v>13.88</v>
      </c>
      <c r="D236" s="8">
        <f t="shared" si="15"/>
        <v>0.87739999999999996</v>
      </c>
      <c r="E236" s="8">
        <v>0.1226</v>
      </c>
      <c r="F236" s="8">
        <f t="shared" si="16"/>
        <v>0.6704</v>
      </c>
      <c r="G236" s="8">
        <v>0.3296</v>
      </c>
    </row>
    <row r="237" spans="2:7" x14ac:dyDescent="0.25">
      <c r="B237" s="8">
        <v>290</v>
      </c>
      <c r="C237" s="8">
        <v>15.65</v>
      </c>
      <c r="D237" s="8">
        <f t="shared" si="15"/>
        <v>0.85509999999999997</v>
      </c>
      <c r="E237" s="8">
        <v>0.1449</v>
      </c>
      <c r="F237" s="8">
        <f t="shared" si="16"/>
        <v>0.65400000000000003</v>
      </c>
      <c r="G237" s="8">
        <v>0.34599999999999997</v>
      </c>
    </row>
    <row r="238" spans="2:7" x14ac:dyDescent="0.25">
      <c r="B238" s="8">
        <v>290</v>
      </c>
      <c r="C238" s="8">
        <v>17.27</v>
      </c>
      <c r="D238" s="8">
        <f t="shared" si="15"/>
        <v>0.83299999999999996</v>
      </c>
      <c r="E238" s="8">
        <v>0.16700000000000001</v>
      </c>
      <c r="F238" s="8">
        <f t="shared" si="16"/>
        <v>0.64749999999999996</v>
      </c>
      <c r="G238" s="8">
        <v>0.35249999999999998</v>
      </c>
    </row>
    <row r="239" spans="2:7" x14ac:dyDescent="0.25">
      <c r="B239" s="8">
        <v>290</v>
      </c>
      <c r="C239" s="8">
        <v>18.95</v>
      </c>
      <c r="D239" s="8">
        <f t="shared" si="15"/>
        <v>0.80800000000000005</v>
      </c>
      <c r="E239" s="8">
        <v>0.192</v>
      </c>
      <c r="F239" s="8">
        <f t="shared" si="16"/>
        <v>0.6673</v>
      </c>
      <c r="G239" s="8">
        <v>0.3327</v>
      </c>
    </row>
    <row r="240" spans="2:7" x14ac:dyDescent="0.25">
      <c r="B240" s="8">
        <v>290</v>
      </c>
      <c r="C240" s="8">
        <v>19.71</v>
      </c>
      <c r="D240" s="8">
        <f t="shared" si="15"/>
        <v>0.79349999999999998</v>
      </c>
      <c r="E240" s="8">
        <v>0.20649999999999999</v>
      </c>
      <c r="F240" s="8">
        <f t="shared" si="16"/>
        <v>0.67589999999999995</v>
      </c>
      <c r="G240" s="8">
        <v>0.3241</v>
      </c>
    </row>
    <row r="241" spans="1:7" ht="15.75" thickBot="1" x14ac:dyDescent="0.3">
      <c r="A241" s="9"/>
      <c r="B241" s="9">
        <v>290</v>
      </c>
      <c r="C241" s="9"/>
      <c r="D241" s="9"/>
      <c r="E241" s="9"/>
      <c r="F241" s="9"/>
      <c r="G241" s="9"/>
    </row>
    <row r="242" spans="1:7" x14ac:dyDescent="0.25">
      <c r="A242" s="18" t="s">
        <v>56</v>
      </c>
      <c r="B242" s="8">
        <v>278.14999999999998</v>
      </c>
      <c r="C242" s="8">
        <v>4.8049999999999997</v>
      </c>
      <c r="D242" s="8">
        <f>1-E242</f>
        <v>0.99119999999999997</v>
      </c>
      <c r="E242" s="8">
        <v>8.8000000000000005E-3</v>
      </c>
      <c r="F242" s="8">
        <f>1-G242</f>
        <v>0.8861</v>
      </c>
      <c r="G242" s="8">
        <v>0.1139</v>
      </c>
    </row>
    <row r="243" spans="1:7" x14ac:dyDescent="0.25">
      <c r="B243" s="8">
        <v>278.14999999999998</v>
      </c>
      <c r="C243" s="8">
        <v>5.8639999999999999</v>
      </c>
      <c r="D243" s="8">
        <f t="shared" ref="D243:D284" si="17">1-E243</f>
        <v>0.9798</v>
      </c>
      <c r="E243" s="8">
        <v>2.0199999999999999E-2</v>
      </c>
      <c r="F243" s="8">
        <f t="shared" ref="F243:F281" si="18">1-G243</f>
        <v>0.81579999999999997</v>
      </c>
      <c r="G243" s="8">
        <v>0.1842</v>
      </c>
    </row>
    <row r="244" spans="1:7" x14ac:dyDescent="0.25">
      <c r="B244" s="8">
        <v>278.14999999999998</v>
      </c>
      <c r="C244" s="8">
        <v>6.9329999999999998</v>
      </c>
      <c r="D244" s="8">
        <f t="shared" si="17"/>
        <v>0.97509999999999997</v>
      </c>
      <c r="E244" s="8">
        <v>2.4899999999999999E-2</v>
      </c>
      <c r="F244" s="8">
        <f t="shared" si="18"/>
        <v>0.74669999999999992</v>
      </c>
      <c r="G244" s="8">
        <v>0.25330000000000003</v>
      </c>
    </row>
    <row r="245" spans="1:7" x14ac:dyDescent="0.25">
      <c r="B245" s="8">
        <v>278.14999999999998</v>
      </c>
      <c r="C245" s="8">
        <v>7.7219999999999995</v>
      </c>
      <c r="D245" s="8">
        <f t="shared" si="17"/>
        <v>0.97099999999999997</v>
      </c>
      <c r="E245" s="8">
        <v>2.9000000000000001E-2</v>
      </c>
      <c r="F245" s="8">
        <f t="shared" si="18"/>
        <v>0.72110000000000007</v>
      </c>
      <c r="G245" s="8">
        <v>0.27889999999999998</v>
      </c>
    </row>
    <row r="246" spans="1:7" x14ac:dyDescent="0.25">
      <c r="B246" s="8">
        <v>278.14999999999998</v>
      </c>
      <c r="C246" s="8">
        <v>8.6709999999999994</v>
      </c>
      <c r="D246" s="8">
        <f t="shared" si="17"/>
        <v>0.95550000000000002</v>
      </c>
      <c r="E246" s="8">
        <v>4.4499999999999998E-2</v>
      </c>
      <c r="F246" s="8">
        <f t="shared" si="18"/>
        <v>0.69629999999999992</v>
      </c>
      <c r="G246" s="8">
        <v>0.30370000000000003</v>
      </c>
    </row>
    <row r="247" spans="1:7" x14ac:dyDescent="0.25">
      <c r="B247" s="8">
        <v>278.14999999999998</v>
      </c>
      <c r="C247" s="8">
        <v>9.9610000000000003</v>
      </c>
      <c r="D247" s="8">
        <f t="shared" si="17"/>
        <v>0.93859999999999999</v>
      </c>
      <c r="E247" s="8">
        <v>6.1400000000000003E-2</v>
      </c>
      <c r="F247" s="8">
        <f t="shared" si="18"/>
        <v>0.65890000000000004</v>
      </c>
      <c r="G247" s="8">
        <v>0.34110000000000001</v>
      </c>
    </row>
    <row r="248" spans="1:7" x14ac:dyDescent="0.25">
      <c r="B248" s="8">
        <v>278.14999999999998</v>
      </c>
      <c r="C248" s="8">
        <v>10.86</v>
      </c>
      <c r="D248" s="8">
        <f t="shared" si="17"/>
        <v>0.93389999999999995</v>
      </c>
      <c r="E248" s="8">
        <v>6.6100000000000006E-2</v>
      </c>
      <c r="F248" s="8">
        <f t="shared" si="18"/>
        <v>0.64190000000000003</v>
      </c>
      <c r="G248" s="8">
        <v>0.35809999999999997</v>
      </c>
    </row>
    <row r="249" spans="1:7" x14ac:dyDescent="0.25">
      <c r="B249" s="8">
        <v>278.14999999999998</v>
      </c>
      <c r="C249" s="8">
        <v>11.4</v>
      </c>
      <c r="D249" s="8">
        <f t="shared" si="17"/>
        <v>0.92820000000000003</v>
      </c>
      <c r="E249" s="8">
        <v>7.1800000000000003E-2</v>
      </c>
      <c r="F249" s="8">
        <f t="shared" si="18"/>
        <v>0.62380000000000002</v>
      </c>
      <c r="G249" s="8">
        <v>0.37619999999999998</v>
      </c>
    </row>
    <row r="250" spans="1:7" x14ac:dyDescent="0.25">
      <c r="B250" s="8">
        <v>278.14999999999998</v>
      </c>
      <c r="C250" s="8">
        <v>11.77</v>
      </c>
      <c r="D250" s="8">
        <f t="shared" si="17"/>
        <v>0.92510000000000003</v>
      </c>
      <c r="E250" s="8">
        <v>7.4899999999999994E-2</v>
      </c>
      <c r="F250" s="8">
        <f t="shared" si="18"/>
        <v>0.61820000000000008</v>
      </c>
      <c r="G250" s="8">
        <v>0.38179999999999997</v>
      </c>
    </row>
    <row r="251" spans="1:7" x14ac:dyDescent="0.25">
      <c r="B251" s="8">
        <v>278.14999999999998</v>
      </c>
      <c r="C251" s="8">
        <v>12.6</v>
      </c>
      <c r="D251" s="8">
        <f t="shared" si="17"/>
        <v>0.91810000000000003</v>
      </c>
      <c r="E251" s="8">
        <v>8.1900000000000001E-2</v>
      </c>
      <c r="F251" s="8">
        <f t="shared" si="18"/>
        <v>0.58979999999999999</v>
      </c>
      <c r="G251" s="8">
        <v>0.41020000000000001</v>
      </c>
    </row>
    <row r="252" spans="1:7" x14ac:dyDescent="0.25">
      <c r="B252" s="8">
        <v>278.14999999999998</v>
      </c>
      <c r="C252" s="8">
        <v>13.687999999999999</v>
      </c>
      <c r="D252" s="8">
        <f t="shared" si="17"/>
        <v>0.90880000000000005</v>
      </c>
      <c r="E252" s="8">
        <v>9.1200000000000003E-2</v>
      </c>
      <c r="F252" s="8">
        <f t="shared" si="18"/>
        <v>0.56689999999999996</v>
      </c>
      <c r="G252" s="8">
        <v>0.43309999999999998</v>
      </c>
    </row>
    <row r="253" spans="1:7" x14ac:dyDescent="0.25">
      <c r="B253" s="8">
        <v>278.14999999999998</v>
      </c>
      <c r="C253" s="8">
        <v>14.487</v>
      </c>
      <c r="D253" s="8">
        <f t="shared" si="17"/>
        <v>0.90300000000000002</v>
      </c>
      <c r="E253" s="8">
        <v>9.7000000000000003E-2</v>
      </c>
      <c r="F253" s="8">
        <f t="shared" si="18"/>
        <v>0.54930000000000001</v>
      </c>
      <c r="G253" s="8">
        <v>0.45069999999999999</v>
      </c>
    </row>
    <row r="254" spans="1:7" x14ac:dyDescent="0.25">
      <c r="B254" s="8">
        <v>278.14999999999998</v>
      </c>
      <c r="C254" s="8">
        <v>15.366999999999999</v>
      </c>
      <c r="D254" s="8">
        <f t="shared" si="17"/>
        <v>0.89739999999999998</v>
      </c>
      <c r="E254" s="8">
        <v>0.1026</v>
      </c>
      <c r="F254" s="8">
        <f t="shared" si="18"/>
        <v>0.52039999999999997</v>
      </c>
      <c r="G254" s="8">
        <v>0.47960000000000003</v>
      </c>
    </row>
    <row r="255" spans="1:7" x14ac:dyDescent="0.25">
      <c r="B255" s="8">
        <v>278.14999999999998</v>
      </c>
      <c r="C255" s="8">
        <v>16.984999999999999</v>
      </c>
      <c r="D255" s="8">
        <f t="shared" si="17"/>
        <v>0.8821</v>
      </c>
      <c r="E255" s="8">
        <v>0.1179</v>
      </c>
      <c r="F255" s="8">
        <f t="shared" si="18"/>
        <v>0.49619999989999997</v>
      </c>
      <c r="G255" s="8">
        <v>0.50380000010000003</v>
      </c>
    </row>
    <row r="256" spans="1:7" x14ac:dyDescent="0.25">
      <c r="B256" s="8">
        <v>278.14999999999998</v>
      </c>
      <c r="C256" s="8">
        <v>18.68</v>
      </c>
      <c r="D256" s="8">
        <f t="shared" si="17"/>
        <v>0.87090000000000001</v>
      </c>
      <c r="E256" s="8">
        <v>0.12909999999999999</v>
      </c>
      <c r="F256" s="8">
        <f t="shared" si="18"/>
        <v>0.49580000000000002</v>
      </c>
      <c r="G256" s="8">
        <v>0.50419999999999998</v>
      </c>
    </row>
    <row r="257" spans="2:7" x14ac:dyDescent="0.25">
      <c r="B257" s="8">
        <v>278.14999999999998</v>
      </c>
      <c r="C257" s="8">
        <v>19.253</v>
      </c>
      <c r="D257" s="8">
        <f t="shared" si="17"/>
        <v>0.86929999999999996</v>
      </c>
      <c r="E257" s="8">
        <v>0.13070000000000001</v>
      </c>
      <c r="F257" s="8">
        <f t="shared" si="18"/>
        <v>0.49450000000000005</v>
      </c>
      <c r="G257" s="8">
        <v>0.50549999999999995</v>
      </c>
    </row>
    <row r="258" spans="2:7" x14ac:dyDescent="0.25">
      <c r="B258" s="8">
        <v>290.14999999999998</v>
      </c>
      <c r="C258" s="8">
        <v>6.1740000000000004</v>
      </c>
      <c r="D258" s="8">
        <f t="shared" si="17"/>
        <v>0.98870000000000002</v>
      </c>
      <c r="E258" s="8">
        <v>1.1299999999999999E-2</v>
      </c>
      <c r="F258" s="8">
        <f t="shared" si="18"/>
        <v>0.95050000000000001</v>
      </c>
      <c r="G258" s="8">
        <v>4.9500000000000002E-2</v>
      </c>
    </row>
    <row r="259" spans="2:7" x14ac:dyDescent="0.25">
      <c r="B259" s="8">
        <v>290.14999999999998</v>
      </c>
      <c r="C259" s="8">
        <v>7.1</v>
      </c>
      <c r="D259" s="8">
        <f t="shared" si="17"/>
        <v>0.97719999999999996</v>
      </c>
      <c r="E259" s="8">
        <v>2.2800000000000001E-2</v>
      </c>
      <c r="F259" s="8">
        <f t="shared" si="18"/>
        <v>0.90210000000000001</v>
      </c>
      <c r="G259" s="8">
        <v>9.7900000000000001E-2</v>
      </c>
    </row>
    <row r="260" spans="2:7" x14ac:dyDescent="0.25">
      <c r="B260" s="8">
        <v>290.14999999999998</v>
      </c>
      <c r="C260" s="8">
        <v>8.3919999999999995</v>
      </c>
      <c r="D260" s="8">
        <f t="shared" si="17"/>
        <v>0.96509999999999996</v>
      </c>
      <c r="E260" s="8">
        <v>3.49E-2</v>
      </c>
      <c r="F260" s="8">
        <f t="shared" si="18"/>
        <v>0.84440000000000004</v>
      </c>
      <c r="G260" s="8">
        <v>0.15559999999999999</v>
      </c>
    </row>
    <row r="261" spans="2:7" x14ac:dyDescent="0.25">
      <c r="B261" s="8">
        <v>290.14999999999998</v>
      </c>
      <c r="C261" s="8">
        <v>9.23</v>
      </c>
      <c r="D261" s="8">
        <f t="shared" si="17"/>
        <v>0.94769999999999999</v>
      </c>
      <c r="E261" s="8">
        <v>5.2299999999999999E-2</v>
      </c>
      <c r="F261" s="8">
        <f t="shared" si="18"/>
        <v>0.7944</v>
      </c>
      <c r="G261" s="8">
        <v>0.2056</v>
      </c>
    </row>
    <row r="262" spans="2:7" x14ac:dyDescent="0.25">
      <c r="B262" s="8">
        <v>290.14999999999998</v>
      </c>
      <c r="C262" s="8">
        <v>9.3099999999999987</v>
      </c>
      <c r="D262" s="8">
        <f t="shared" si="17"/>
        <v>0.94589999999999996</v>
      </c>
      <c r="E262" s="8">
        <v>5.4100000000000002E-2</v>
      </c>
      <c r="F262" s="8">
        <f t="shared" si="18"/>
        <v>0.78110000000000002</v>
      </c>
      <c r="G262" s="8">
        <v>0.21890000000000001</v>
      </c>
    </row>
    <row r="263" spans="2:7" x14ac:dyDescent="0.25">
      <c r="B263" s="8">
        <v>290.14999999999998</v>
      </c>
      <c r="C263" s="8">
        <v>9.7900000000000009</v>
      </c>
      <c r="D263" s="8">
        <f t="shared" si="17"/>
        <v>0.94269999999999998</v>
      </c>
      <c r="E263" s="8">
        <v>5.7299999999999997E-2</v>
      </c>
      <c r="F263" s="8">
        <f t="shared" si="18"/>
        <v>0.7611</v>
      </c>
      <c r="G263" s="8">
        <v>0.2389</v>
      </c>
    </row>
    <row r="264" spans="2:7" x14ac:dyDescent="0.25">
      <c r="B264" s="8">
        <v>290.14999999999998</v>
      </c>
      <c r="C264" s="8">
        <v>9.93</v>
      </c>
      <c r="D264" s="8">
        <f t="shared" si="17"/>
        <v>0.9395</v>
      </c>
      <c r="E264" s="8">
        <v>6.0499999999999998E-2</v>
      </c>
    </row>
    <row r="265" spans="2:7" x14ac:dyDescent="0.25">
      <c r="B265" s="8">
        <v>290.14999999999998</v>
      </c>
      <c r="C265" s="8">
        <v>10.370000000000001</v>
      </c>
      <c r="D265" s="8">
        <f t="shared" si="17"/>
        <v>0.93389999999999995</v>
      </c>
      <c r="E265" s="8">
        <v>6.6100000000000006E-2</v>
      </c>
    </row>
    <row r="266" spans="2:7" x14ac:dyDescent="0.25">
      <c r="B266" s="8">
        <v>290.14999999999998</v>
      </c>
      <c r="C266" s="8">
        <v>10.93</v>
      </c>
      <c r="D266" s="8">
        <f t="shared" si="17"/>
        <v>0.92869999999999997</v>
      </c>
      <c r="E266" s="8">
        <v>7.1300000000000002E-2</v>
      </c>
    </row>
    <row r="267" spans="2:7" x14ac:dyDescent="0.25">
      <c r="B267" s="8">
        <v>290.14999999999998</v>
      </c>
      <c r="C267" s="8">
        <v>11.620000000000001</v>
      </c>
      <c r="D267" s="8">
        <f t="shared" si="17"/>
        <v>0.9204</v>
      </c>
      <c r="E267" s="8">
        <v>7.9600000000000004E-2</v>
      </c>
      <c r="F267" s="8">
        <f t="shared" si="18"/>
        <v>0.72649999999999992</v>
      </c>
      <c r="G267" s="8">
        <v>0.27350000000000002</v>
      </c>
    </row>
    <row r="268" spans="2:7" x14ac:dyDescent="0.25">
      <c r="B268" s="8">
        <v>290.14999999999998</v>
      </c>
      <c r="C268" s="8">
        <v>12.379999999999999</v>
      </c>
      <c r="D268" s="8">
        <f t="shared" si="17"/>
        <v>0.9103</v>
      </c>
      <c r="E268" s="8">
        <v>8.9700000000000002E-2</v>
      </c>
      <c r="F268" s="8">
        <f t="shared" si="18"/>
        <v>0.71799999999999997</v>
      </c>
      <c r="G268" s="8">
        <v>0.28199999999999997</v>
      </c>
    </row>
    <row r="269" spans="2:7" x14ac:dyDescent="0.25">
      <c r="B269" s="8">
        <v>290.14999999999998</v>
      </c>
      <c r="C269" s="8">
        <v>13.290000000000001</v>
      </c>
      <c r="D269" s="8">
        <f t="shared" si="17"/>
        <v>0.89690000000000003</v>
      </c>
      <c r="E269" s="8">
        <v>0.1031</v>
      </c>
      <c r="F269" s="8">
        <f t="shared" si="18"/>
        <v>0.70819999999999994</v>
      </c>
      <c r="G269" s="8">
        <v>0.2918</v>
      </c>
    </row>
    <row r="270" spans="2:7" x14ac:dyDescent="0.25">
      <c r="B270" s="8">
        <v>290.14999999999998</v>
      </c>
      <c r="C270" s="8">
        <v>13.558000000000002</v>
      </c>
      <c r="D270" s="8">
        <f t="shared" si="17"/>
        <v>0.89629999999999999</v>
      </c>
      <c r="E270" s="8">
        <v>0.1037</v>
      </c>
    </row>
    <row r="271" spans="2:7" x14ac:dyDescent="0.25">
      <c r="B271" s="8">
        <v>290.14999999999998</v>
      </c>
      <c r="C271" s="8">
        <v>14.547000000000001</v>
      </c>
      <c r="D271" s="8">
        <f t="shared" si="17"/>
        <v>0.8861</v>
      </c>
      <c r="E271" s="8">
        <v>0.1139</v>
      </c>
    </row>
    <row r="272" spans="2:7" x14ac:dyDescent="0.25">
      <c r="B272" s="8">
        <v>290.14999999999998</v>
      </c>
      <c r="C272" s="8">
        <v>14.997</v>
      </c>
      <c r="D272" s="8">
        <f t="shared" si="17"/>
        <v>0.87850000000000006</v>
      </c>
      <c r="E272" s="8">
        <v>0.1215</v>
      </c>
    </row>
    <row r="273" spans="1:7" x14ac:dyDescent="0.25">
      <c r="B273" s="8">
        <v>290.14999999999998</v>
      </c>
      <c r="C273" s="8">
        <v>16.026</v>
      </c>
      <c r="D273" s="8">
        <f t="shared" si="17"/>
        <v>0.86360000000000003</v>
      </c>
      <c r="E273" s="8">
        <v>0.13639999999999999</v>
      </c>
      <c r="F273" s="8">
        <f t="shared" si="18"/>
        <v>0.67989999999999995</v>
      </c>
      <c r="G273" s="8">
        <v>0.3201</v>
      </c>
    </row>
    <row r="274" spans="1:7" x14ac:dyDescent="0.25">
      <c r="B274" s="8">
        <v>290.14999999999998</v>
      </c>
      <c r="C274" s="8">
        <v>17.565000000000001</v>
      </c>
      <c r="D274" s="8">
        <f t="shared" si="17"/>
        <v>0.84550000000000003</v>
      </c>
      <c r="E274" s="8">
        <v>0.1545</v>
      </c>
      <c r="F274" s="8">
        <f>1-G274</f>
        <v>0.66379999999999995</v>
      </c>
      <c r="G274" s="8">
        <v>0.3362</v>
      </c>
    </row>
    <row r="275" spans="1:7" x14ac:dyDescent="0.25">
      <c r="B275" s="8">
        <v>290.14999999999998</v>
      </c>
      <c r="C275" s="8">
        <v>18.393999999999998</v>
      </c>
      <c r="D275" s="8">
        <f t="shared" si="17"/>
        <v>0.84289999999999998</v>
      </c>
      <c r="E275" s="8">
        <v>0.15709999999999999</v>
      </c>
      <c r="F275" s="8">
        <f t="shared" si="18"/>
        <v>0.67710000000000004</v>
      </c>
      <c r="G275" s="8">
        <v>0.32290000000000002</v>
      </c>
    </row>
    <row r="276" spans="1:7" x14ac:dyDescent="0.25">
      <c r="B276" s="8">
        <v>298.14999999999998</v>
      </c>
      <c r="C276" s="8">
        <v>7.1930000000000005</v>
      </c>
      <c r="D276" s="8">
        <f t="shared" si="17"/>
        <v>0.99039999999999995</v>
      </c>
      <c r="E276" s="8">
        <v>9.5999999999999992E-3</v>
      </c>
      <c r="F276" s="8">
        <f t="shared" si="18"/>
        <v>0.95750000000000002</v>
      </c>
      <c r="G276" s="8">
        <v>4.2500000000000003E-2</v>
      </c>
    </row>
    <row r="277" spans="1:7" x14ac:dyDescent="0.25">
      <c r="B277" s="8">
        <v>298.14999999999998</v>
      </c>
      <c r="C277" s="8">
        <v>8.02</v>
      </c>
      <c r="D277" s="8">
        <f t="shared" si="17"/>
        <v>0.97160000000000002</v>
      </c>
      <c r="E277" s="8">
        <v>2.8400000000000002E-2</v>
      </c>
      <c r="F277" s="8">
        <f t="shared" si="18"/>
        <v>0.92569999999999997</v>
      </c>
      <c r="G277" s="8">
        <v>7.4300000000000005E-2</v>
      </c>
    </row>
    <row r="278" spans="1:7" x14ac:dyDescent="0.25">
      <c r="B278" s="8">
        <v>298.14999999999998</v>
      </c>
      <c r="C278" s="8">
        <v>8.5920000000000005</v>
      </c>
      <c r="D278" s="8">
        <f t="shared" si="17"/>
        <v>0.96179999999999999</v>
      </c>
      <c r="E278" s="8">
        <v>3.8199999999999998E-2</v>
      </c>
      <c r="F278" s="8">
        <f t="shared" si="18"/>
        <v>0.89939999999999998</v>
      </c>
      <c r="G278" s="8">
        <v>0.10059999999999999</v>
      </c>
    </row>
    <row r="279" spans="1:7" x14ac:dyDescent="0.25">
      <c r="B279" s="8">
        <v>298.14999999999998</v>
      </c>
      <c r="C279" s="8">
        <v>9.0609999999999999</v>
      </c>
      <c r="D279" s="8">
        <f t="shared" si="17"/>
        <v>0.9556</v>
      </c>
      <c r="E279" s="8">
        <v>4.4400000000000002E-2</v>
      </c>
      <c r="F279" s="8">
        <f t="shared" si="18"/>
        <v>0.86670000000000003</v>
      </c>
      <c r="G279" s="8">
        <v>0.1333</v>
      </c>
    </row>
    <row r="280" spans="1:7" x14ac:dyDescent="0.25">
      <c r="B280" s="8">
        <v>298.14999999999998</v>
      </c>
      <c r="C280" s="8">
        <v>9.57</v>
      </c>
      <c r="D280" s="8">
        <f t="shared" si="17"/>
        <v>0.94389999999999996</v>
      </c>
      <c r="E280" s="8">
        <v>5.6099999999999997E-2</v>
      </c>
      <c r="F280" s="8">
        <f t="shared" si="18"/>
        <v>0.83909999999999996</v>
      </c>
      <c r="G280" s="8">
        <v>0.16089999999999999</v>
      </c>
    </row>
    <row r="281" spans="1:7" x14ac:dyDescent="0.25">
      <c r="B281" s="8">
        <v>298.14999999999998</v>
      </c>
      <c r="C281" s="8">
        <v>11.09</v>
      </c>
      <c r="D281" s="8">
        <f t="shared" si="17"/>
        <v>0.91920000000000002</v>
      </c>
      <c r="E281" s="8">
        <v>8.0799999999999997E-2</v>
      </c>
      <c r="F281" s="8">
        <f t="shared" si="18"/>
        <v>0.80620000000000003</v>
      </c>
      <c r="G281" s="8">
        <v>0.1938</v>
      </c>
    </row>
    <row r="282" spans="1:7" x14ac:dyDescent="0.25">
      <c r="B282" s="8">
        <v>298.14999999999998</v>
      </c>
      <c r="C282" s="8">
        <v>11.39</v>
      </c>
      <c r="D282" s="8">
        <f t="shared" si="17"/>
        <v>0.91220000000000001</v>
      </c>
      <c r="E282" s="8">
        <v>8.7800000000000003E-2</v>
      </c>
    </row>
    <row r="283" spans="1:7" ht="15.75" thickBot="1" x14ac:dyDescent="0.3">
      <c r="A283" s="9"/>
      <c r="B283" s="9">
        <v>298.14999999999998</v>
      </c>
      <c r="C283" s="9">
        <v>11.59</v>
      </c>
      <c r="D283" s="9">
        <f t="shared" si="17"/>
        <v>0.91100000000000003</v>
      </c>
      <c r="E283" s="9">
        <v>8.8999999999999996E-2</v>
      </c>
      <c r="F283" s="9"/>
      <c r="G283" s="9"/>
    </row>
    <row r="284" spans="1:7" x14ac:dyDescent="0.25">
      <c r="A284" s="18" t="s">
        <v>59</v>
      </c>
      <c r="B284" s="8">
        <v>218.15899999999999</v>
      </c>
      <c r="C284" s="8">
        <v>0.55840000000000001</v>
      </c>
      <c r="D284" s="8">
        <f t="shared" si="17"/>
        <v>1</v>
      </c>
      <c r="E284" s="8">
        <v>0</v>
      </c>
      <c r="F284" s="8">
        <f t="shared" ref="F284:F348" si="19">1-G284</f>
        <v>1</v>
      </c>
      <c r="G284" s="8">
        <v>0</v>
      </c>
    </row>
    <row r="285" spans="1:7" x14ac:dyDescent="0.25">
      <c r="B285" s="8">
        <v>218.17400000000001</v>
      </c>
      <c r="C285" s="8">
        <v>0.96250000000000002</v>
      </c>
      <c r="D285" s="8">
        <f t="shared" ref="D285:D348" si="20">1-E285</f>
        <v>0.99909999999999999</v>
      </c>
      <c r="E285" s="8">
        <v>8.9999999999999998E-4</v>
      </c>
      <c r="F285" s="8">
        <f t="shared" si="19"/>
        <v>0.60719999999999996</v>
      </c>
      <c r="G285" s="8">
        <v>0.39279999999999998</v>
      </c>
    </row>
    <row r="286" spans="1:7" x14ac:dyDescent="0.25">
      <c r="B286" s="8">
        <v>218.166</v>
      </c>
      <c r="C286" s="8">
        <v>1.4769000000000001</v>
      </c>
      <c r="D286" s="8">
        <f t="shared" si="20"/>
        <v>0.99760000000000004</v>
      </c>
      <c r="E286" s="8">
        <v>2.3999999999999998E-3</v>
      </c>
      <c r="F286" s="8">
        <f t="shared" si="19"/>
        <v>0.4073</v>
      </c>
      <c r="G286" s="8">
        <v>0.5927</v>
      </c>
    </row>
    <row r="287" spans="1:7" x14ac:dyDescent="0.25">
      <c r="B287" s="8">
        <v>218.15</v>
      </c>
      <c r="C287" s="8">
        <v>1.9502999999999999</v>
      </c>
      <c r="D287" s="8">
        <f t="shared" si="20"/>
        <v>0.99639999999999995</v>
      </c>
      <c r="E287" s="8">
        <v>3.5999999999999999E-3</v>
      </c>
      <c r="F287" s="8">
        <f t="shared" si="19"/>
        <v>0.32089999999999996</v>
      </c>
      <c r="G287" s="8">
        <v>0.67910000000000004</v>
      </c>
    </row>
    <row r="288" spans="1:7" x14ac:dyDescent="0.25">
      <c r="B288" s="8">
        <v>218.18100000000001</v>
      </c>
      <c r="C288" s="8">
        <v>3.0059999999999998</v>
      </c>
      <c r="D288" s="8">
        <f t="shared" si="20"/>
        <v>0.99350000000000005</v>
      </c>
      <c r="E288" s="8">
        <v>6.4999999999999997E-3</v>
      </c>
      <c r="F288" s="8">
        <f t="shared" si="19"/>
        <v>0.21250000000000002</v>
      </c>
      <c r="G288" s="8">
        <v>0.78749999999999998</v>
      </c>
    </row>
    <row r="289" spans="2:7" x14ac:dyDescent="0.25">
      <c r="B289" s="8">
        <v>218.15600000000001</v>
      </c>
      <c r="C289" s="8">
        <v>4.0155000000000003</v>
      </c>
      <c r="D289" s="8">
        <f t="shared" si="20"/>
        <v>0.9909</v>
      </c>
      <c r="E289" s="8">
        <v>9.1000000000000004E-3</v>
      </c>
      <c r="F289" s="8">
        <f t="shared" si="19"/>
        <v>0.17579999999999996</v>
      </c>
      <c r="G289" s="8">
        <v>0.82420000000000004</v>
      </c>
    </row>
    <row r="290" spans="2:7" x14ac:dyDescent="0.25">
      <c r="B290" s="8">
        <v>218.15700000000001</v>
      </c>
      <c r="C290" s="8">
        <v>4.9846000000000004</v>
      </c>
      <c r="D290" s="8">
        <f t="shared" si="20"/>
        <v>0.98860000000000003</v>
      </c>
      <c r="E290" s="8">
        <v>1.14E-2</v>
      </c>
      <c r="F290" s="8">
        <f t="shared" si="19"/>
        <v>0.14839999999999998</v>
      </c>
      <c r="G290" s="8">
        <v>0.85160000000000002</v>
      </c>
    </row>
    <row r="291" spans="2:7" x14ac:dyDescent="0.25">
      <c r="B291" s="8">
        <v>218.15799999999999</v>
      </c>
      <c r="C291" s="8">
        <v>6.0050999999999997</v>
      </c>
      <c r="D291" s="8">
        <f t="shared" si="20"/>
        <v>0.98599999999999999</v>
      </c>
      <c r="E291" s="8">
        <v>1.4E-2</v>
      </c>
      <c r="F291" s="8">
        <f t="shared" si="19"/>
        <v>0.12949999999999995</v>
      </c>
      <c r="G291" s="8">
        <v>0.87050000000000005</v>
      </c>
    </row>
    <row r="292" spans="2:7" x14ac:dyDescent="0.25">
      <c r="B292" s="8">
        <v>218.15700000000001</v>
      </c>
      <c r="C292" s="8">
        <v>7.4984999999999999</v>
      </c>
      <c r="D292" s="8">
        <f t="shared" si="20"/>
        <v>0.98229999999999995</v>
      </c>
      <c r="E292" s="8">
        <v>1.77E-2</v>
      </c>
      <c r="F292" s="8">
        <f t="shared" si="19"/>
        <v>0.11060000000000003</v>
      </c>
      <c r="G292" s="8">
        <v>0.88939999999999997</v>
      </c>
    </row>
    <row r="293" spans="2:7" x14ac:dyDescent="0.25">
      <c r="B293" s="8">
        <v>218.16499999999999</v>
      </c>
      <c r="C293" s="8">
        <v>9.9818999999999996</v>
      </c>
      <c r="D293" s="8">
        <f t="shared" si="20"/>
        <v>0.97560000000000002</v>
      </c>
      <c r="E293" s="8">
        <v>2.4400000000000002E-2</v>
      </c>
      <c r="F293" s="8">
        <f t="shared" si="19"/>
        <v>9.2999999999999972E-2</v>
      </c>
      <c r="G293" s="8">
        <v>0.90700000000000003</v>
      </c>
    </row>
    <row r="294" spans="2:7" x14ac:dyDescent="0.25">
      <c r="B294" s="8">
        <v>218.166</v>
      </c>
      <c r="C294" s="8">
        <v>12.5</v>
      </c>
      <c r="D294" s="8">
        <f t="shared" si="20"/>
        <v>0.97019999999999995</v>
      </c>
      <c r="E294" s="8">
        <v>2.98E-2</v>
      </c>
      <c r="F294" s="8">
        <f t="shared" si="19"/>
        <v>8.1500000000000017E-2</v>
      </c>
      <c r="G294" s="8">
        <v>0.91849999999999998</v>
      </c>
    </row>
    <row r="295" spans="2:7" x14ac:dyDescent="0.25">
      <c r="B295" s="8">
        <v>218.161</v>
      </c>
      <c r="C295" s="8">
        <v>14.958</v>
      </c>
      <c r="D295" s="8">
        <f t="shared" si="20"/>
        <v>0.96409999999999996</v>
      </c>
      <c r="E295" s="8">
        <v>3.5900000000000001E-2</v>
      </c>
      <c r="F295" s="8">
        <f t="shared" si="19"/>
        <v>7.4500000000000011E-2</v>
      </c>
      <c r="G295" s="8">
        <v>0.92549999999999999</v>
      </c>
    </row>
    <row r="296" spans="2:7" x14ac:dyDescent="0.25">
      <c r="B296" s="8">
        <v>233.136</v>
      </c>
      <c r="C296" s="8">
        <v>1.0086999999999999</v>
      </c>
      <c r="D296" s="8">
        <f t="shared" si="20"/>
        <v>1</v>
      </c>
      <c r="E296" s="8">
        <v>0</v>
      </c>
      <c r="F296" s="8">
        <f t="shared" si="19"/>
        <v>1</v>
      </c>
      <c r="G296" s="8">
        <v>0</v>
      </c>
    </row>
    <row r="297" spans="2:7" x14ac:dyDescent="0.25">
      <c r="B297" s="8">
        <v>233.137</v>
      </c>
      <c r="C297" s="8">
        <v>1.3855</v>
      </c>
      <c r="D297" s="8">
        <f t="shared" si="20"/>
        <v>0.99870000000000003</v>
      </c>
      <c r="E297" s="8">
        <v>1.2999999999999999E-3</v>
      </c>
      <c r="F297" s="8">
        <f t="shared" si="19"/>
        <v>0.76150000000000007</v>
      </c>
      <c r="G297" s="8">
        <v>0.23849999999999999</v>
      </c>
    </row>
    <row r="298" spans="2:7" x14ac:dyDescent="0.25">
      <c r="B298" s="8">
        <v>233.13800000000001</v>
      </c>
      <c r="C298" s="8">
        <v>1.7432000000000001</v>
      </c>
      <c r="D298" s="8">
        <f t="shared" si="20"/>
        <v>0.99739999999999995</v>
      </c>
      <c r="E298" s="8">
        <v>2.5999999999999999E-3</v>
      </c>
      <c r="F298" s="8">
        <f t="shared" si="19"/>
        <v>0.62680000000000002</v>
      </c>
      <c r="G298" s="8">
        <v>0.37319999999999998</v>
      </c>
    </row>
    <row r="299" spans="2:7" x14ac:dyDescent="0.25">
      <c r="B299" s="8">
        <v>233.13900000000001</v>
      </c>
      <c r="C299" s="8">
        <v>2.2667000000000002</v>
      </c>
      <c r="D299" s="8">
        <f t="shared" si="20"/>
        <v>0.99560000000000004</v>
      </c>
      <c r="E299" s="8">
        <v>4.4000000000000003E-3</v>
      </c>
      <c r="F299" s="8">
        <f t="shared" si="19"/>
        <v>0.50330000000000008</v>
      </c>
      <c r="G299" s="8">
        <v>0.49669999999999997</v>
      </c>
    </row>
    <row r="300" spans="2:7" x14ac:dyDescent="0.25">
      <c r="B300" s="8">
        <v>233.14400000000001</v>
      </c>
      <c r="C300" s="8">
        <v>3.0449000000000002</v>
      </c>
      <c r="D300" s="8">
        <f t="shared" si="20"/>
        <v>0.99270000000000003</v>
      </c>
      <c r="E300" s="8">
        <v>7.3000000000000001E-3</v>
      </c>
      <c r="F300" s="8">
        <f t="shared" si="19"/>
        <v>0.38539999999999996</v>
      </c>
      <c r="G300" s="8">
        <v>0.61460000000000004</v>
      </c>
    </row>
    <row r="301" spans="2:7" x14ac:dyDescent="0.25">
      <c r="B301" s="8">
        <v>233.14599999999999</v>
      </c>
      <c r="C301" s="8">
        <v>4.0651999999999999</v>
      </c>
      <c r="D301" s="8">
        <f t="shared" si="20"/>
        <v>0.98939999999999995</v>
      </c>
      <c r="E301" s="8">
        <v>1.06E-2</v>
      </c>
      <c r="F301" s="8">
        <f t="shared" si="19"/>
        <v>0.30779999999999996</v>
      </c>
      <c r="G301" s="8">
        <v>0.69220000000000004</v>
      </c>
    </row>
    <row r="302" spans="2:7" x14ac:dyDescent="0.25">
      <c r="B302" s="8">
        <v>233.15</v>
      </c>
      <c r="C302" s="8">
        <v>4.9901999999999997</v>
      </c>
      <c r="D302" s="8">
        <f t="shared" si="20"/>
        <v>0.98640000000000005</v>
      </c>
      <c r="E302" s="8">
        <v>1.3599999999999999E-2</v>
      </c>
      <c r="F302" s="8">
        <f t="shared" si="19"/>
        <v>0.26370000000000005</v>
      </c>
      <c r="G302" s="8">
        <v>0.73629999999999995</v>
      </c>
    </row>
    <row r="303" spans="2:7" x14ac:dyDescent="0.25">
      <c r="B303" s="8">
        <v>233.149</v>
      </c>
      <c r="C303" s="8">
        <v>6.1448</v>
      </c>
      <c r="D303" s="8">
        <f t="shared" si="20"/>
        <v>0.98270000000000002</v>
      </c>
      <c r="E303" s="8">
        <v>1.7299999999999999E-2</v>
      </c>
      <c r="F303" s="8">
        <f t="shared" si="19"/>
        <v>0.22750000000000004</v>
      </c>
      <c r="G303" s="8">
        <v>0.77249999999999996</v>
      </c>
    </row>
    <row r="304" spans="2:7" x14ac:dyDescent="0.25">
      <c r="B304" s="8">
        <v>233.15</v>
      </c>
      <c r="C304" s="8">
        <v>7.5194999999999999</v>
      </c>
      <c r="D304" s="8">
        <f t="shared" si="20"/>
        <v>0.97829999999999995</v>
      </c>
      <c r="E304" s="8">
        <v>2.1700000000000001E-2</v>
      </c>
      <c r="F304" s="8">
        <f t="shared" si="19"/>
        <v>0.19750000000000001</v>
      </c>
      <c r="G304" s="8">
        <v>0.80249999999999999</v>
      </c>
    </row>
    <row r="305" spans="2:7" x14ac:dyDescent="0.25">
      <c r="B305" s="8">
        <v>233.149</v>
      </c>
      <c r="C305" s="8">
        <v>9.9450000000000003</v>
      </c>
      <c r="D305" s="8">
        <f t="shared" si="20"/>
        <v>0.97050000000000003</v>
      </c>
      <c r="E305" s="8">
        <v>2.9499999999999998E-2</v>
      </c>
      <c r="F305" s="8">
        <f t="shared" si="19"/>
        <v>0.16490000000000005</v>
      </c>
      <c r="G305" s="8">
        <v>0.83509999999999995</v>
      </c>
    </row>
    <row r="306" spans="2:7" x14ac:dyDescent="0.25">
      <c r="B306" s="8">
        <v>233.15199999999999</v>
      </c>
      <c r="C306" s="8">
        <v>12.342000000000001</v>
      </c>
      <c r="D306" s="8">
        <f t="shared" si="20"/>
        <v>0.96279999999999999</v>
      </c>
      <c r="E306" s="8">
        <v>3.7199999999999997E-2</v>
      </c>
      <c r="F306" s="8">
        <f t="shared" si="19"/>
        <v>0.14570000000000005</v>
      </c>
      <c r="G306" s="8">
        <v>0.85429999999999995</v>
      </c>
    </row>
    <row r="307" spans="2:7" x14ac:dyDescent="0.25">
      <c r="B307" s="8">
        <v>233.15</v>
      </c>
      <c r="C307" s="8">
        <v>14.868</v>
      </c>
      <c r="D307" s="8">
        <f t="shared" si="20"/>
        <v>0.95489999999999997</v>
      </c>
      <c r="E307" s="8">
        <v>4.5100000000000001E-2</v>
      </c>
      <c r="F307" s="8">
        <f t="shared" si="19"/>
        <v>0.13129999999999997</v>
      </c>
      <c r="G307" s="8">
        <v>0.86870000000000003</v>
      </c>
    </row>
    <row r="308" spans="2:7" x14ac:dyDescent="0.25">
      <c r="B308" s="8">
        <v>243.09299999999999</v>
      </c>
      <c r="C308" s="8">
        <v>1.4279999999999999</v>
      </c>
      <c r="D308" s="8">
        <f t="shared" si="20"/>
        <v>1</v>
      </c>
      <c r="E308" s="8">
        <v>0</v>
      </c>
      <c r="F308" s="8">
        <f t="shared" si="19"/>
        <v>1</v>
      </c>
      <c r="G308" s="8">
        <v>0</v>
      </c>
    </row>
    <row r="309" spans="2:7" x14ac:dyDescent="0.25">
      <c r="B309" s="8">
        <v>243.148</v>
      </c>
      <c r="C309" s="8">
        <v>1.88</v>
      </c>
      <c r="D309" s="8">
        <f t="shared" si="20"/>
        <v>0.99829999999999997</v>
      </c>
      <c r="E309" s="8">
        <v>1.6999999999999999E-3</v>
      </c>
      <c r="F309" s="8">
        <f t="shared" si="19"/>
        <v>0.80349999999999999</v>
      </c>
      <c r="G309" s="8">
        <v>0.19650000000000001</v>
      </c>
    </row>
    <row r="310" spans="2:7" x14ac:dyDescent="0.25">
      <c r="B310" s="8">
        <v>243.149</v>
      </c>
      <c r="C310" s="8">
        <v>2.1307</v>
      </c>
      <c r="D310" s="8">
        <f t="shared" si="20"/>
        <v>0.99739999999999995</v>
      </c>
      <c r="E310" s="8">
        <v>2.5999999999999999E-3</v>
      </c>
      <c r="F310" s="8">
        <f t="shared" si="19"/>
        <v>0.72449999999999992</v>
      </c>
      <c r="G310" s="8">
        <v>0.27550000000000002</v>
      </c>
    </row>
    <row r="311" spans="2:7" x14ac:dyDescent="0.25">
      <c r="B311" s="8">
        <v>243.15600000000001</v>
      </c>
      <c r="C311" s="8">
        <v>3.1976</v>
      </c>
      <c r="D311" s="8">
        <f t="shared" si="20"/>
        <v>0.99270000000000003</v>
      </c>
      <c r="E311" s="8">
        <v>7.3000000000000001E-3</v>
      </c>
      <c r="F311" s="8">
        <f t="shared" si="19"/>
        <v>0.52059999999999995</v>
      </c>
      <c r="G311" s="8">
        <v>0.47939999999999999</v>
      </c>
    </row>
    <row r="312" spans="2:7" x14ac:dyDescent="0.25">
      <c r="B312" s="8">
        <v>243.15600000000001</v>
      </c>
      <c r="C312" s="8">
        <v>4.0948000000000002</v>
      </c>
      <c r="D312" s="8">
        <f t="shared" si="20"/>
        <v>0.98909999999999998</v>
      </c>
      <c r="E312" s="8">
        <v>1.09E-2</v>
      </c>
      <c r="F312" s="8">
        <f t="shared" si="19"/>
        <v>0.42869999999999997</v>
      </c>
      <c r="G312" s="8">
        <v>0.57130000000000003</v>
      </c>
    </row>
    <row r="313" spans="2:7" x14ac:dyDescent="0.25">
      <c r="B313" s="8">
        <v>243.155</v>
      </c>
      <c r="C313" s="8">
        <v>5.0362999999999998</v>
      </c>
      <c r="D313" s="8">
        <f t="shared" si="20"/>
        <v>0.98540000000000005</v>
      </c>
      <c r="E313" s="8">
        <v>1.46E-2</v>
      </c>
      <c r="F313" s="8">
        <f t="shared" si="19"/>
        <v>0.36470000000000002</v>
      </c>
      <c r="G313" s="8">
        <v>0.63529999999999998</v>
      </c>
    </row>
    <row r="314" spans="2:7" x14ac:dyDescent="0.25">
      <c r="B314" s="8">
        <v>243.15899999999999</v>
      </c>
      <c r="C314" s="8">
        <v>6.1395999999999997</v>
      </c>
      <c r="D314" s="8">
        <f t="shared" si="20"/>
        <v>0.98099999999999998</v>
      </c>
      <c r="E314" s="8">
        <v>1.9E-2</v>
      </c>
      <c r="F314" s="8">
        <f t="shared" si="19"/>
        <v>0.31599999999999995</v>
      </c>
      <c r="G314" s="8">
        <v>0.68400000000000005</v>
      </c>
    </row>
    <row r="315" spans="2:7" x14ac:dyDescent="0.25">
      <c r="B315" s="8">
        <v>243.14500000000001</v>
      </c>
      <c r="C315" s="8">
        <v>7.5427999999999997</v>
      </c>
      <c r="D315" s="8">
        <f t="shared" si="20"/>
        <v>0.97550000000000003</v>
      </c>
      <c r="E315" s="8">
        <v>2.4500000000000001E-2</v>
      </c>
      <c r="F315" s="8">
        <f t="shared" si="19"/>
        <v>0.27410000000000001</v>
      </c>
      <c r="G315" s="8">
        <v>0.72589999999999999</v>
      </c>
    </row>
    <row r="316" spans="2:7" x14ac:dyDescent="0.25">
      <c r="B316" s="8">
        <v>243.148</v>
      </c>
      <c r="C316" s="8">
        <v>10.042</v>
      </c>
      <c r="D316" s="8">
        <f t="shared" si="20"/>
        <v>0.96550000000000002</v>
      </c>
      <c r="E316" s="8">
        <v>3.4500000000000003E-2</v>
      </c>
      <c r="F316" s="8">
        <f t="shared" si="19"/>
        <v>0.2288</v>
      </c>
      <c r="G316" s="8">
        <v>0.7712</v>
      </c>
    </row>
    <row r="317" spans="2:7" x14ac:dyDescent="0.25">
      <c r="B317" s="8">
        <v>243.15100000000001</v>
      </c>
      <c r="C317" s="8">
        <v>12.343</v>
      </c>
      <c r="D317" s="8">
        <f t="shared" si="20"/>
        <v>0.95669999999999999</v>
      </c>
      <c r="E317" s="8">
        <v>4.3299999999999998E-2</v>
      </c>
      <c r="F317" s="8">
        <f t="shared" si="19"/>
        <v>0.2016</v>
      </c>
      <c r="G317" s="8">
        <v>0.7984</v>
      </c>
    </row>
    <row r="318" spans="2:7" x14ac:dyDescent="0.25">
      <c r="B318" s="8">
        <v>243.15</v>
      </c>
      <c r="C318" s="8">
        <v>14.949</v>
      </c>
      <c r="D318" s="8">
        <f t="shared" si="20"/>
        <v>0.94689999999999996</v>
      </c>
      <c r="E318" s="8">
        <v>5.3100000000000001E-2</v>
      </c>
      <c r="F318" s="8">
        <f t="shared" si="19"/>
        <v>0.18240000000000001</v>
      </c>
      <c r="G318" s="8">
        <v>0.81759999999999999</v>
      </c>
    </row>
    <row r="319" spans="2:7" x14ac:dyDescent="0.25">
      <c r="B319" s="8">
        <v>258.06</v>
      </c>
      <c r="C319" s="8">
        <v>2.2909000000000002</v>
      </c>
      <c r="D319" s="8">
        <f t="shared" si="20"/>
        <v>1</v>
      </c>
      <c r="E319" s="8">
        <v>0</v>
      </c>
      <c r="F319" s="8">
        <f t="shared" si="19"/>
        <v>1</v>
      </c>
      <c r="G319" s="8">
        <v>0</v>
      </c>
    </row>
    <row r="320" spans="2:7" x14ac:dyDescent="0.25">
      <c r="B320" s="8">
        <v>258.14600000000002</v>
      </c>
      <c r="C320" s="8">
        <v>2.8592</v>
      </c>
      <c r="D320" s="8">
        <f t="shared" si="20"/>
        <v>0.997</v>
      </c>
      <c r="E320" s="8">
        <v>3.0000000000000001E-3</v>
      </c>
      <c r="F320" s="8">
        <f t="shared" si="19"/>
        <v>0.85260000000000002</v>
      </c>
      <c r="G320" s="8">
        <v>0.1474</v>
      </c>
    </row>
    <row r="321" spans="2:7" x14ac:dyDescent="0.25">
      <c r="B321" s="8">
        <v>258.14699999999999</v>
      </c>
      <c r="C321" s="8">
        <v>3.2454000000000001</v>
      </c>
      <c r="D321" s="8">
        <f t="shared" si="20"/>
        <v>0.995</v>
      </c>
      <c r="E321" s="8">
        <v>5.0000000000000001E-3</v>
      </c>
      <c r="F321" s="8">
        <f t="shared" si="19"/>
        <v>0.7762</v>
      </c>
      <c r="G321" s="8">
        <v>0.2238</v>
      </c>
    </row>
    <row r="322" spans="2:7" x14ac:dyDescent="0.25">
      <c r="B322" s="8">
        <v>258.14999999999998</v>
      </c>
      <c r="C322" s="8">
        <v>4.1368</v>
      </c>
      <c r="D322" s="8">
        <f t="shared" si="20"/>
        <v>0.99019999999999997</v>
      </c>
      <c r="E322" s="8">
        <v>9.7999999999999997E-3</v>
      </c>
      <c r="F322" s="8">
        <f t="shared" si="19"/>
        <v>0.65070000000000006</v>
      </c>
      <c r="G322" s="8">
        <v>0.3493</v>
      </c>
    </row>
    <row r="323" spans="2:7" x14ac:dyDescent="0.25">
      <c r="B323" s="8">
        <v>258.15100000000001</v>
      </c>
      <c r="C323" s="8">
        <v>5.1711</v>
      </c>
      <c r="D323" s="8">
        <f t="shared" si="20"/>
        <v>0.9849</v>
      </c>
      <c r="E323" s="8">
        <v>1.5100000000000001E-2</v>
      </c>
      <c r="F323" s="8">
        <f t="shared" si="19"/>
        <v>0.55469999999999997</v>
      </c>
      <c r="G323" s="8">
        <v>0.44529999999999997</v>
      </c>
    </row>
    <row r="324" spans="2:7" x14ac:dyDescent="0.25">
      <c r="B324" s="8">
        <v>258.15100000000001</v>
      </c>
      <c r="C324" s="8">
        <v>6.3395000000000001</v>
      </c>
      <c r="D324" s="8">
        <f t="shared" si="20"/>
        <v>0.97899999999999998</v>
      </c>
      <c r="E324" s="8">
        <v>2.1000000000000001E-2</v>
      </c>
      <c r="F324" s="8">
        <f t="shared" si="19"/>
        <v>0.4829</v>
      </c>
      <c r="G324" s="8">
        <v>0.5171</v>
      </c>
    </row>
    <row r="325" spans="2:7" x14ac:dyDescent="0.25">
      <c r="B325" s="8">
        <v>258.15300000000002</v>
      </c>
      <c r="C325" s="8">
        <v>7.5330000000000004</v>
      </c>
      <c r="D325" s="8">
        <f t="shared" si="20"/>
        <v>0.9728</v>
      </c>
      <c r="E325" s="8">
        <v>2.7199999999999998E-2</v>
      </c>
      <c r="F325" s="8">
        <f>1-G325</f>
        <v>0.43069999999999997</v>
      </c>
      <c r="G325" s="8">
        <v>0.56930000000000003</v>
      </c>
    </row>
    <row r="326" spans="2:7" x14ac:dyDescent="0.25">
      <c r="B326" s="8">
        <v>258.14400000000001</v>
      </c>
      <c r="C326" s="8">
        <v>9.9880999999999993</v>
      </c>
      <c r="D326" s="8">
        <f t="shared" si="20"/>
        <v>0.96019999999999994</v>
      </c>
      <c r="E326" s="8">
        <v>3.9800000000000002E-2</v>
      </c>
      <c r="F326" s="8">
        <f t="shared" si="19"/>
        <v>0.36029999999999995</v>
      </c>
      <c r="G326" s="8">
        <v>0.63970000000000005</v>
      </c>
    </row>
    <row r="327" spans="2:7" x14ac:dyDescent="0.25">
      <c r="B327" s="8">
        <v>258.14699999999999</v>
      </c>
      <c r="C327" s="8">
        <v>12.204000000000001</v>
      </c>
      <c r="D327" s="8">
        <f t="shared" si="20"/>
        <v>0.94920000000000004</v>
      </c>
      <c r="E327" s="8">
        <v>5.0799999999999998E-2</v>
      </c>
      <c r="F327" s="8">
        <f t="shared" si="19"/>
        <v>0.32079999999999997</v>
      </c>
      <c r="G327" s="8">
        <v>0.67920000000000003</v>
      </c>
    </row>
    <row r="328" spans="2:7" x14ac:dyDescent="0.25">
      <c r="B328" s="8">
        <v>258.149</v>
      </c>
      <c r="C328" s="8">
        <v>15.442</v>
      </c>
      <c r="D328" s="8">
        <f t="shared" si="20"/>
        <v>0.93230000000000002</v>
      </c>
      <c r="E328" s="8">
        <v>6.7699999999999996E-2</v>
      </c>
      <c r="F328" s="8">
        <f t="shared" si="19"/>
        <v>0.28549999999999998</v>
      </c>
      <c r="G328" s="8">
        <v>0.71450000000000002</v>
      </c>
    </row>
    <row r="329" spans="2:7" x14ac:dyDescent="0.25">
      <c r="B329" s="8">
        <v>273.17700000000002</v>
      </c>
      <c r="C329" s="8">
        <v>3.488</v>
      </c>
      <c r="D329" s="8">
        <f t="shared" si="20"/>
        <v>1</v>
      </c>
      <c r="E329" s="8">
        <v>0</v>
      </c>
      <c r="F329" s="8">
        <f t="shared" si="19"/>
        <v>1</v>
      </c>
      <c r="G329" s="8">
        <v>0</v>
      </c>
    </row>
    <row r="330" spans="2:7" x14ac:dyDescent="0.25">
      <c r="B330" s="8">
        <v>273.17700000000002</v>
      </c>
      <c r="C330" s="8">
        <v>4.0824999999999996</v>
      </c>
      <c r="D330" s="8">
        <f t="shared" si="20"/>
        <v>0.99590000000000001</v>
      </c>
      <c r="E330" s="8">
        <v>4.1000000000000003E-3</v>
      </c>
      <c r="F330" s="8">
        <f t="shared" si="19"/>
        <v>0.90579999999999994</v>
      </c>
      <c r="G330" s="8">
        <v>9.4200000000000006E-2</v>
      </c>
    </row>
    <row r="331" spans="2:7" x14ac:dyDescent="0.25">
      <c r="B331" s="8">
        <v>273.19099999999997</v>
      </c>
      <c r="C331" s="8">
        <v>4.3654000000000002</v>
      </c>
      <c r="D331" s="8">
        <f t="shared" si="20"/>
        <v>0.99399999999999999</v>
      </c>
      <c r="E331" s="8">
        <v>6.0000000000000001E-3</v>
      </c>
      <c r="F331" s="8">
        <f t="shared" si="19"/>
        <v>0.86840000000000006</v>
      </c>
      <c r="G331" s="8">
        <v>0.13159999999999999</v>
      </c>
    </row>
    <row r="332" spans="2:7" x14ac:dyDescent="0.25">
      <c r="B332" s="8">
        <v>273.19</v>
      </c>
      <c r="C332" s="8">
        <v>4.673</v>
      </c>
      <c r="D332" s="8">
        <f t="shared" si="20"/>
        <v>0.99180000000000001</v>
      </c>
      <c r="E332" s="8">
        <v>8.2000000000000007E-3</v>
      </c>
      <c r="F332" s="8">
        <f t="shared" si="19"/>
        <v>0.83210000000000006</v>
      </c>
      <c r="G332" s="8">
        <v>0.16789999999999999</v>
      </c>
    </row>
    <row r="333" spans="2:7" x14ac:dyDescent="0.25">
      <c r="B333" s="8">
        <v>273.19</v>
      </c>
      <c r="C333" s="8">
        <v>5.3010000000000002</v>
      </c>
      <c r="D333" s="8">
        <f t="shared" si="20"/>
        <v>0.98760000000000003</v>
      </c>
      <c r="E333" s="8">
        <v>1.24E-2</v>
      </c>
      <c r="F333" s="8">
        <f t="shared" si="19"/>
        <v>0.77010000000000001</v>
      </c>
      <c r="G333" s="8">
        <v>0.22989999999999999</v>
      </c>
    </row>
    <row r="334" spans="2:7" x14ac:dyDescent="0.25">
      <c r="B334" s="8">
        <v>273.19200000000001</v>
      </c>
      <c r="C334" s="8">
        <v>6.2539999999999996</v>
      </c>
      <c r="D334" s="8">
        <f t="shared" si="20"/>
        <v>0.98109999999999997</v>
      </c>
      <c r="E334" s="8">
        <v>1.89E-2</v>
      </c>
      <c r="F334" s="8">
        <f t="shared" si="19"/>
        <v>0.69569999999999999</v>
      </c>
      <c r="G334" s="8">
        <v>0.30430000000000001</v>
      </c>
    </row>
    <row r="335" spans="2:7" x14ac:dyDescent="0.25">
      <c r="B335" s="8">
        <v>273.19400000000002</v>
      </c>
      <c r="C335" s="8">
        <v>7.6130000000000004</v>
      </c>
      <c r="D335" s="8">
        <f t="shared" si="20"/>
        <v>0.97189999999999999</v>
      </c>
      <c r="E335" s="8">
        <v>2.81E-2</v>
      </c>
      <c r="F335" s="8">
        <f t="shared" si="19"/>
        <v>0.61899999999999999</v>
      </c>
      <c r="G335" s="8">
        <v>0.38100000000000001</v>
      </c>
    </row>
    <row r="336" spans="2:7" x14ac:dyDescent="0.25">
      <c r="B336" s="8">
        <v>273.19299999999998</v>
      </c>
      <c r="C336" s="8">
        <v>10.132999999999999</v>
      </c>
      <c r="D336" s="8">
        <f t="shared" si="20"/>
        <v>0.9546</v>
      </c>
      <c r="E336" s="8">
        <v>4.5400000000000003E-2</v>
      </c>
      <c r="F336" s="8">
        <f t="shared" si="19"/>
        <v>0.52790000000000004</v>
      </c>
      <c r="G336" s="8">
        <v>0.47210000000000002</v>
      </c>
    </row>
    <row r="337" spans="2:7" x14ac:dyDescent="0.25">
      <c r="B337" s="8">
        <v>273.19299999999998</v>
      </c>
      <c r="C337" s="8">
        <v>12.458</v>
      </c>
      <c r="D337" s="8">
        <f t="shared" si="20"/>
        <v>0.93759999989999998</v>
      </c>
      <c r="E337" s="8">
        <v>6.2400000099999998E-2</v>
      </c>
      <c r="F337" s="8">
        <f t="shared" si="19"/>
        <v>0.4758</v>
      </c>
      <c r="G337" s="8">
        <v>0.5242</v>
      </c>
    </row>
    <row r="338" spans="2:7" x14ac:dyDescent="0.25">
      <c r="B338" s="8">
        <v>273.197</v>
      </c>
      <c r="C338" s="8">
        <v>14.867000000000001</v>
      </c>
      <c r="D338" s="8">
        <f t="shared" si="20"/>
        <v>0.91379999999999995</v>
      </c>
      <c r="E338" s="8">
        <v>8.6199999999999999E-2</v>
      </c>
      <c r="F338" s="8">
        <f t="shared" si="19"/>
        <v>0.43979999999999997</v>
      </c>
      <c r="G338" s="8">
        <v>0.56020000000000003</v>
      </c>
    </row>
    <row r="339" spans="2:7" x14ac:dyDescent="0.25">
      <c r="B339" s="8">
        <v>280.654</v>
      </c>
      <c r="C339" s="8">
        <v>4.2324999999999999</v>
      </c>
      <c r="D339" s="8">
        <f t="shared" si="20"/>
        <v>1</v>
      </c>
      <c r="E339" s="8">
        <v>0</v>
      </c>
      <c r="F339" s="8">
        <f t="shared" si="19"/>
        <v>1</v>
      </c>
      <c r="G339" s="8">
        <v>0</v>
      </c>
    </row>
    <row r="340" spans="2:7" x14ac:dyDescent="0.25">
      <c r="B340" s="8">
        <v>280.65300000000002</v>
      </c>
      <c r="C340" s="8">
        <v>4.4867999999999997</v>
      </c>
      <c r="D340" s="8">
        <f t="shared" si="20"/>
        <v>0.998</v>
      </c>
      <c r="E340" s="8">
        <v>2E-3</v>
      </c>
      <c r="F340" s="8">
        <f t="shared" si="19"/>
        <v>0.96730000000000005</v>
      </c>
      <c r="G340" s="8">
        <v>3.27E-2</v>
      </c>
    </row>
    <row r="341" spans="2:7" x14ac:dyDescent="0.25">
      <c r="B341" s="8">
        <v>280.654</v>
      </c>
      <c r="C341" s="8">
        <v>4.7774999999999999</v>
      </c>
      <c r="D341" s="8">
        <f t="shared" si="20"/>
        <v>0.99570000000000003</v>
      </c>
      <c r="E341" s="8">
        <v>4.3E-3</v>
      </c>
      <c r="F341" s="8">
        <f t="shared" si="19"/>
        <v>0.93240000000000001</v>
      </c>
      <c r="G341" s="8">
        <v>6.7599999999999993E-2</v>
      </c>
    </row>
    <row r="342" spans="2:7" x14ac:dyDescent="0.25">
      <c r="B342" s="8">
        <v>280.65600000000001</v>
      </c>
      <c r="C342" s="8">
        <v>5.1334</v>
      </c>
      <c r="D342" s="8">
        <f t="shared" si="20"/>
        <v>0.99280000000000002</v>
      </c>
      <c r="E342" s="8">
        <v>7.1999999999999998E-3</v>
      </c>
      <c r="F342" s="8">
        <f t="shared" si="19"/>
        <v>0.89439999999999997</v>
      </c>
      <c r="G342" s="8">
        <v>0.1056</v>
      </c>
    </row>
    <row r="343" spans="2:7" x14ac:dyDescent="0.25">
      <c r="B343" s="8">
        <v>280.65499999999997</v>
      </c>
      <c r="C343" s="8">
        <v>6.2531999999999996</v>
      </c>
      <c r="D343" s="8">
        <f t="shared" si="20"/>
        <v>0.9839</v>
      </c>
      <c r="E343" s="8">
        <v>1.61E-2</v>
      </c>
      <c r="F343" s="8">
        <f t="shared" si="19"/>
        <v>0.7984</v>
      </c>
      <c r="G343" s="8">
        <v>0.2016</v>
      </c>
    </row>
    <row r="344" spans="2:7" x14ac:dyDescent="0.25">
      <c r="B344" s="8">
        <v>280.65699999999998</v>
      </c>
      <c r="C344" s="8">
        <v>7.6868999999999996</v>
      </c>
      <c r="D344" s="8">
        <f t="shared" si="20"/>
        <v>0.97250000000000003</v>
      </c>
      <c r="E344" s="8">
        <v>2.75E-2</v>
      </c>
      <c r="F344" s="8">
        <f t="shared" si="19"/>
        <v>0.71279999999999999</v>
      </c>
      <c r="G344" s="8">
        <v>0.28720000000000001</v>
      </c>
    </row>
    <row r="345" spans="2:7" x14ac:dyDescent="0.25">
      <c r="B345" s="8">
        <v>280.65499999999997</v>
      </c>
      <c r="C345" s="8">
        <v>10.079000000000001</v>
      </c>
      <c r="D345" s="8">
        <f t="shared" si="20"/>
        <v>0.95369999999999999</v>
      </c>
      <c r="E345" s="8">
        <v>4.6300000000000001E-2</v>
      </c>
      <c r="F345" s="8">
        <f t="shared" si="19"/>
        <v>0.62380000000000002</v>
      </c>
      <c r="G345" s="8">
        <v>0.37619999999999998</v>
      </c>
    </row>
    <row r="346" spans="2:7" x14ac:dyDescent="0.25">
      <c r="B346" s="8">
        <v>280.65699999999998</v>
      </c>
      <c r="C346" s="8">
        <v>12.351000000000001</v>
      </c>
      <c r="D346" s="8">
        <f t="shared" si="20"/>
        <v>0.93379999999999996</v>
      </c>
      <c r="E346" s="8">
        <v>6.6199999999999995E-2</v>
      </c>
      <c r="F346" s="8">
        <f>1-G346</f>
        <v>0.56859999999999999</v>
      </c>
      <c r="G346" s="8">
        <v>0.43140000000000001</v>
      </c>
    </row>
    <row r="347" spans="2:7" x14ac:dyDescent="0.25">
      <c r="B347" s="8">
        <v>280.65699999999998</v>
      </c>
      <c r="C347" s="8">
        <v>14.967000000000001</v>
      </c>
      <c r="D347" s="8">
        <f t="shared" si="20"/>
        <v>0.91049999999999998</v>
      </c>
      <c r="E347" s="8">
        <v>8.9499999999999996E-2</v>
      </c>
      <c r="F347" s="8">
        <f t="shared" si="19"/>
        <v>0.5292</v>
      </c>
      <c r="G347" s="8">
        <v>0.4708</v>
      </c>
    </row>
    <row r="348" spans="2:7" x14ac:dyDescent="0.25">
      <c r="B348" s="8">
        <v>288.16300000000001</v>
      </c>
      <c r="C348" s="8">
        <v>5.0895999999999999</v>
      </c>
      <c r="D348" s="8">
        <f t="shared" si="20"/>
        <v>1</v>
      </c>
      <c r="E348" s="8">
        <v>0</v>
      </c>
      <c r="F348" s="8">
        <f t="shared" si="19"/>
        <v>1</v>
      </c>
      <c r="G348" s="8">
        <v>0</v>
      </c>
    </row>
    <row r="349" spans="2:7" x14ac:dyDescent="0.25">
      <c r="B349" s="8">
        <v>288.16699999999997</v>
      </c>
      <c r="C349" s="8">
        <v>5.2805</v>
      </c>
      <c r="D349" s="8">
        <f t="shared" ref="D349" si="21">1-E349</f>
        <v>0.99829999999999997</v>
      </c>
      <c r="E349" s="8">
        <v>1.6999999999999999E-3</v>
      </c>
      <c r="F349" s="8">
        <f t="shared" ref="F349:F366" si="22">1-G349</f>
        <v>0.9819</v>
      </c>
      <c r="G349" s="8">
        <v>1.8100000000000002E-2</v>
      </c>
    </row>
    <row r="350" spans="2:7" x14ac:dyDescent="0.25">
      <c r="B350" s="8">
        <v>288.16199999999998</v>
      </c>
      <c r="C350" s="8">
        <v>6.7510000000000003</v>
      </c>
      <c r="D350" s="8">
        <f>1-E350</f>
        <v>0.98440000000000005</v>
      </c>
      <c r="E350" s="8">
        <v>1.5599999999999999E-2</v>
      </c>
      <c r="F350" s="8">
        <f t="shared" si="22"/>
        <v>0.86970000000000003</v>
      </c>
      <c r="G350" s="8">
        <v>0.1303</v>
      </c>
    </row>
    <row r="351" spans="2:7" x14ac:dyDescent="0.25">
      <c r="B351" s="8">
        <v>288.16899999999998</v>
      </c>
      <c r="C351" s="8">
        <v>7.7069999999999999</v>
      </c>
      <c r="D351" s="8">
        <f t="shared" ref="D351:D378" si="23">1-E351</f>
        <v>0.97550000000000003</v>
      </c>
      <c r="E351" s="8">
        <v>2.4500000000000001E-2</v>
      </c>
      <c r="F351" s="8">
        <f t="shared" si="22"/>
        <v>0.81909999999999994</v>
      </c>
      <c r="G351" s="8">
        <v>0.18090000000000001</v>
      </c>
    </row>
    <row r="352" spans="2:7" x14ac:dyDescent="0.25">
      <c r="B352" s="8">
        <v>288.16899999999998</v>
      </c>
      <c r="C352" s="8">
        <v>9.1920000000000002</v>
      </c>
      <c r="D352" s="8">
        <f t="shared" si="23"/>
        <v>0.96120000000000005</v>
      </c>
      <c r="E352" s="8">
        <v>3.8800000000000001E-2</v>
      </c>
      <c r="F352" s="8">
        <f t="shared" si="22"/>
        <v>0.75750000000000006</v>
      </c>
      <c r="G352" s="8">
        <v>0.24249999999999999</v>
      </c>
    </row>
    <row r="353" spans="2:7" x14ac:dyDescent="0.25">
      <c r="B353" s="8">
        <v>288.17</v>
      </c>
      <c r="C353" s="8">
        <v>10.234</v>
      </c>
      <c r="D353" s="8">
        <f t="shared" si="23"/>
        <v>0.95099999999999996</v>
      </c>
      <c r="E353" s="8">
        <v>4.9000000000000002E-2</v>
      </c>
      <c r="F353" s="8">
        <f t="shared" si="22"/>
        <v>0.7228</v>
      </c>
      <c r="G353" s="8">
        <v>0.2772</v>
      </c>
    </row>
    <row r="354" spans="2:7" x14ac:dyDescent="0.25">
      <c r="B354" s="8">
        <v>288.17200000000003</v>
      </c>
      <c r="C354" s="8">
        <v>12.843</v>
      </c>
      <c r="D354" s="8">
        <f t="shared" si="23"/>
        <v>0.9232999999</v>
      </c>
      <c r="E354" s="8">
        <v>7.6700000099999999E-2</v>
      </c>
      <c r="F354" s="8">
        <f t="shared" si="22"/>
        <v>0.6663</v>
      </c>
      <c r="G354" s="8">
        <v>0.3337</v>
      </c>
    </row>
    <row r="355" spans="2:7" x14ac:dyDescent="0.25">
      <c r="B355" s="8">
        <v>288.16899999999998</v>
      </c>
      <c r="C355" s="8">
        <v>14.301</v>
      </c>
      <c r="D355" s="8">
        <f t="shared" si="23"/>
        <v>0.90620000000000001</v>
      </c>
      <c r="E355" s="8">
        <v>9.3799999999999994E-2</v>
      </c>
      <c r="F355" s="8">
        <f t="shared" si="22"/>
        <v>0.64200000000000002</v>
      </c>
      <c r="G355" s="8">
        <v>0.35799999999999998</v>
      </c>
    </row>
    <row r="356" spans="2:7" x14ac:dyDescent="0.25">
      <c r="B356" s="8">
        <v>288.16899999999998</v>
      </c>
      <c r="C356" s="8">
        <v>15.089</v>
      </c>
      <c r="D356" s="8">
        <f t="shared" si="23"/>
        <v>0.89690000000000003</v>
      </c>
      <c r="E356" s="8">
        <v>0.1031</v>
      </c>
      <c r="F356" s="8">
        <f t="shared" si="22"/>
        <v>0.63369999999999993</v>
      </c>
      <c r="G356" s="8">
        <v>0.36630000000000001</v>
      </c>
    </row>
    <row r="357" spans="2:7" x14ac:dyDescent="0.25">
      <c r="B357" s="8">
        <v>295.64999999999998</v>
      </c>
      <c r="C357" s="8">
        <v>6.0739999999999998</v>
      </c>
      <c r="D357" s="8">
        <f t="shared" si="23"/>
        <v>1</v>
      </c>
      <c r="E357" s="8">
        <v>0</v>
      </c>
      <c r="F357" s="8">
        <f t="shared" si="22"/>
        <v>1</v>
      </c>
      <c r="G357" s="8">
        <v>0</v>
      </c>
    </row>
    <row r="358" spans="2:7" x14ac:dyDescent="0.25">
      <c r="B358" s="8">
        <v>295.65100000000001</v>
      </c>
      <c r="C358" s="8">
        <v>7.4596999999999998</v>
      </c>
      <c r="D358" s="8">
        <f t="shared" si="23"/>
        <v>0.98370000000000002</v>
      </c>
      <c r="E358" s="8">
        <v>1.6299999999999999E-2</v>
      </c>
      <c r="F358" s="8">
        <f t="shared" si="22"/>
        <v>0.91890000000000005</v>
      </c>
      <c r="G358" s="8">
        <v>8.1100000000000005E-2</v>
      </c>
    </row>
    <row r="359" spans="2:7" x14ac:dyDescent="0.25">
      <c r="B359" s="8">
        <v>295.65199999999999</v>
      </c>
      <c r="C359" s="8">
        <v>9.1281999999999996</v>
      </c>
      <c r="D359" s="8">
        <f t="shared" si="23"/>
        <v>0.96289999999999998</v>
      </c>
      <c r="E359" s="8">
        <v>3.7100000000000001E-2</v>
      </c>
      <c r="F359" s="8">
        <f t="shared" si="22"/>
        <v>0.85160000000000002</v>
      </c>
      <c r="G359" s="8">
        <v>0.1484</v>
      </c>
    </row>
    <row r="360" spans="2:7" x14ac:dyDescent="0.25">
      <c r="B360" s="8">
        <v>295.65199999999999</v>
      </c>
      <c r="C360" s="8">
        <v>10.135999999999999</v>
      </c>
      <c r="D360" s="8">
        <f t="shared" si="23"/>
        <v>0.94930000000000003</v>
      </c>
      <c r="E360" s="8">
        <v>5.0700000000000002E-2</v>
      </c>
      <c r="F360" s="8">
        <f t="shared" si="22"/>
        <v>0.82340000000000002</v>
      </c>
      <c r="G360" s="8">
        <v>0.17660000000000001</v>
      </c>
    </row>
    <row r="361" spans="2:7" x14ac:dyDescent="0.25">
      <c r="B361" s="8">
        <v>295.65600000000001</v>
      </c>
      <c r="C361" s="8">
        <v>12.427</v>
      </c>
      <c r="D361" s="8">
        <f t="shared" si="23"/>
        <v>0.91529999989999999</v>
      </c>
      <c r="E361" s="8">
        <v>8.4700000100000006E-2</v>
      </c>
      <c r="F361" s="8">
        <f t="shared" si="22"/>
        <v>0.78510000000000002</v>
      </c>
      <c r="G361" s="8">
        <v>0.21490000000000001</v>
      </c>
    </row>
    <row r="362" spans="2:7" x14ac:dyDescent="0.25">
      <c r="B362" s="8">
        <v>295.66000000000003</v>
      </c>
      <c r="C362" s="8">
        <v>13.743</v>
      </c>
      <c r="D362" s="8">
        <f t="shared" si="23"/>
        <v>0.88870000000000005</v>
      </c>
      <c r="E362" s="8">
        <v>0.1113</v>
      </c>
      <c r="F362" s="8">
        <f t="shared" si="22"/>
        <v>0.78300000000000003</v>
      </c>
      <c r="G362" s="8">
        <v>0.217</v>
      </c>
    </row>
    <row r="363" spans="2:7" x14ac:dyDescent="0.25">
      <c r="B363" s="8">
        <v>295.65600000000001</v>
      </c>
      <c r="C363" s="8">
        <v>13.808999999999999</v>
      </c>
      <c r="D363" s="8">
        <f t="shared" si="23"/>
        <v>0.88629999999999998</v>
      </c>
      <c r="E363" s="8">
        <v>0.1137</v>
      </c>
      <c r="F363" s="8">
        <f t="shared" si="22"/>
        <v>0.78359999999999996</v>
      </c>
      <c r="G363" s="8">
        <v>0.21640000000000001</v>
      </c>
    </row>
    <row r="364" spans="2:7" x14ac:dyDescent="0.25">
      <c r="B364" s="8">
        <v>295.66699999999997</v>
      </c>
      <c r="C364" s="8">
        <v>13.879</v>
      </c>
      <c r="D364" s="8">
        <f t="shared" si="23"/>
        <v>0.88429999999999997</v>
      </c>
      <c r="E364" s="8">
        <v>0.1157</v>
      </c>
      <c r="F364" s="8">
        <f t="shared" si="22"/>
        <v>0.78370000000000006</v>
      </c>
      <c r="G364" s="8">
        <v>0.21629999999999999</v>
      </c>
    </row>
    <row r="365" spans="2:7" x14ac:dyDescent="0.25">
      <c r="B365" s="8">
        <v>295.66699999999997</v>
      </c>
      <c r="C365" s="8">
        <v>14.13</v>
      </c>
      <c r="D365" s="8">
        <f t="shared" si="23"/>
        <v>0.87609999999999999</v>
      </c>
      <c r="E365" s="8">
        <v>0.1239</v>
      </c>
      <c r="F365" s="8">
        <f t="shared" si="22"/>
        <v>0.78570000000000007</v>
      </c>
      <c r="G365" s="8">
        <v>0.21429999999999999</v>
      </c>
    </row>
    <row r="366" spans="2:7" x14ac:dyDescent="0.25">
      <c r="B366" s="8">
        <v>295.66699999999997</v>
      </c>
      <c r="C366" s="8">
        <v>14.276999999999999</v>
      </c>
      <c r="D366" s="8">
        <f t="shared" si="23"/>
        <v>0.871</v>
      </c>
      <c r="E366" s="8">
        <v>0.129</v>
      </c>
      <c r="F366" s="8">
        <f t="shared" si="22"/>
        <v>0.78820000000000001</v>
      </c>
      <c r="G366" s="8">
        <v>0.21179999999999999</v>
      </c>
    </row>
    <row r="367" spans="2:7" x14ac:dyDescent="0.25">
      <c r="B367" s="8">
        <v>295.66399999999999</v>
      </c>
      <c r="C367" s="8">
        <v>14.414</v>
      </c>
      <c r="D367" s="8">
        <f t="shared" si="23"/>
        <v>0.86539999999999995</v>
      </c>
      <c r="E367" s="8">
        <v>0.1346</v>
      </c>
      <c r="F367" s="8">
        <f>1-G367</f>
        <v>0.79200000000000004</v>
      </c>
      <c r="G367" s="8">
        <v>0.20799999999999999</v>
      </c>
    </row>
    <row r="368" spans="2:7" x14ac:dyDescent="0.25">
      <c r="B368" s="8">
        <v>295.66699999999997</v>
      </c>
      <c r="C368" s="8">
        <v>14.593999999999999</v>
      </c>
      <c r="D368" s="8">
        <f t="shared" si="23"/>
        <v>0.85619999999999996</v>
      </c>
      <c r="E368" s="8">
        <v>0.14380000000000001</v>
      </c>
      <c r="F368" s="8">
        <f t="shared" ref="F368:F378" si="24">1-G368</f>
        <v>0.79869999999999997</v>
      </c>
      <c r="G368" s="8">
        <v>0.20130000000000001</v>
      </c>
    </row>
    <row r="369" spans="1:7" x14ac:dyDescent="0.25">
      <c r="B369" s="8">
        <v>295.666</v>
      </c>
      <c r="C369" s="8">
        <v>14.645</v>
      </c>
      <c r="D369" s="8">
        <f t="shared" si="23"/>
        <v>0.8246</v>
      </c>
      <c r="E369" s="8">
        <v>0.1754</v>
      </c>
      <c r="F369" s="8">
        <f t="shared" si="24"/>
        <v>0.80069999999999997</v>
      </c>
      <c r="G369" s="8">
        <v>0.1993</v>
      </c>
    </row>
    <row r="370" spans="1:7" x14ac:dyDescent="0.25">
      <c r="B370" s="8">
        <v>303.14400000000001</v>
      </c>
      <c r="C370" s="8">
        <v>7.2129000000000003</v>
      </c>
      <c r="D370" s="8">
        <f t="shared" si="23"/>
        <v>1</v>
      </c>
      <c r="E370" s="8">
        <v>0</v>
      </c>
      <c r="F370" s="8">
        <f t="shared" si="24"/>
        <v>1</v>
      </c>
      <c r="G370" s="8">
        <v>0</v>
      </c>
    </row>
    <row r="371" spans="1:7" x14ac:dyDescent="0.25">
      <c r="B371" s="8">
        <v>303.142</v>
      </c>
      <c r="C371" s="8">
        <v>7.2801</v>
      </c>
      <c r="D371" s="8">
        <f t="shared" si="23"/>
        <v>0.99890000000000001</v>
      </c>
      <c r="E371" s="8">
        <v>1.1000000000000001E-3</v>
      </c>
      <c r="F371" s="8">
        <f t="shared" si="24"/>
        <v>0.99750000000000005</v>
      </c>
      <c r="G371" s="8">
        <v>2.5000000000000001E-3</v>
      </c>
    </row>
    <row r="372" spans="1:7" x14ac:dyDescent="0.25">
      <c r="B372" s="8">
        <v>303.14400000000001</v>
      </c>
      <c r="C372" s="8">
        <v>7.6536999999999997</v>
      </c>
      <c r="D372" s="8">
        <f t="shared" si="23"/>
        <v>0.9919</v>
      </c>
      <c r="E372" s="8">
        <v>8.0999999999999996E-3</v>
      </c>
      <c r="F372" s="8">
        <f t="shared" si="24"/>
        <v>0.98509999999999998</v>
      </c>
      <c r="G372" s="8">
        <v>1.49E-2</v>
      </c>
    </row>
    <row r="373" spans="1:7" x14ac:dyDescent="0.25">
      <c r="B373" s="8">
        <v>303.14600000000002</v>
      </c>
      <c r="C373" s="8">
        <v>7.7697000000000003</v>
      </c>
      <c r="D373" s="8">
        <f t="shared" si="23"/>
        <v>0.98960000000000004</v>
      </c>
      <c r="E373" s="8">
        <v>1.04E-2</v>
      </c>
      <c r="F373" s="8">
        <f t="shared" si="24"/>
        <v>0.98170000000000002</v>
      </c>
      <c r="G373" s="8">
        <v>1.83E-2</v>
      </c>
    </row>
    <row r="374" spans="1:7" x14ac:dyDescent="0.25">
      <c r="B374" s="8">
        <v>303.14499999999998</v>
      </c>
      <c r="C374" s="8">
        <v>7.7824</v>
      </c>
      <c r="D374" s="8">
        <f t="shared" si="23"/>
        <v>0.98850000000000005</v>
      </c>
      <c r="E374" s="8">
        <v>1.15E-2</v>
      </c>
      <c r="F374" s="8">
        <f t="shared" si="24"/>
        <v>0.98089999999999999</v>
      </c>
      <c r="G374" s="8">
        <v>1.9099999999999999E-2</v>
      </c>
    </row>
    <row r="375" spans="1:7" x14ac:dyDescent="0.25">
      <c r="B375" s="8">
        <v>303.14100000000002</v>
      </c>
      <c r="C375" s="8">
        <v>7.8040000000000003</v>
      </c>
      <c r="D375" s="8">
        <f t="shared" si="23"/>
        <v>0.98819999999999997</v>
      </c>
      <c r="E375" s="8">
        <v>1.18E-2</v>
      </c>
      <c r="F375" s="8">
        <f t="shared" si="24"/>
        <v>0.98050000000000004</v>
      </c>
      <c r="G375" s="8">
        <v>1.95E-2</v>
      </c>
    </row>
    <row r="376" spans="1:7" x14ac:dyDescent="0.25">
      <c r="B376" s="8">
        <v>303.14400000000001</v>
      </c>
      <c r="C376" s="8">
        <v>7.8396999999999997</v>
      </c>
      <c r="D376" s="8">
        <f t="shared" si="23"/>
        <v>0.98709999999999998</v>
      </c>
      <c r="E376" s="8">
        <v>1.29E-2</v>
      </c>
      <c r="F376" s="8">
        <f t="shared" si="24"/>
        <v>0.9798</v>
      </c>
      <c r="G376" s="8">
        <v>2.0199999999999999E-2</v>
      </c>
    </row>
    <row r="377" spans="1:7" x14ac:dyDescent="0.25">
      <c r="B377" s="8">
        <v>303.149</v>
      </c>
      <c r="C377" s="8">
        <v>7.8632999999999997</v>
      </c>
      <c r="D377" s="8">
        <f t="shared" si="23"/>
        <v>0.98699999999999999</v>
      </c>
      <c r="E377" s="8">
        <v>1.2999999999999999E-2</v>
      </c>
      <c r="F377" s="8">
        <f t="shared" si="24"/>
        <v>0.97919999999999996</v>
      </c>
      <c r="G377" s="8">
        <v>2.0799999999999999E-2</v>
      </c>
    </row>
    <row r="378" spans="1:7" ht="15.75" thickBot="1" x14ac:dyDescent="0.3">
      <c r="A378" s="9"/>
      <c r="B378" s="9">
        <v>303.15499999999997</v>
      </c>
      <c r="C378" s="9">
        <v>7.9306999999999999</v>
      </c>
      <c r="D378" s="9">
        <f t="shared" si="23"/>
        <v>0.98270000000000002</v>
      </c>
      <c r="E378" s="9">
        <v>1.7299999999999999E-2</v>
      </c>
      <c r="F378" s="9">
        <f t="shared" si="24"/>
        <v>0.97729999999999995</v>
      </c>
      <c r="G378" s="9">
        <v>2.2700000000000001E-2</v>
      </c>
    </row>
    <row r="379" spans="1:7" x14ac:dyDescent="0.25">
      <c r="A379" s="18" t="s">
        <v>58</v>
      </c>
      <c r="B379" s="8">
        <v>252.8</v>
      </c>
      <c r="C379" s="8">
        <v>2.04</v>
      </c>
      <c r="F379" s="10">
        <f>1-G379</f>
        <v>0.97</v>
      </c>
      <c r="G379" s="10">
        <v>0.03</v>
      </c>
    </row>
    <row r="380" spans="1:7" x14ac:dyDescent="0.25">
      <c r="B380" s="8">
        <v>257.8</v>
      </c>
      <c r="C380" s="8">
        <v>2.38</v>
      </c>
      <c r="F380" s="10">
        <f t="shared" ref="F380:F398" si="25">1-G380</f>
        <v>0.97</v>
      </c>
      <c r="G380" s="10">
        <v>0.03</v>
      </c>
    </row>
    <row r="381" spans="1:7" x14ac:dyDescent="0.25">
      <c r="B381" s="8">
        <v>262.8</v>
      </c>
      <c r="C381" s="8">
        <v>2.76</v>
      </c>
      <c r="F381" s="10">
        <f t="shared" si="25"/>
        <v>0.97</v>
      </c>
      <c r="G381" s="10">
        <v>0.03</v>
      </c>
    </row>
    <row r="382" spans="1:7" x14ac:dyDescent="0.25">
      <c r="B382" s="8">
        <v>267.8</v>
      </c>
      <c r="C382" s="8">
        <v>3.17</v>
      </c>
      <c r="F382" s="10">
        <f t="shared" si="25"/>
        <v>0.97</v>
      </c>
      <c r="G382" s="10">
        <v>0.03</v>
      </c>
    </row>
    <row r="383" spans="1:7" x14ac:dyDescent="0.25">
      <c r="B383" s="8">
        <v>272.7</v>
      </c>
      <c r="C383" s="8">
        <v>3.63</v>
      </c>
      <c r="F383" s="10">
        <f t="shared" si="25"/>
        <v>0.97</v>
      </c>
      <c r="G383" s="10">
        <v>0.03</v>
      </c>
    </row>
    <row r="384" spans="1:7" x14ac:dyDescent="0.25">
      <c r="B384" s="8">
        <v>277.8</v>
      </c>
      <c r="C384" s="8">
        <v>4.16</v>
      </c>
      <c r="F384" s="10">
        <f t="shared" si="25"/>
        <v>0.97</v>
      </c>
      <c r="G384" s="10">
        <v>0.03</v>
      </c>
    </row>
    <row r="385" spans="2:7" x14ac:dyDescent="0.25">
      <c r="B385" s="8">
        <v>282.89999999999998</v>
      </c>
      <c r="C385" s="8">
        <v>4.75</v>
      </c>
      <c r="F385" s="10">
        <f t="shared" si="25"/>
        <v>0.97</v>
      </c>
      <c r="G385" s="10">
        <v>0.03</v>
      </c>
    </row>
    <row r="386" spans="2:7" x14ac:dyDescent="0.25">
      <c r="B386" s="8">
        <v>287.8</v>
      </c>
      <c r="C386" s="8">
        <v>5.38</v>
      </c>
      <c r="F386" s="10">
        <f t="shared" si="25"/>
        <v>0.97</v>
      </c>
      <c r="G386" s="10">
        <v>0.03</v>
      </c>
    </row>
    <row r="387" spans="2:7" x14ac:dyDescent="0.25">
      <c r="B387" s="8">
        <v>290.3</v>
      </c>
      <c r="C387" s="8">
        <v>5.73</v>
      </c>
      <c r="F387" s="10">
        <f t="shared" si="25"/>
        <v>0.97</v>
      </c>
      <c r="G387" s="10">
        <v>0.03</v>
      </c>
    </row>
    <row r="388" spans="2:7" x14ac:dyDescent="0.25">
      <c r="B388" s="8">
        <v>292.8</v>
      </c>
      <c r="C388" s="8">
        <v>6.08</v>
      </c>
      <c r="F388" s="10">
        <f t="shared" si="25"/>
        <v>0.97</v>
      </c>
      <c r="G388" s="10">
        <v>0.03</v>
      </c>
    </row>
    <row r="389" spans="2:7" x14ac:dyDescent="0.25">
      <c r="B389" s="8">
        <v>295.3</v>
      </c>
      <c r="C389" s="8">
        <v>6.47</v>
      </c>
      <c r="F389" s="10">
        <f t="shared" si="25"/>
        <v>0.97</v>
      </c>
      <c r="G389" s="10">
        <v>0.03</v>
      </c>
    </row>
    <row r="390" spans="2:7" x14ac:dyDescent="0.25">
      <c r="B390" s="8">
        <v>297.8</v>
      </c>
      <c r="C390" s="8">
        <v>6.91</v>
      </c>
      <c r="F390" s="10">
        <f t="shared" si="25"/>
        <v>0.97</v>
      </c>
      <c r="G390" s="10">
        <v>0.03</v>
      </c>
    </row>
    <row r="391" spans="2:7" x14ac:dyDescent="0.25">
      <c r="B391" s="8">
        <v>298.8</v>
      </c>
      <c r="C391" s="8">
        <v>7.08</v>
      </c>
      <c r="F391" s="10">
        <f t="shared" si="25"/>
        <v>0.97</v>
      </c>
      <c r="G391" s="10">
        <v>0.03</v>
      </c>
    </row>
    <row r="392" spans="2:7" x14ac:dyDescent="0.25">
      <c r="B392" s="8">
        <v>299.89999999999998</v>
      </c>
      <c r="C392" s="8">
        <v>7.29</v>
      </c>
      <c r="F392" s="10">
        <f t="shared" si="25"/>
        <v>0.97</v>
      </c>
      <c r="G392" s="10">
        <v>0.03</v>
      </c>
    </row>
    <row r="393" spans="2:7" x14ac:dyDescent="0.25">
      <c r="B393" s="8">
        <v>300.39999999999998</v>
      </c>
      <c r="C393" s="8">
        <v>7.43</v>
      </c>
      <c r="F393" s="10">
        <f t="shared" si="25"/>
        <v>0.97</v>
      </c>
      <c r="G393" s="10">
        <v>0.03</v>
      </c>
    </row>
    <row r="394" spans="2:7" x14ac:dyDescent="0.25">
      <c r="B394" s="8">
        <v>300.89999999999998</v>
      </c>
      <c r="C394" s="8">
        <v>7.53</v>
      </c>
      <c r="F394" s="10">
        <f t="shared" si="25"/>
        <v>0.97</v>
      </c>
      <c r="G394" s="10">
        <v>0.03</v>
      </c>
    </row>
    <row r="395" spans="2:7" x14ac:dyDescent="0.25">
      <c r="B395" s="8">
        <v>301.39999999999998</v>
      </c>
      <c r="C395" s="8">
        <v>7.63</v>
      </c>
      <c r="F395" s="10">
        <f t="shared" si="25"/>
        <v>0.97</v>
      </c>
      <c r="G395" s="10">
        <v>0.03</v>
      </c>
    </row>
    <row r="396" spans="2:7" x14ac:dyDescent="0.25">
      <c r="B396" s="8">
        <v>301.89999999999998</v>
      </c>
      <c r="C396" s="8">
        <v>7.76</v>
      </c>
      <c r="F396" s="10">
        <f t="shared" si="25"/>
        <v>0.97</v>
      </c>
      <c r="G396" s="10">
        <v>0.03</v>
      </c>
    </row>
    <row r="397" spans="2:7" x14ac:dyDescent="0.25">
      <c r="B397" s="8">
        <v>302.39999999999998</v>
      </c>
      <c r="C397" s="8">
        <v>7.88</v>
      </c>
      <c r="F397" s="10">
        <f t="shared" si="25"/>
        <v>0.97</v>
      </c>
      <c r="G397" s="10">
        <v>0.03</v>
      </c>
    </row>
    <row r="398" spans="2:7" x14ac:dyDescent="0.25">
      <c r="B398" s="8">
        <v>302.89999999999998</v>
      </c>
      <c r="C398" s="8">
        <v>8.32</v>
      </c>
      <c r="F398" s="10">
        <f t="shared" si="25"/>
        <v>0.97</v>
      </c>
      <c r="G398" s="10">
        <v>0.03</v>
      </c>
    </row>
    <row r="399" spans="2:7" x14ac:dyDescent="0.25">
      <c r="B399" s="8">
        <v>252.8</v>
      </c>
      <c r="C399" s="8">
        <v>8</v>
      </c>
      <c r="D399" s="10">
        <f>1-E399</f>
        <v>0.97</v>
      </c>
      <c r="E399" s="10">
        <v>0.03</v>
      </c>
    </row>
    <row r="400" spans="2:7" x14ac:dyDescent="0.25">
      <c r="B400" s="8">
        <v>257.8</v>
      </c>
      <c r="C400" s="8">
        <v>7.96</v>
      </c>
      <c r="D400" s="10">
        <f t="shared" ref="D400:D416" si="26">1-E400</f>
        <v>0.97</v>
      </c>
      <c r="E400" s="10">
        <v>0.03</v>
      </c>
    </row>
    <row r="401" spans="2:5" x14ac:dyDescent="0.25">
      <c r="B401" s="8">
        <v>262.8</v>
      </c>
      <c r="C401" s="8">
        <v>7.76</v>
      </c>
      <c r="D401" s="10">
        <f t="shared" si="26"/>
        <v>0.97</v>
      </c>
      <c r="E401" s="10">
        <v>0.03</v>
      </c>
    </row>
    <row r="402" spans="2:5" x14ac:dyDescent="0.25">
      <c r="B402" s="8">
        <v>267.8</v>
      </c>
      <c r="C402" s="8">
        <v>7.75</v>
      </c>
      <c r="D402" s="10">
        <f t="shared" si="26"/>
        <v>0.97</v>
      </c>
      <c r="E402" s="10">
        <v>0.03</v>
      </c>
    </row>
    <row r="403" spans="2:5" x14ac:dyDescent="0.25">
      <c r="B403" s="8">
        <v>272.7</v>
      </c>
      <c r="C403" s="8">
        <v>7.76</v>
      </c>
      <c r="D403" s="10">
        <f t="shared" si="26"/>
        <v>0.97</v>
      </c>
      <c r="E403" s="10">
        <v>0.03</v>
      </c>
    </row>
    <row r="404" spans="2:5" x14ac:dyDescent="0.25">
      <c r="B404" s="8">
        <v>277.8</v>
      </c>
      <c r="C404" s="8">
        <v>7.78</v>
      </c>
      <c r="D404" s="10">
        <f t="shared" si="26"/>
        <v>0.97</v>
      </c>
      <c r="E404" s="10">
        <v>0.03</v>
      </c>
    </row>
    <row r="405" spans="2:5" x14ac:dyDescent="0.25">
      <c r="B405" s="8">
        <v>282.8</v>
      </c>
      <c r="C405" s="8">
        <v>7.98</v>
      </c>
      <c r="D405" s="10">
        <f t="shared" si="26"/>
        <v>0.97</v>
      </c>
      <c r="E405" s="10">
        <v>0.03</v>
      </c>
    </row>
    <row r="406" spans="2:5" x14ac:dyDescent="0.25">
      <c r="B406" s="8">
        <v>285.3</v>
      </c>
      <c r="C406" s="8">
        <v>7.98</v>
      </c>
      <c r="D406" s="10">
        <f t="shared" si="26"/>
        <v>0.97</v>
      </c>
      <c r="E406" s="10">
        <v>0.03</v>
      </c>
    </row>
    <row r="407" spans="2:5" x14ac:dyDescent="0.25">
      <c r="B407" s="8">
        <v>287.8</v>
      </c>
      <c r="C407" s="8">
        <v>8.18</v>
      </c>
      <c r="D407" s="10">
        <f t="shared" si="26"/>
        <v>0.97</v>
      </c>
      <c r="E407" s="10">
        <v>0.03</v>
      </c>
    </row>
    <row r="408" spans="2:5" x14ac:dyDescent="0.25">
      <c r="B408" s="8">
        <v>290.39999999999998</v>
      </c>
      <c r="C408" s="8">
        <v>8.26</v>
      </c>
      <c r="D408" s="10">
        <f t="shared" si="26"/>
        <v>0.97</v>
      </c>
      <c r="E408" s="10">
        <v>0.03</v>
      </c>
    </row>
    <row r="409" spans="2:5" x14ac:dyDescent="0.25">
      <c r="B409" s="8">
        <v>292.8</v>
      </c>
      <c r="C409" s="8">
        <v>8.36</v>
      </c>
      <c r="D409" s="10">
        <f t="shared" si="26"/>
        <v>0.97</v>
      </c>
      <c r="E409" s="10">
        <v>0.03</v>
      </c>
    </row>
    <row r="410" spans="2:5" x14ac:dyDescent="0.25">
      <c r="B410" s="8">
        <v>295.3</v>
      </c>
      <c r="C410" s="8">
        <v>8.4700000000000006</v>
      </c>
      <c r="D410" s="10">
        <f t="shared" si="26"/>
        <v>0.97</v>
      </c>
      <c r="E410" s="10">
        <v>0.03</v>
      </c>
    </row>
    <row r="411" spans="2:5" x14ac:dyDescent="0.25">
      <c r="B411" s="8">
        <v>296.39999999999998</v>
      </c>
      <c r="C411" s="8">
        <v>8.57</v>
      </c>
      <c r="D411" s="10">
        <f t="shared" si="26"/>
        <v>0.97</v>
      </c>
      <c r="E411" s="10">
        <v>0.03</v>
      </c>
    </row>
    <row r="412" spans="2:5" x14ac:dyDescent="0.25">
      <c r="B412" s="8">
        <v>297.8</v>
      </c>
      <c r="C412" s="8">
        <v>8.6</v>
      </c>
      <c r="D412" s="10">
        <f t="shared" si="26"/>
        <v>0.97</v>
      </c>
      <c r="E412" s="10">
        <v>0.03</v>
      </c>
    </row>
    <row r="413" spans="2:5" x14ac:dyDescent="0.25">
      <c r="B413" s="8">
        <v>298.8</v>
      </c>
      <c r="C413" s="8">
        <v>8.7200000000000006</v>
      </c>
      <c r="D413" s="10">
        <f t="shared" si="26"/>
        <v>0.97</v>
      </c>
      <c r="E413" s="10">
        <v>0.03</v>
      </c>
    </row>
    <row r="414" spans="2:5" x14ac:dyDescent="0.25">
      <c r="B414" s="8">
        <v>300.3</v>
      </c>
      <c r="C414" s="8">
        <v>8.68</v>
      </c>
      <c r="D414" s="10">
        <f t="shared" si="26"/>
        <v>0.97</v>
      </c>
      <c r="E414" s="10">
        <v>0.03</v>
      </c>
    </row>
    <row r="415" spans="2:5" x14ac:dyDescent="0.25">
      <c r="B415" s="8">
        <v>301.89999999999998</v>
      </c>
      <c r="C415" s="8">
        <v>8.6199999999999992</v>
      </c>
      <c r="D415" s="10">
        <f t="shared" si="26"/>
        <v>0.97</v>
      </c>
      <c r="E415" s="10">
        <v>0.03</v>
      </c>
    </row>
    <row r="416" spans="2:5" x14ac:dyDescent="0.25">
      <c r="B416" s="8">
        <v>302.10000000000002</v>
      </c>
      <c r="C416" s="8">
        <v>8.59</v>
      </c>
      <c r="D416" s="10">
        <f t="shared" si="26"/>
        <v>0.97</v>
      </c>
      <c r="E416" s="10">
        <v>0.03</v>
      </c>
    </row>
    <row r="417" spans="2:7" x14ac:dyDescent="0.25">
      <c r="B417" s="8">
        <v>273</v>
      </c>
      <c r="C417" s="8">
        <v>3.75</v>
      </c>
      <c r="F417" s="8">
        <f>1-G417</f>
        <v>0.95009999999999994</v>
      </c>
      <c r="G417" s="8">
        <v>4.99E-2</v>
      </c>
    </row>
    <row r="418" spans="2:7" x14ac:dyDescent="0.25">
      <c r="B418" s="8">
        <v>277</v>
      </c>
      <c r="C418" s="8">
        <v>4.17</v>
      </c>
      <c r="F418" s="8">
        <f t="shared" ref="F418:F432" si="27">1-G418</f>
        <v>0.95009999999999994</v>
      </c>
      <c r="G418" s="8">
        <v>4.99E-2</v>
      </c>
    </row>
    <row r="419" spans="2:7" x14ac:dyDescent="0.25">
      <c r="B419" s="8">
        <v>281</v>
      </c>
      <c r="C419" s="8">
        <v>4.6500000000000004</v>
      </c>
      <c r="F419" s="8">
        <f t="shared" si="27"/>
        <v>0.95009999999999994</v>
      </c>
      <c r="G419" s="8">
        <v>4.99E-2</v>
      </c>
    </row>
    <row r="420" spans="2:7" x14ac:dyDescent="0.25">
      <c r="B420" s="8">
        <v>285</v>
      </c>
      <c r="C420" s="8">
        <v>5.16</v>
      </c>
      <c r="F420" s="8">
        <f t="shared" si="27"/>
        <v>0.95009999999999994</v>
      </c>
      <c r="G420" s="8">
        <v>4.99E-2</v>
      </c>
    </row>
    <row r="421" spans="2:7" x14ac:dyDescent="0.25">
      <c r="B421" s="8">
        <v>286</v>
      </c>
      <c r="C421" s="8">
        <v>5.31</v>
      </c>
      <c r="F421" s="8">
        <f t="shared" si="27"/>
        <v>0.95009999999999994</v>
      </c>
      <c r="G421" s="8">
        <v>4.99E-2</v>
      </c>
    </row>
    <row r="422" spans="2:7" x14ac:dyDescent="0.25">
      <c r="B422" s="8">
        <v>289</v>
      </c>
      <c r="C422" s="8">
        <v>5.73</v>
      </c>
      <c r="F422" s="8">
        <f t="shared" si="27"/>
        <v>0.95009999999999994</v>
      </c>
      <c r="G422" s="8">
        <v>4.99E-2</v>
      </c>
    </row>
    <row r="423" spans="2:7" x14ac:dyDescent="0.25">
      <c r="B423" s="8">
        <v>293</v>
      </c>
      <c r="C423" s="8">
        <v>6.37</v>
      </c>
      <c r="F423" s="8">
        <f t="shared" si="27"/>
        <v>0.95009999999999994</v>
      </c>
      <c r="G423" s="8">
        <v>4.99E-2</v>
      </c>
    </row>
    <row r="424" spans="2:7" x14ac:dyDescent="0.25">
      <c r="B424" s="8">
        <v>295.5</v>
      </c>
      <c r="C424" s="8">
        <v>6.82</v>
      </c>
      <c r="F424" s="8">
        <f t="shared" si="27"/>
        <v>0.95009999999999994</v>
      </c>
      <c r="G424" s="8">
        <v>4.99E-2</v>
      </c>
    </row>
    <row r="425" spans="2:7" x14ac:dyDescent="0.25">
      <c r="B425" s="8">
        <v>298</v>
      </c>
      <c r="C425" s="8">
        <v>7.28</v>
      </c>
      <c r="F425" s="8">
        <f t="shared" si="27"/>
        <v>0.95009999999999994</v>
      </c>
      <c r="G425" s="8">
        <v>4.99E-2</v>
      </c>
    </row>
    <row r="426" spans="2:7" x14ac:dyDescent="0.25">
      <c r="B426" s="8">
        <v>299</v>
      </c>
      <c r="C426" s="8">
        <v>7.52</v>
      </c>
      <c r="F426" s="8">
        <f t="shared" si="27"/>
        <v>0.95009999999999994</v>
      </c>
      <c r="G426" s="8">
        <v>4.99E-2</v>
      </c>
    </row>
    <row r="427" spans="2:7" x14ac:dyDescent="0.25">
      <c r="B427" s="8">
        <v>299.5</v>
      </c>
      <c r="C427" s="8">
        <v>7.61</v>
      </c>
      <c r="F427" s="8">
        <f t="shared" si="27"/>
        <v>0.95009999999999994</v>
      </c>
      <c r="G427" s="8">
        <v>4.99E-2</v>
      </c>
    </row>
    <row r="428" spans="2:7" x14ac:dyDescent="0.25">
      <c r="B428" s="8">
        <v>300.7</v>
      </c>
      <c r="C428" s="8">
        <v>8.1199999999999992</v>
      </c>
      <c r="F428" s="8">
        <f t="shared" si="27"/>
        <v>0.95009999999999994</v>
      </c>
      <c r="G428" s="8">
        <v>4.99E-2</v>
      </c>
    </row>
    <row r="429" spans="2:7" x14ac:dyDescent="0.25">
      <c r="B429" s="8">
        <v>301.5</v>
      </c>
      <c r="C429" s="8">
        <v>8.2200000000000006</v>
      </c>
      <c r="F429" s="8">
        <f t="shared" si="27"/>
        <v>0.95009999999999994</v>
      </c>
      <c r="G429" s="8">
        <v>4.99E-2</v>
      </c>
    </row>
    <row r="430" spans="2:7" x14ac:dyDescent="0.25">
      <c r="B430" s="8">
        <v>302</v>
      </c>
      <c r="C430" s="8">
        <v>8.36</v>
      </c>
      <c r="F430" s="8">
        <f t="shared" si="27"/>
        <v>0.95009999999999994</v>
      </c>
      <c r="G430" s="8">
        <v>4.99E-2</v>
      </c>
    </row>
    <row r="431" spans="2:7" x14ac:dyDescent="0.25">
      <c r="B431" s="8">
        <v>302.2</v>
      </c>
      <c r="C431" s="8">
        <v>8.5399999999999991</v>
      </c>
      <c r="F431" s="8">
        <f t="shared" si="27"/>
        <v>0.95009999999999994</v>
      </c>
      <c r="G431" s="8">
        <v>4.99E-2</v>
      </c>
    </row>
    <row r="432" spans="2:7" x14ac:dyDescent="0.25">
      <c r="B432" s="8">
        <v>302.39999999999998</v>
      </c>
      <c r="C432" s="8">
        <v>8.81</v>
      </c>
      <c r="F432" s="8">
        <f t="shared" si="27"/>
        <v>0.95009999999999994</v>
      </c>
      <c r="G432" s="8">
        <v>4.99E-2</v>
      </c>
    </row>
    <row r="433" spans="2:5" x14ac:dyDescent="0.25">
      <c r="B433" s="24">
        <v>273</v>
      </c>
      <c r="C433" s="13">
        <v>10.57</v>
      </c>
      <c r="D433" s="8">
        <f>1-E433</f>
        <v>0.95009999999999994</v>
      </c>
      <c r="E433" s="8">
        <v>4.99E-2</v>
      </c>
    </row>
    <row r="434" spans="2:5" x14ac:dyDescent="0.25">
      <c r="B434" s="24">
        <v>274</v>
      </c>
      <c r="C434" s="13">
        <v>10.45</v>
      </c>
      <c r="D434" s="8">
        <f t="shared" ref="D434:D451" si="28">1-E434</f>
        <v>0.95009999999999994</v>
      </c>
      <c r="E434" s="8">
        <v>4.99E-2</v>
      </c>
    </row>
    <row r="435" spans="2:5" x14ac:dyDescent="0.25">
      <c r="B435" s="24">
        <v>275.8</v>
      </c>
      <c r="C435" s="13">
        <v>10.41</v>
      </c>
      <c r="D435" s="8">
        <f t="shared" si="28"/>
        <v>0.95009999999999994</v>
      </c>
      <c r="E435" s="8">
        <v>4.99E-2</v>
      </c>
    </row>
    <row r="436" spans="2:5" x14ac:dyDescent="0.25">
      <c r="B436" s="24">
        <v>276</v>
      </c>
      <c r="C436" s="13">
        <v>10.29</v>
      </c>
      <c r="D436" s="8">
        <f t="shared" si="28"/>
        <v>0.95009999999999994</v>
      </c>
      <c r="E436" s="8">
        <v>4.99E-2</v>
      </c>
    </row>
    <row r="437" spans="2:5" x14ac:dyDescent="0.25">
      <c r="B437" s="24">
        <v>278</v>
      </c>
      <c r="C437" s="13">
        <v>10.31</v>
      </c>
      <c r="D437" s="8">
        <f t="shared" si="28"/>
        <v>0.95009999999999994</v>
      </c>
      <c r="E437" s="8">
        <v>4.99E-2</v>
      </c>
    </row>
    <row r="438" spans="2:5" x14ac:dyDescent="0.25">
      <c r="B438" s="24">
        <v>290.89999999999998</v>
      </c>
      <c r="C438" s="13">
        <v>10.25</v>
      </c>
      <c r="D438" s="8">
        <f t="shared" si="28"/>
        <v>0.95009999999999994</v>
      </c>
      <c r="E438" s="8">
        <v>4.99E-2</v>
      </c>
    </row>
    <row r="439" spans="2:5" x14ac:dyDescent="0.25">
      <c r="B439" s="24">
        <v>283</v>
      </c>
      <c r="C439" s="13">
        <v>10.23</v>
      </c>
      <c r="D439" s="8">
        <f t="shared" si="28"/>
        <v>0.95009999999999994</v>
      </c>
      <c r="E439" s="8">
        <v>4.99E-2</v>
      </c>
    </row>
    <row r="440" spans="2:5" x14ac:dyDescent="0.25">
      <c r="B440" s="24">
        <v>285</v>
      </c>
      <c r="C440" s="13">
        <v>10.17</v>
      </c>
      <c r="D440" s="8">
        <f t="shared" si="28"/>
        <v>0.95009999999999994</v>
      </c>
      <c r="E440" s="8">
        <v>4.99E-2</v>
      </c>
    </row>
    <row r="441" spans="2:5" x14ac:dyDescent="0.25">
      <c r="B441" s="24">
        <v>288</v>
      </c>
      <c r="C441" s="13">
        <v>10.16</v>
      </c>
      <c r="D441" s="8">
        <f t="shared" si="28"/>
        <v>0.95009999999999994</v>
      </c>
      <c r="E441" s="8">
        <v>4.99E-2</v>
      </c>
    </row>
    <row r="442" spans="2:5" x14ac:dyDescent="0.25">
      <c r="B442" s="24">
        <v>289.89999999999998</v>
      </c>
      <c r="C442" s="13">
        <v>10.029999999999999</v>
      </c>
      <c r="D442" s="8">
        <f t="shared" si="28"/>
        <v>0.95009999999999994</v>
      </c>
      <c r="E442" s="8">
        <v>4.99E-2</v>
      </c>
    </row>
    <row r="443" spans="2:5" x14ac:dyDescent="0.25">
      <c r="B443" s="24">
        <v>293</v>
      </c>
      <c r="C443" s="13">
        <v>10.09</v>
      </c>
      <c r="D443" s="8">
        <f t="shared" si="28"/>
        <v>0.95009999999999994</v>
      </c>
      <c r="E443" s="8">
        <v>4.99E-2</v>
      </c>
    </row>
    <row r="444" spans="2:5" x14ac:dyDescent="0.25">
      <c r="B444" s="24">
        <v>295</v>
      </c>
      <c r="C444" s="13">
        <v>10.039999999999999</v>
      </c>
      <c r="D444" s="8">
        <f t="shared" si="28"/>
        <v>0.95009999999999994</v>
      </c>
      <c r="E444" s="8">
        <v>4.99E-2</v>
      </c>
    </row>
    <row r="445" spans="2:5" x14ac:dyDescent="0.25">
      <c r="B445" s="24">
        <v>296.39999999999998</v>
      </c>
      <c r="C445" s="13">
        <v>9.99</v>
      </c>
      <c r="D445" s="8">
        <f t="shared" si="28"/>
        <v>0.95009999999999994</v>
      </c>
      <c r="E445" s="8">
        <v>4.99E-2</v>
      </c>
    </row>
    <row r="446" spans="2:5" x14ac:dyDescent="0.25">
      <c r="B446" s="24">
        <v>298</v>
      </c>
      <c r="C446" s="13">
        <v>9.9</v>
      </c>
      <c r="D446" s="8">
        <f t="shared" si="28"/>
        <v>0.95009999999999994</v>
      </c>
      <c r="E446" s="8">
        <v>4.99E-2</v>
      </c>
    </row>
    <row r="447" spans="2:5" x14ac:dyDescent="0.25">
      <c r="B447" s="24">
        <v>299</v>
      </c>
      <c r="C447" s="13">
        <v>9.85</v>
      </c>
      <c r="D447" s="8">
        <f t="shared" si="28"/>
        <v>0.95009999999999994</v>
      </c>
      <c r="E447" s="8">
        <v>4.99E-2</v>
      </c>
    </row>
    <row r="448" spans="2:5" x14ac:dyDescent="0.25">
      <c r="B448" s="24">
        <v>300</v>
      </c>
      <c r="C448" s="13">
        <v>9.74</v>
      </c>
      <c r="D448" s="8">
        <f t="shared" si="28"/>
        <v>0.95009999999999994</v>
      </c>
      <c r="E448" s="8">
        <v>4.99E-2</v>
      </c>
    </row>
    <row r="449" spans="1:7" x14ac:dyDescent="0.25">
      <c r="B449" s="24">
        <v>301</v>
      </c>
      <c r="C449" s="13">
        <v>9.58</v>
      </c>
      <c r="D449" s="8">
        <f t="shared" si="28"/>
        <v>0.95009999999999994</v>
      </c>
      <c r="E449" s="8">
        <v>4.99E-2</v>
      </c>
    </row>
    <row r="450" spans="1:7" x14ac:dyDescent="0.25">
      <c r="B450" s="24">
        <v>301.5</v>
      </c>
      <c r="C450" s="13">
        <v>9.39</v>
      </c>
      <c r="D450" s="8">
        <f t="shared" si="28"/>
        <v>0.95009999999999994</v>
      </c>
      <c r="E450" s="8">
        <v>4.99E-2</v>
      </c>
    </row>
    <row r="451" spans="1:7" ht="15.75" thickBot="1" x14ac:dyDescent="0.3">
      <c r="A451" s="9"/>
      <c r="B451" s="23">
        <v>302</v>
      </c>
      <c r="C451" s="17">
        <v>9.15</v>
      </c>
      <c r="D451" s="9">
        <f t="shared" si="28"/>
        <v>0.95009999999999994</v>
      </c>
      <c r="E451" s="9">
        <v>4.99E-2</v>
      </c>
      <c r="F451" s="9"/>
      <c r="G451" s="9"/>
    </row>
    <row r="452" spans="1:7" x14ac:dyDescent="0.25">
      <c r="A452" s="18" t="s">
        <v>54</v>
      </c>
      <c r="B452" s="25">
        <v>296.61</v>
      </c>
      <c r="C452" s="14">
        <v>7.0983999999999998</v>
      </c>
      <c r="F452" s="12">
        <f>1-G452</f>
        <v>0.94638</v>
      </c>
      <c r="G452" s="12">
        <v>5.3620000000000001E-2</v>
      </c>
    </row>
    <row r="453" spans="1:7" x14ac:dyDescent="0.25">
      <c r="B453" s="10">
        <v>294.39400000000001</v>
      </c>
      <c r="C453" s="14">
        <v>6.6839000000000004</v>
      </c>
      <c r="F453" s="12">
        <f t="shared" ref="F453:F477" si="29">1-G453</f>
        <v>0.94638</v>
      </c>
      <c r="G453" s="12">
        <v>5.3620000000000001E-2</v>
      </c>
    </row>
    <row r="454" spans="1:7" x14ac:dyDescent="0.25">
      <c r="B454" s="10">
        <v>291.06</v>
      </c>
      <c r="C454" s="14">
        <v>6.1096000000000004</v>
      </c>
      <c r="F454" s="12">
        <f t="shared" si="29"/>
        <v>0.94638</v>
      </c>
      <c r="G454" s="12">
        <v>5.3620000000000001E-2</v>
      </c>
    </row>
    <row r="455" spans="1:7" x14ac:dyDescent="0.25">
      <c r="B455" s="10">
        <v>287.38099999999997</v>
      </c>
      <c r="C455" s="14">
        <v>5.5473999999999997</v>
      </c>
      <c r="F455" s="12">
        <f t="shared" si="29"/>
        <v>0.94638</v>
      </c>
      <c r="G455" s="12">
        <v>5.3620000000000001E-2</v>
      </c>
    </row>
    <row r="456" spans="1:7" x14ac:dyDescent="0.25">
      <c r="B456" s="10">
        <v>282.64400000000001</v>
      </c>
      <c r="C456" s="14">
        <v>4.8975999999999997</v>
      </c>
      <c r="F456" s="12">
        <f t="shared" si="29"/>
        <v>0.94638</v>
      </c>
      <c r="G456" s="12">
        <v>5.3620000000000001E-2</v>
      </c>
    </row>
    <row r="457" spans="1:7" x14ac:dyDescent="0.25">
      <c r="B457" s="10">
        <v>277.26100000000002</v>
      </c>
      <c r="C457" s="14">
        <v>4.2419000000000002</v>
      </c>
      <c r="F457" s="12">
        <f t="shared" si="29"/>
        <v>0.94638</v>
      </c>
      <c r="G457" s="12">
        <v>5.3620000000000001E-2</v>
      </c>
    </row>
    <row r="458" spans="1:7" x14ac:dyDescent="0.25">
      <c r="B458" s="10">
        <v>271.69200000000001</v>
      </c>
      <c r="C458" s="14">
        <v>3.6442000000000001</v>
      </c>
      <c r="F458" s="12">
        <f t="shared" si="29"/>
        <v>0.94638</v>
      </c>
      <c r="G458" s="12">
        <v>5.3620000000000001E-2</v>
      </c>
    </row>
    <row r="459" spans="1:7" x14ac:dyDescent="0.25">
      <c r="B459" s="10">
        <v>264.673</v>
      </c>
      <c r="C459" s="14">
        <v>2.9870000000000001</v>
      </c>
      <c r="F459" s="12">
        <f t="shared" si="29"/>
        <v>0.94638</v>
      </c>
      <c r="G459" s="12">
        <v>5.3620000000000001E-2</v>
      </c>
    </row>
    <row r="460" spans="1:7" x14ac:dyDescent="0.25">
      <c r="B460" s="10">
        <v>264.584</v>
      </c>
      <c r="C460" s="14">
        <v>2.9832000000000001</v>
      </c>
      <c r="F460" s="12">
        <f t="shared" si="29"/>
        <v>0.94638</v>
      </c>
      <c r="G460" s="12">
        <v>5.3620000000000001E-2</v>
      </c>
    </row>
    <row r="461" spans="1:7" x14ac:dyDescent="0.25">
      <c r="B461" s="10">
        <v>264.60399999999998</v>
      </c>
      <c r="C461" s="14">
        <v>2.9849999999999999</v>
      </c>
      <c r="F461" s="12">
        <f t="shared" si="29"/>
        <v>0.94638</v>
      </c>
      <c r="G461" s="12">
        <v>5.3620000000000001E-2</v>
      </c>
    </row>
    <row r="462" spans="1:7" x14ac:dyDescent="0.25">
      <c r="B462" s="10">
        <v>257.56599999999997</v>
      </c>
      <c r="C462" s="14">
        <v>2.4239999999999999</v>
      </c>
      <c r="F462" s="12">
        <f t="shared" si="29"/>
        <v>0.94638</v>
      </c>
      <c r="G462" s="12">
        <v>5.3620000000000001E-2</v>
      </c>
    </row>
    <row r="463" spans="1:7" x14ac:dyDescent="0.25">
      <c r="B463" s="10">
        <v>257.54500000000002</v>
      </c>
      <c r="C463" s="14">
        <v>2.4222000000000001</v>
      </c>
      <c r="F463" s="12">
        <f t="shared" si="29"/>
        <v>0.94638</v>
      </c>
      <c r="G463" s="12">
        <v>5.3620000000000001E-2</v>
      </c>
    </row>
    <row r="464" spans="1:7" x14ac:dyDescent="0.25">
      <c r="B464" s="10">
        <v>249.929</v>
      </c>
      <c r="C464" s="14">
        <v>1.9097999999999999</v>
      </c>
      <c r="F464" s="12">
        <f t="shared" si="29"/>
        <v>0.94638</v>
      </c>
      <c r="G464" s="12">
        <v>5.3620000000000001E-2</v>
      </c>
    </row>
    <row r="465" spans="1:7" x14ac:dyDescent="0.25">
      <c r="B465" s="10">
        <v>249.54599999999999</v>
      </c>
      <c r="C465" s="14">
        <v>1.8849</v>
      </c>
      <c r="F465" s="12">
        <f t="shared" si="29"/>
        <v>0.94638</v>
      </c>
      <c r="G465" s="12">
        <v>5.3620000000000001E-2</v>
      </c>
    </row>
    <row r="466" spans="1:7" x14ac:dyDescent="0.25">
      <c r="B466" s="10">
        <v>280.44299999999998</v>
      </c>
      <c r="C466" s="14">
        <v>7.0228000000000002</v>
      </c>
      <c r="F466" s="8">
        <f t="shared" si="29"/>
        <v>0.74575999999999998</v>
      </c>
      <c r="G466" s="8">
        <v>0.25424000000000002</v>
      </c>
    </row>
    <row r="467" spans="1:7" x14ac:dyDescent="0.25">
      <c r="B467" s="10">
        <v>280.291</v>
      </c>
      <c r="C467" s="14">
        <v>6.9850000000000003</v>
      </c>
      <c r="F467" s="8">
        <f t="shared" si="29"/>
        <v>0.74575999999999998</v>
      </c>
      <c r="G467" s="8">
        <v>0.25424000000000002</v>
      </c>
    </row>
    <row r="468" spans="1:7" x14ac:dyDescent="0.25">
      <c r="B468" s="10">
        <v>278.76400000000001</v>
      </c>
      <c r="C468" s="14">
        <v>6.6249000000000002</v>
      </c>
      <c r="F468" s="8">
        <f t="shared" si="29"/>
        <v>0.74575999999999998</v>
      </c>
      <c r="G468" s="8">
        <v>0.25424000000000002</v>
      </c>
    </row>
    <row r="469" spans="1:7" x14ac:dyDescent="0.25">
      <c r="B469" s="10">
        <v>277.45800000000003</v>
      </c>
      <c r="C469" s="14">
        <v>6.3493000000000004</v>
      </c>
      <c r="F469" s="8">
        <f t="shared" si="29"/>
        <v>0.74575999999999998</v>
      </c>
      <c r="G469" s="8">
        <v>0.25424000000000002</v>
      </c>
    </row>
    <row r="470" spans="1:7" x14ac:dyDescent="0.25">
      <c r="B470" s="10">
        <v>274.65300000000002</v>
      </c>
      <c r="C470" s="14">
        <v>5.7968000000000002</v>
      </c>
      <c r="F470" s="8">
        <f t="shared" si="29"/>
        <v>0.74575999999999998</v>
      </c>
      <c r="G470" s="8">
        <v>0.25424000000000002</v>
      </c>
    </row>
    <row r="471" spans="1:7" x14ac:dyDescent="0.25">
      <c r="B471" s="10">
        <v>271.09500000000003</v>
      </c>
      <c r="C471" s="14">
        <v>5.1715</v>
      </c>
      <c r="F471" s="8">
        <f t="shared" si="29"/>
        <v>0.74575999999999998</v>
      </c>
      <c r="G471" s="8">
        <v>0.25424000000000002</v>
      </c>
    </row>
    <row r="472" spans="1:7" x14ac:dyDescent="0.25">
      <c r="B472" s="10">
        <v>267.036</v>
      </c>
      <c r="C472" s="14">
        <v>4.5392999999999999</v>
      </c>
      <c r="F472" s="8">
        <f t="shared" si="29"/>
        <v>0.74575999999999998</v>
      </c>
      <c r="G472" s="8">
        <v>0.25424000000000002</v>
      </c>
    </row>
    <row r="473" spans="1:7" x14ac:dyDescent="0.25">
      <c r="B473" s="10">
        <v>266.92099999999999</v>
      </c>
      <c r="C473" s="14">
        <v>4.5350999999999999</v>
      </c>
      <c r="F473" s="8">
        <f t="shared" si="29"/>
        <v>0.74575999999999998</v>
      </c>
      <c r="G473" s="8">
        <v>0.25424000000000002</v>
      </c>
    </row>
    <row r="474" spans="1:7" x14ac:dyDescent="0.25">
      <c r="B474" s="10">
        <v>263.279</v>
      </c>
      <c r="C474" s="14">
        <v>4.0183999999999997</v>
      </c>
      <c r="F474" s="8">
        <f t="shared" si="29"/>
        <v>0.74575999999999998</v>
      </c>
      <c r="G474" s="8">
        <v>0.25424000000000002</v>
      </c>
    </row>
    <row r="475" spans="1:7" x14ac:dyDescent="0.25">
      <c r="B475" s="10">
        <v>260.55500000000001</v>
      </c>
      <c r="C475" s="14">
        <v>3.6743000000000001</v>
      </c>
      <c r="F475" s="8">
        <f t="shared" si="29"/>
        <v>0.74575999999999998</v>
      </c>
      <c r="G475" s="8">
        <v>0.25424000000000002</v>
      </c>
    </row>
    <row r="476" spans="1:7" x14ac:dyDescent="0.25">
      <c r="B476" s="10">
        <v>259.74299999999999</v>
      </c>
      <c r="C476" s="14">
        <v>3.5691999999999999</v>
      </c>
      <c r="F476" s="8">
        <f t="shared" si="29"/>
        <v>0.74575999999999998</v>
      </c>
      <c r="G476" s="8">
        <v>0.25424000000000002</v>
      </c>
    </row>
    <row r="477" spans="1:7" x14ac:dyDescent="0.25">
      <c r="B477" s="10">
        <v>254.922</v>
      </c>
      <c r="C477" s="14">
        <v>3.0463</v>
      </c>
      <c r="F477" s="8">
        <f t="shared" si="29"/>
        <v>0.74575999999999998</v>
      </c>
      <c r="G477" s="8">
        <v>0.25424000000000002</v>
      </c>
    </row>
    <row r="478" spans="1:7" ht="15.75" thickBot="1" x14ac:dyDescent="0.3">
      <c r="A478" s="9"/>
      <c r="B478" s="11">
        <v>251.63399999999999</v>
      </c>
      <c r="C478" s="16">
        <v>2.7088999999999999</v>
      </c>
      <c r="D478" s="9"/>
      <c r="E478" s="9"/>
      <c r="F478" s="9">
        <f>1-G478</f>
        <v>0.74575999999999998</v>
      </c>
      <c r="G478" s="9">
        <v>0.25424000000000002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2D20-AD28-4FD1-8909-AA69C06B8EF2}">
  <sheetPr codeName="Hoja4"/>
  <dimension ref="A1:I374"/>
  <sheetViews>
    <sheetView workbookViewId="0">
      <pane ySplit="1" topLeftCell="A2" activePane="bottomLeft" state="frozen"/>
      <selection pane="bottomLeft" activeCell="I1" sqref="I1"/>
    </sheetView>
  </sheetViews>
  <sheetFormatPr defaultColWidth="11.42578125" defaultRowHeight="15" x14ac:dyDescent="0.25"/>
  <cols>
    <col min="1" max="1" width="36.28515625" style="8" bestFit="1" customWidth="1"/>
    <col min="2" max="2" width="8" style="8" bestFit="1" customWidth="1"/>
    <col min="3" max="3" width="12" style="8" bestFit="1" customWidth="1"/>
    <col min="4" max="4" width="7.28515625" style="14" bestFit="1" customWidth="1"/>
    <col min="5" max="5" width="9.42578125" style="14" bestFit="1" customWidth="1"/>
    <col min="6" max="6" width="7.28515625" style="14" bestFit="1" customWidth="1"/>
    <col min="7" max="7" width="9.42578125" style="14" bestFit="1" customWidth="1"/>
    <col min="8" max="8" width="11.42578125" style="1"/>
    <col min="9" max="9" width="36.28515625" style="1" bestFit="1" customWidth="1"/>
    <col min="10" max="16384" width="11.42578125" style="1"/>
  </cols>
  <sheetData>
    <row r="1" spans="1:9" ht="18" x14ac:dyDescent="0.25">
      <c r="A1" s="8" t="s">
        <v>0</v>
      </c>
      <c r="B1" s="10" t="s">
        <v>3</v>
      </c>
      <c r="C1" s="12" t="s">
        <v>4</v>
      </c>
      <c r="D1" s="14" t="s">
        <v>12</v>
      </c>
      <c r="E1" s="14" t="s">
        <v>2</v>
      </c>
      <c r="F1" s="14" t="s">
        <v>13</v>
      </c>
      <c r="G1" s="14" t="s">
        <v>7</v>
      </c>
      <c r="I1" s="1" t="s">
        <v>0</v>
      </c>
    </row>
    <row r="2" spans="1:9" x14ac:dyDescent="0.25">
      <c r="A2" s="18" t="s">
        <v>87</v>
      </c>
      <c r="B2" s="8">
        <v>199.81700000000001</v>
      </c>
      <c r="C2" s="8">
        <f>500/145.038</f>
        <v>3.4473724127470038</v>
      </c>
      <c r="D2" s="14">
        <f>1-E2</f>
        <v>0.98199999999999998</v>
      </c>
      <c r="E2" s="14">
        <v>1.8000000000000002E-2</v>
      </c>
      <c r="F2" s="14">
        <f>1-G2</f>
        <v>8.340000000000003E-2</v>
      </c>
      <c r="G2" s="14">
        <v>0.91659999999999997</v>
      </c>
      <c r="I2" s="1" t="s">
        <v>87</v>
      </c>
    </row>
    <row r="3" spans="1:9" x14ac:dyDescent="0.25">
      <c r="B3" s="8">
        <v>199.81700000000001</v>
      </c>
      <c r="C3" s="8">
        <f>1000/145.038</f>
        <v>6.8947448254940076</v>
      </c>
      <c r="D3" s="14">
        <f t="shared" ref="D3:D6" si="0">1-E3</f>
        <v>0.96099999999999997</v>
      </c>
      <c r="E3" s="14">
        <v>3.9E-2</v>
      </c>
      <c r="F3" s="14">
        <f t="shared" ref="F3:F6" si="1">1-G3</f>
        <v>5.2400000000000002E-2</v>
      </c>
      <c r="G3" s="14">
        <v>0.9476</v>
      </c>
      <c r="I3" s="1" t="s">
        <v>62</v>
      </c>
    </row>
    <row r="4" spans="1:9" x14ac:dyDescent="0.25">
      <c r="B4" s="8">
        <v>199.81700000000001</v>
      </c>
      <c r="C4" s="8">
        <f>1000/145.038</f>
        <v>6.8947448254940076</v>
      </c>
      <c r="D4" s="14">
        <f t="shared" si="0"/>
        <v>0.96179999999999999</v>
      </c>
      <c r="E4" s="14">
        <v>3.8199999999999998E-2</v>
      </c>
      <c r="F4" s="14">
        <f t="shared" si="1"/>
        <v>5.1699999999999968E-2</v>
      </c>
      <c r="G4" s="14">
        <v>0.94830000000000003</v>
      </c>
      <c r="I4" s="1" t="s">
        <v>42</v>
      </c>
    </row>
    <row r="5" spans="1:9" x14ac:dyDescent="0.25">
      <c r="B5" s="8">
        <v>144.261</v>
      </c>
      <c r="C5" s="8">
        <f>500/145.038</f>
        <v>3.4473724127470038</v>
      </c>
      <c r="D5" s="14">
        <f t="shared" si="0"/>
        <v>0.98799999999999999</v>
      </c>
      <c r="E5" s="14">
        <v>1.2E-2</v>
      </c>
      <c r="F5" s="14">
        <f t="shared" si="1"/>
        <v>3.0999999999999917E-3</v>
      </c>
      <c r="G5" s="14">
        <v>0.99690000000000001</v>
      </c>
      <c r="I5" s="1" t="s">
        <v>61</v>
      </c>
    </row>
    <row r="6" spans="1:9" ht="15.75" thickBot="1" x14ac:dyDescent="0.3">
      <c r="A6" s="9"/>
      <c r="B6" s="9">
        <v>144.261</v>
      </c>
      <c r="C6" s="9">
        <f>1000/145.038</f>
        <v>6.8947448254940076</v>
      </c>
      <c r="D6" s="16">
        <f t="shared" si="0"/>
        <v>0.97750000000000004</v>
      </c>
      <c r="E6" s="16">
        <v>2.2499999999999999E-2</v>
      </c>
      <c r="F6" s="16">
        <f t="shared" si="1"/>
        <v>3.0000000000000027E-3</v>
      </c>
      <c r="G6" s="16">
        <v>0.997</v>
      </c>
    </row>
    <row r="7" spans="1:9" x14ac:dyDescent="0.25">
      <c r="A7" s="18" t="s">
        <v>62</v>
      </c>
      <c r="B7" s="13">
        <v>189.55</v>
      </c>
      <c r="C7" s="12">
        <v>2.5229925</v>
      </c>
      <c r="F7" s="14">
        <v>6.7299999999999999E-2</v>
      </c>
      <c r="G7" s="14">
        <f>1-F7</f>
        <v>0.93269999999999997</v>
      </c>
    </row>
    <row r="8" spans="1:9" x14ac:dyDescent="0.25">
      <c r="B8" s="13">
        <v>189.55</v>
      </c>
      <c r="C8" s="12">
        <v>2.5533899999999998</v>
      </c>
      <c r="D8" s="14">
        <f t="shared" ref="D8:D70" si="2">1-E8</f>
        <v>0.98550000000000004</v>
      </c>
      <c r="E8" s="14">
        <v>1.4500000000000001E-2</v>
      </c>
    </row>
    <row r="9" spans="1:9" x14ac:dyDescent="0.25">
      <c r="B9" s="13">
        <v>189.57</v>
      </c>
      <c r="C9" s="12">
        <v>4.1441924999999999</v>
      </c>
      <c r="D9" s="14">
        <f t="shared" si="2"/>
        <v>0.97609999999999997</v>
      </c>
      <c r="E9" s="14">
        <v>2.3900000000000001E-2</v>
      </c>
      <c r="F9" s="14">
        <v>4.6199999999999998E-2</v>
      </c>
      <c r="G9" s="14">
        <f t="shared" ref="G9:G71" si="3">1-F9</f>
        <v>0.95379999999999998</v>
      </c>
    </row>
    <row r="10" spans="1:9" x14ac:dyDescent="0.25">
      <c r="B10" s="13">
        <v>189.59</v>
      </c>
      <c r="C10" s="12">
        <v>6.0896324999999996</v>
      </c>
      <c r="D10" s="14">
        <f t="shared" si="2"/>
        <v>0.96460000000000001</v>
      </c>
      <c r="E10" s="14">
        <v>3.5400000000000001E-2</v>
      </c>
      <c r="F10" s="14">
        <v>3.5999999999999997E-2</v>
      </c>
      <c r="G10" s="14">
        <f t="shared" si="3"/>
        <v>0.96399999999999997</v>
      </c>
    </row>
    <row r="11" spans="1:9" x14ac:dyDescent="0.25">
      <c r="B11" s="13">
        <v>189.73</v>
      </c>
      <c r="C11" s="12">
        <v>9.1901775000000008</v>
      </c>
      <c r="F11" s="14">
        <v>2.9399999999999999E-2</v>
      </c>
      <c r="G11" s="14">
        <f t="shared" si="3"/>
        <v>0.97060000000000002</v>
      </c>
    </row>
    <row r="12" spans="1:9" x14ac:dyDescent="0.25">
      <c r="B12" s="13">
        <v>189.59</v>
      </c>
      <c r="C12" s="12">
        <v>10.274355</v>
      </c>
      <c r="D12" s="14">
        <f t="shared" si="2"/>
        <v>0.94299999999999995</v>
      </c>
      <c r="E12" s="14">
        <v>5.7000000000000002E-2</v>
      </c>
      <c r="F12" s="14">
        <v>2.8199999999999999E-2</v>
      </c>
      <c r="G12" s="14">
        <f t="shared" si="3"/>
        <v>0.9718</v>
      </c>
    </row>
    <row r="13" spans="1:9" x14ac:dyDescent="0.25">
      <c r="B13" s="13">
        <v>189.73</v>
      </c>
      <c r="C13" s="12">
        <v>12.179264999999999</v>
      </c>
      <c r="F13" s="14">
        <v>2.7E-2</v>
      </c>
      <c r="G13" s="14">
        <f t="shared" si="3"/>
        <v>0.97299999999999998</v>
      </c>
    </row>
    <row r="14" spans="1:9" x14ac:dyDescent="0.25">
      <c r="B14" s="13">
        <v>189.55</v>
      </c>
      <c r="C14" s="12">
        <v>14.5401375</v>
      </c>
      <c r="D14" s="14">
        <f t="shared" si="2"/>
        <v>0.92249999999999999</v>
      </c>
      <c r="E14" s="14">
        <v>7.7499999999999999E-2</v>
      </c>
      <c r="F14" s="14">
        <v>2.6100000000000002E-2</v>
      </c>
      <c r="G14" s="14">
        <f t="shared" si="3"/>
        <v>0.97389999999999999</v>
      </c>
    </row>
    <row r="15" spans="1:9" x14ac:dyDescent="0.25">
      <c r="B15" s="13">
        <v>189.58</v>
      </c>
      <c r="C15" s="12">
        <v>15.350737499999999</v>
      </c>
      <c r="F15" s="14">
        <v>2.5899999999999999E-2</v>
      </c>
      <c r="G15" s="14">
        <f t="shared" si="3"/>
        <v>0.97409999999999997</v>
      </c>
    </row>
    <row r="16" spans="1:9" x14ac:dyDescent="0.25">
      <c r="B16" s="13">
        <v>169.4</v>
      </c>
      <c r="C16" s="12">
        <v>2.4621974999999998</v>
      </c>
      <c r="D16" s="14">
        <f t="shared" si="2"/>
        <v>0.9879</v>
      </c>
      <c r="E16" s="14">
        <v>1.21E-2</v>
      </c>
      <c r="F16" s="14">
        <v>2.2100000000000002E-2</v>
      </c>
      <c r="G16" s="14">
        <f t="shared" si="3"/>
        <v>0.97789999999999999</v>
      </c>
    </row>
    <row r="17" spans="2:7" x14ac:dyDescent="0.25">
      <c r="B17" s="13">
        <v>169.4</v>
      </c>
      <c r="C17" s="12">
        <v>4.0732650000000001</v>
      </c>
      <c r="D17" s="14">
        <f t="shared" si="2"/>
        <v>0.98070000000000002</v>
      </c>
      <c r="E17" s="14">
        <v>1.9300000000000001E-2</v>
      </c>
      <c r="F17" s="14">
        <v>1.54E-2</v>
      </c>
      <c r="G17" s="14">
        <f t="shared" si="3"/>
        <v>0.98460000000000003</v>
      </c>
    </row>
    <row r="18" spans="2:7" x14ac:dyDescent="0.25">
      <c r="B18" s="13">
        <v>169.39</v>
      </c>
      <c r="C18" s="12">
        <v>6.0997649999999997</v>
      </c>
      <c r="D18" s="14">
        <f t="shared" si="2"/>
        <v>0.97140000000000004</v>
      </c>
      <c r="E18" s="14">
        <v>2.86E-2</v>
      </c>
      <c r="F18" s="14">
        <v>1.24E-2</v>
      </c>
      <c r="G18" s="14">
        <f t="shared" si="3"/>
        <v>0.98760000000000003</v>
      </c>
    </row>
    <row r="19" spans="2:7" x14ac:dyDescent="0.25">
      <c r="B19" s="13">
        <v>169.43</v>
      </c>
      <c r="C19" s="12">
        <v>8.9875275000000006</v>
      </c>
      <c r="D19" s="14">
        <f t="shared" si="2"/>
        <v>0.95909999999999995</v>
      </c>
      <c r="E19" s="14">
        <v>4.0899999999999999E-2</v>
      </c>
      <c r="F19" s="14">
        <v>1.0999999999999999E-2</v>
      </c>
      <c r="G19" s="14">
        <f t="shared" si="3"/>
        <v>0.98899999999999999</v>
      </c>
    </row>
    <row r="20" spans="2:7" x14ac:dyDescent="0.25">
      <c r="B20" s="13">
        <v>169.43</v>
      </c>
      <c r="C20" s="12">
        <v>12.159000000000001</v>
      </c>
      <c r="F20" s="14">
        <v>1.0500000000000001E-2</v>
      </c>
      <c r="G20" s="14">
        <f t="shared" si="3"/>
        <v>0.98950000000000005</v>
      </c>
    </row>
    <row r="21" spans="2:7" x14ac:dyDescent="0.25">
      <c r="B21" s="13">
        <v>169.46</v>
      </c>
      <c r="C21" s="12">
        <v>14.621197500000003</v>
      </c>
      <c r="F21" s="14">
        <v>1.0800000000000001E-2</v>
      </c>
      <c r="G21" s="14">
        <f t="shared" si="3"/>
        <v>0.98919999999999997</v>
      </c>
    </row>
    <row r="22" spans="2:7" x14ac:dyDescent="0.25">
      <c r="B22" s="13">
        <v>169.41</v>
      </c>
      <c r="C22" s="12">
        <v>14.985967499999999</v>
      </c>
      <c r="D22" s="14">
        <f t="shared" si="2"/>
        <v>0.93489999999999995</v>
      </c>
      <c r="E22" s="14">
        <v>6.5100000000000005E-2</v>
      </c>
      <c r="F22" s="14">
        <v>1.06E-2</v>
      </c>
      <c r="G22" s="14">
        <f t="shared" si="3"/>
        <v>0.98939999999999995</v>
      </c>
    </row>
    <row r="23" spans="2:7" x14ac:dyDescent="0.25">
      <c r="B23" s="13">
        <v>149.43</v>
      </c>
      <c r="C23" s="12">
        <v>1.9049100000000001</v>
      </c>
      <c r="D23" s="14">
        <f t="shared" si="2"/>
        <v>0.99255000000000004</v>
      </c>
      <c r="E23" s="14">
        <v>7.45E-3</v>
      </c>
    </row>
    <row r="24" spans="2:7" x14ac:dyDescent="0.25">
      <c r="B24" s="13">
        <v>149.44</v>
      </c>
      <c r="C24" s="12">
        <v>2.0265</v>
      </c>
      <c r="D24" s="14">
        <f t="shared" si="2"/>
        <v>0.99212999999999996</v>
      </c>
      <c r="E24" s="14">
        <v>7.8700000000000003E-3</v>
      </c>
    </row>
    <row r="25" spans="2:7" x14ac:dyDescent="0.25">
      <c r="B25" s="13">
        <v>149.69</v>
      </c>
      <c r="C25" s="12">
        <v>2.1987524999999999</v>
      </c>
      <c r="F25" s="14">
        <v>5.7600000000000004E-3</v>
      </c>
      <c r="G25" s="14">
        <f t="shared" si="3"/>
        <v>0.99424000000000001</v>
      </c>
    </row>
    <row r="26" spans="2:7" x14ac:dyDescent="0.25">
      <c r="B26" s="13">
        <v>149.62</v>
      </c>
      <c r="C26" s="12">
        <v>3.9314099999999996</v>
      </c>
      <c r="F26" s="14">
        <v>3.8899999999999998E-3</v>
      </c>
      <c r="G26" s="14">
        <f t="shared" si="3"/>
        <v>0.99611000000000005</v>
      </c>
    </row>
    <row r="27" spans="2:7" x14ac:dyDescent="0.25">
      <c r="B27" s="13">
        <v>149.41</v>
      </c>
      <c r="C27" s="12">
        <v>4.0023375000000003</v>
      </c>
      <c r="D27" s="14">
        <f t="shared" si="2"/>
        <v>0.98499999999999999</v>
      </c>
      <c r="E27" s="14">
        <v>1.4999999999999999E-2</v>
      </c>
    </row>
    <row r="28" spans="2:7" x14ac:dyDescent="0.25">
      <c r="B28" s="13">
        <v>149.09</v>
      </c>
      <c r="C28" s="12">
        <v>6.0187049999999997</v>
      </c>
      <c r="D28" s="14">
        <f t="shared" si="2"/>
        <v>0.97740000000000005</v>
      </c>
      <c r="E28" s="14">
        <v>2.2599999999999999E-2</v>
      </c>
    </row>
    <row r="29" spans="2:7" x14ac:dyDescent="0.25">
      <c r="B29" s="13">
        <v>149.52000000000001</v>
      </c>
      <c r="C29" s="12">
        <v>6.0795000000000003</v>
      </c>
      <c r="F29" s="14">
        <v>3.3E-3</v>
      </c>
      <c r="G29" s="14">
        <f t="shared" si="3"/>
        <v>0.99670000000000003</v>
      </c>
    </row>
    <row r="30" spans="2:7" x14ac:dyDescent="0.25">
      <c r="B30" s="13">
        <v>149.68</v>
      </c>
      <c r="C30" s="12">
        <v>8.9166000000000007</v>
      </c>
      <c r="F30" s="14">
        <v>3.0999999999999999E-3</v>
      </c>
      <c r="G30" s="14">
        <f t="shared" si="3"/>
        <v>0.99690000000000001</v>
      </c>
    </row>
    <row r="31" spans="2:7" x14ac:dyDescent="0.25">
      <c r="B31" s="13">
        <v>149.31</v>
      </c>
      <c r="C31" s="12">
        <v>9.1192499999999992</v>
      </c>
      <c r="D31" s="14">
        <f t="shared" si="2"/>
        <v>0.96679999999999999</v>
      </c>
      <c r="E31" s="14">
        <v>3.32E-2</v>
      </c>
    </row>
    <row r="32" spans="2:7" x14ac:dyDescent="0.25">
      <c r="B32" s="13">
        <v>149.54</v>
      </c>
      <c r="C32" s="12">
        <v>12.0475425</v>
      </c>
      <c r="D32" s="14">
        <f t="shared" si="2"/>
        <v>0.95860000000000001</v>
      </c>
      <c r="E32" s="14">
        <v>4.1399999999999999E-2</v>
      </c>
      <c r="F32" s="14">
        <v>3.0500000000000002E-3</v>
      </c>
      <c r="G32" s="14">
        <f t="shared" si="3"/>
        <v>0.99695</v>
      </c>
    </row>
    <row r="33" spans="2:7" x14ac:dyDescent="0.25">
      <c r="B33" s="13">
        <v>149.78</v>
      </c>
      <c r="C33" s="12">
        <v>14.864377499999998</v>
      </c>
      <c r="D33" s="14">
        <f>1-E33</f>
        <v>0.94930000000000003</v>
      </c>
      <c r="E33" s="14">
        <v>5.0700000000000002E-2</v>
      </c>
      <c r="F33" s="14">
        <v>3.31E-3</v>
      </c>
      <c r="G33" s="14">
        <f>1-F33</f>
        <v>0.99668999999999996</v>
      </c>
    </row>
    <row r="34" spans="2:7" x14ac:dyDescent="0.25">
      <c r="B34" s="13">
        <v>130</v>
      </c>
      <c r="C34" s="12">
        <v>0.50155875000000005</v>
      </c>
      <c r="F34" s="14">
        <v>2.5799999999999998E-3</v>
      </c>
      <c r="G34" s="14">
        <f t="shared" si="3"/>
        <v>0.99741999999999997</v>
      </c>
    </row>
    <row r="35" spans="2:7" x14ac:dyDescent="0.25">
      <c r="B35" s="13">
        <v>130</v>
      </c>
      <c r="C35" s="12">
        <v>0.63530774999999995</v>
      </c>
      <c r="F35" s="14">
        <v>2.14E-3</v>
      </c>
      <c r="G35" s="14">
        <f t="shared" si="3"/>
        <v>0.99785999999999997</v>
      </c>
    </row>
    <row r="36" spans="2:7" x14ac:dyDescent="0.25">
      <c r="B36" s="13">
        <v>130</v>
      </c>
      <c r="C36" s="12">
        <v>1.01325</v>
      </c>
      <c r="F36" s="14">
        <v>1.4499999999999999E-3</v>
      </c>
      <c r="G36" s="14">
        <f t="shared" si="3"/>
        <v>0.99855000000000005</v>
      </c>
    </row>
    <row r="37" spans="2:7" x14ac:dyDescent="0.25">
      <c r="B37" s="13">
        <v>130</v>
      </c>
      <c r="C37" s="12">
        <v>1.05884625</v>
      </c>
      <c r="F37" s="14">
        <v>1.3699999999999999E-3</v>
      </c>
      <c r="G37" s="14">
        <f t="shared" si="3"/>
        <v>0.99863000000000002</v>
      </c>
    </row>
    <row r="38" spans="2:7" x14ac:dyDescent="0.25">
      <c r="B38" s="13">
        <v>129.74</v>
      </c>
      <c r="C38" s="12">
        <v>2.5635224999999999</v>
      </c>
      <c r="D38" s="14">
        <f t="shared" si="2"/>
        <v>0.99231000000000003</v>
      </c>
      <c r="E38" s="14">
        <v>7.6899999999999998E-3</v>
      </c>
    </row>
    <row r="39" spans="2:7" x14ac:dyDescent="0.25">
      <c r="B39" s="13">
        <v>130</v>
      </c>
      <c r="C39" s="12">
        <v>2.6729535000000002</v>
      </c>
      <c r="F39" s="14">
        <v>7.4600000000000003E-4</v>
      </c>
      <c r="G39" s="14">
        <f t="shared" si="3"/>
        <v>0.99925399999999998</v>
      </c>
    </row>
    <row r="40" spans="2:7" x14ac:dyDescent="0.25">
      <c r="B40" s="13">
        <v>130</v>
      </c>
      <c r="C40" s="12">
        <v>4.0529999999999999</v>
      </c>
      <c r="F40" s="14">
        <v>6.2299999999999996E-4</v>
      </c>
      <c r="G40" s="14">
        <f t="shared" si="3"/>
        <v>0.99937699999999996</v>
      </c>
    </row>
    <row r="41" spans="2:7" x14ac:dyDescent="0.25">
      <c r="B41" s="13">
        <v>129.58000000000001</v>
      </c>
      <c r="C41" s="12">
        <v>5.1270449999999999</v>
      </c>
      <c r="D41" s="14">
        <f t="shared" si="2"/>
        <v>0.98460000000000003</v>
      </c>
      <c r="E41" s="14">
        <v>1.54E-2</v>
      </c>
    </row>
    <row r="42" spans="2:7" x14ac:dyDescent="0.25">
      <c r="B42" s="13">
        <v>130</v>
      </c>
      <c r="C42" s="12">
        <v>6.0795000000000003</v>
      </c>
      <c r="F42" s="14">
        <v>5.7799999999999995E-4</v>
      </c>
      <c r="G42" s="14">
        <f t="shared" si="3"/>
        <v>0.99942200000000003</v>
      </c>
    </row>
    <row r="43" spans="2:7" x14ac:dyDescent="0.25">
      <c r="B43" s="13">
        <v>129.49</v>
      </c>
      <c r="C43" s="12">
        <v>8.0857349999999997</v>
      </c>
      <c r="D43" s="14">
        <f t="shared" si="2"/>
        <v>0.97770000000000001</v>
      </c>
      <c r="E43" s="14">
        <v>2.23E-2</v>
      </c>
    </row>
    <row r="44" spans="2:7" x14ac:dyDescent="0.25">
      <c r="B44" s="13">
        <v>130</v>
      </c>
      <c r="C44" s="12">
        <v>9.1800449999999998</v>
      </c>
      <c r="F44" s="14">
        <v>6.0499999999999996E-4</v>
      </c>
      <c r="G44" s="14">
        <f t="shared" si="3"/>
        <v>0.99939500000000003</v>
      </c>
    </row>
    <row r="45" spans="2:7" x14ac:dyDescent="0.25">
      <c r="B45" s="13">
        <v>129.59</v>
      </c>
      <c r="C45" s="12">
        <v>11.328135</v>
      </c>
      <c r="D45" s="14">
        <f t="shared" si="2"/>
        <v>0.97009999999999996</v>
      </c>
      <c r="E45" s="14">
        <v>2.9899999999999999E-2</v>
      </c>
    </row>
    <row r="46" spans="2:7" x14ac:dyDescent="0.25">
      <c r="B46" s="13">
        <v>130</v>
      </c>
      <c r="C46" s="12">
        <v>12.1893975</v>
      </c>
      <c r="F46" s="14">
        <v>6.7199999999999996E-4</v>
      </c>
      <c r="G46" s="14">
        <f t="shared" si="3"/>
        <v>0.99932799999999999</v>
      </c>
    </row>
    <row r="47" spans="2:7" x14ac:dyDescent="0.25">
      <c r="B47" s="13">
        <v>129.78</v>
      </c>
      <c r="C47" s="12">
        <v>14.823847500000001</v>
      </c>
      <c r="D47" s="14">
        <f t="shared" si="2"/>
        <v>0.96320000000000006</v>
      </c>
      <c r="E47" s="14">
        <v>3.6799999999999999E-2</v>
      </c>
    </row>
    <row r="48" spans="2:7" x14ac:dyDescent="0.25">
      <c r="B48" s="13">
        <v>130</v>
      </c>
      <c r="C48" s="12">
        <v>15.168352499999997</v>
      </c>
      <c r="F48" s="14">
        <v>7.9299999999999998E-4</v>
      </c>
      <c r="G48" s="14">
        <f t="shared" si="3"/>
        <v>0.99920699999999996</v>
      </c>
    </row>
    <row r="49" spans="2:7" x14ac:dyDescent="0.25">
      <c r="B49" s="13">
        <v>122</v>
      </c>
      <c r="C49" s="12">
        <v>0.58261874999999996</v>
      </c>
      <c r="F49" s="14">
        <v>8.9400000000000005E-4</v>
      </c>
      <c r="G49" s="14">
        <f t="shared" si="3"/>
        <v>0.99910600000000005</v>
      </c>
    </row>
    <row r="50" spans="2:7" x14ac:dyDescent="0.25">
      <c r="B50" s="13">
        <v>122</v>
      </c>
      <c r="C50" s="12">
        <v>1.04466075</v>
      </c>
      <c r="F50" s="14">
        <v>5.5599999999999996E-4</v>
      </c>
      <c r="G50" s="14">
        <f t="shared" si="3"/>
        <v>0.999444</v>
      </c>
    </row>
    <row r="51" spans="2:7" x14ac:dyDescent="0.25">
      <c r="B51" s="13">
        <v>122</v>
      </c>
      <c r="C51" s="12">
        <v>1.05074025</v>
      </c>
      <c r="F51" s="14">
        <v>5.5400000000000002E-4</v>
      </c>
      <c r="G51" s="14">
        <f t="shared" si="3"/>
        <v>0.99944599999999995</v>
      </c>
    </row>
    <row r="52" spans="2:7" x14ac:dyDescent="0.25">
      <c r="B52" s="13">
        <v>121.91</v>
      </c>
      <c r="C52" s="12">
        <v>2.573655</v>
      </c>
      <c r="D52" s="14">
        <f t="shared" si="2"/>
        <v>0.99329999999999996</v>
      </c>
      <c r="E52" s="14">
        <v>6.7000000000000002E-3</v>
      </c>
    </row>
    <row r="53" spans="2:7" x14ac:dyDescent="0.25">
      <c r="B53" s="13">
        <v>122</v>
      </c>
      <c r="C53" s="12">
        <v>2.6405295</v>
      </c>
      <c r="F53" s="14">
        <v>3.0299999999999999E-4</v>
      </c>
      <c r="G53" s="14">
        <f t="shared" si="3"/>
        <v>0.99969699999999995</v>
      </c>
    </row>
    <row r="54" spans="2:7" x14ac:dyDescent="0.25">
      <c r="B54" s="13">
        <v>122</v>
      </c>
      <c r="C54" s="12">
        <v>4.0915035000000008</v>
      </c>
      <c r="F54" s="14">
        <v>2.6899999999999998E-4</v>
      </c>
      <c r="G54" s="14">
        <f t="shared" si="3"/>
        <v>0.99973100000000004</v>
      </c>
    </row>
    <row r="55" spans="2:7" x14ac:dyDescent="0.25">
      <c r="B55" s="13">
        <v>121.91</v>
      </c>
      <c r="C55" s="12">
        <v>5.1473100000000001</v>
      </c>
      <c r="D55" s="14">
        <f t="shared" si="2"/>
        <v>0.98740000000000006</v>
      </c>
      <c r="E55" s="14">
        <v>1.26E-2</v>
      </c>
    </row>
    <row r="56" spans="2:7" x14ac:dyDescent="0.25">
      <c r="B56" s="13">
        <v>122</v>
      </c>
      <c r="C56" s="12">
        <v>5.95791</v>
      </c>
      <c r="F56" s="14">
        <v>2.6200000000000003E-4</v>
      </c>
      <c r="G56" s="14">
        <f t="shared" si="3"/>
        <v>0.99973800000000002</v>
      </c>
    </row>
    <row r="57" spans="2:7" x14ac:dyDescent="0.25">
      <c r="B57" s="13">
        <v>121.86</v>
      </c>
      <c r="C57" s="12">
        <v>8.0553375000000003</v>
      </c>
      <c r="D57" s="14">
        <f t="shared" si="2"/>
        <v>0.98089999999999999</v>
      </c>
      <c r="E57" s="14">
        <v>1.9099999999999999E-2</v>
      </c>
    </row>
    <row r="58" spans="2:7" x14ac:dyDescent="0.25">
      <c r="B58" s="13">
        <v>122</v>
      </c>
      <c r="C58" s="12">
        <v>8.1667949999999987</v>
      </c>
      <c r="F58" s="14">
        <v>2.7599999999999999E-4</v>
      </c>
      <c r="G58" s="14">
        <f t="shared" si="3"/>
        <v>0.99972399999999995</v>
      </c>
    </row>
    <row r="59" spans="2:7" x14ac:dyDescent="0.25">
      <c r="B59" s="13">
        <v>121.71</v>
      </c>
      <c r="C59" s="12">
        <v>10.98363</v>
      </c>
      <c r="D59" s="14">
        <f t="shared" si="2"/>
        <v>0.97509999999999997</v>
      </c>
      <c r="E59" s="14">
        <v>2.4899999999999999E-2</v>
      </c>
    </row>
    <row r="60" spans="2:7" x14ac:dyDescent="0.25">
      <c r="B60" s="13">
        <v>122</v>
      </c>
      <c r="C60" s="12">
        <v>11.338267500000001</v>
      </c>
      <c r="F60" s="14">
        <v>3.2499999999999999E-4</v>
      </c>
      <c r="G60" s="14">
        <f t="shared" si="3"/>
        <v>0.99967499999999998</v>
      </c>
    </row>
    <row r="61" spans="2:7" x14ac:dyDescent="0.25">
      <c r="B61" s="13">
        <v>122</v>
      </c>
      <c r="C61" s="12">
        <v>13.719405</v>
      </c>
      <c r="F61" s="14">
        <v>3.8099999999999999E-4</v>
      </c>
      <c r="G61" s="14">
        <f t="shared" si="3"/>
        <v>0.99961900000000004</v>
      </c>
    </row>
    <row r="62" spans="2:7" x14ac:dyDescent="0.25">
      <c r="B62" s="13">
        <v>122</v>
      </c>
      <c r="C62" s="12">
        <v>14.327355000000001</v>
      </c>
      <c r="F62" s="14">
        <v>3.9500000000000001E-4</v>
      </c>
      <c r="G62" s="14">
        <f t="shared" si="3"/>
        <v>0.99960499999999997</v>
      </c>
    </row>
    <row r="63" spans="2:7" x14ac:dyDescent="0.25">
      <c r="B63" s="13">
        <v>121.84</v>
      </c>
      <c r="C63" s="12">
        <v>15.604050000000001</v>
      </c>
      <c r="D63" s="14">
        <f t="shared" si="2"/>
        <v>0.96740000000000004</v>
      </c>
      <c r="E63" s="14">
        <v>3.2599999999999997E-2</v>
      </c>
    </row>
    <row r="64" spans="2:7" x14ac:dyDescent="0.25">
      <c r="B64" s="13">
        <v>108</v>
      </c>
      <c r="C64" s="12">
        <v>1.04466075</v>
      </c>
      <c r="F64" s="14">
        <v>6.5099999999999997E-5</v>
      </c>
      <c r="G64" s="14">
        <f t="shared" si="3"/>
        <v>0.99993489999999996</v>
      </c>
    </row>
    <row r="65" spans="2:7" x14ac:dyDescent="0.25">
      <c r="B65" s="13">
        <v>108</v>
      </c>
      <c r="C65" s="12">
        <v>2.5939199999999998</v>
      </c>
      <c r="F65" s="14">
        <v>4.2899999999999999E-5</v>
      </c>
      <c r="G65" s="14">
        <f t="shared" si="3"/>
        <v>0.99995710000000004</v>
      </c>
    </row>
    <row r="66" spans="2:7" x14ac:dyDescent="0.25">
      <c r="B66" s="13">
        <v>108</v>
      </c>
      <c r="C66" s="12">
        <v>4.2374115000000003</v>
      </c>
      <c r="F66" s="14">
        <v>3.9199999999999997E-5</v>
      </c>
      <c r="G66" s="14">
        <f t="shared" si="3"/>
        <v>0.99996079999999998</v>
      </c>
    </row>
    <row r="67" spans="2:7" x14ac:dyDescent="0.25">
      <c r="B67" s="13">
        <v>107.83</v>
      </c>
      <c r="C67" s="12">
        <v>6.1301625</v>
      </c>
      <c r="D67" s="14">
        <f t="shared" si="2"/>
        <v>0.98860000000000003</v>
      </c>
      <c r="E67" s="14">
        <v>1.14E-2</v>
      </c>
    </row>
    <row r="68" spans="2:7" x14ac:dyDescent="0.25">
      <c r="B68" s="13">
        <v>108</v>
      </c>
      <c r="C68" s="12">
        <v>6.1605600000000003</v>
      </c>
      <c r="F68" s="14">
        <v>4.2599999999999999E-5</v>
      </c>
      <c r="G68" s="14">
        <f t="shared" si="3"/>
        <v>0.9999574</v>
      </c>
    </row>
    <row r="69" spans="2:7" x14ac:dyDescent="0.25">
      <c r="B69" s="13">
        <v>108</v>
      </c>
      <c r="C69" s="12">
        <v>8.4707699999999999</v>
      </c>
      <c r="F69" s="14">
        <v>5.3300000000000001E-5</v>
      </c>
      <c r="G69" s="14">
        <f t="shared" si="3"/>
        <v>0.99994669999999997</v>
      </c>
    </row>
    <row r="70" spans="2:7" x14ac:dyDescent="0.25">
      <c r="B70" s="13">
        <v>107.76</v>
      </c>
      <c r="C70" s="12">
        <v>9.0989850000000008</v>
      </c>
      <c r="D70" s="14">
        <f t="shared" si="2"/>
        <v>0.98399999999999999</v>
      </c>
      <c r="E70" s="14">
        <v>1.6E-2</v>
      </c>
    </row>
    <row r="71" spans="2:7" x14ac:dyDescent="0.25">
      <c r="B71" s="13">
        <v>108</v>
      </c>
      <c r="C71" s="12">
        <v>11.14575</v>
      </c>
      <c r="F71" s="14">
        <v>6.9999999999999994E-5</v>
      </c>
      <c r="G71" s="14">
        <f t="shared" si="3"/>
        <v>0.99992999999999999</v>
      </c>
    </row>
    <row r="72" spans="2:7" x14ac:dyDescent="0.25">
      <c r="B72" s="13">
        <v>107.85</v>
      </c>
      <c r="C72" s="12">
        <v>12.28059</v>
      </c>
      <c r="D72" s="14">
        <f t="shared" ref="D72:D74" si="4">1-E72</f>
        <v>0.97989999999999999</v>
      </c>
      <c r="E72" s="14">
        <v>2.01E-2</v>
      </c>
    </row>
    <row r="73" spans="2:7" x14ac:dyDescent="0.25">
      <c r="B73" s="13">
        <v>108</v>
      </c>
      <c r="C73" s="12">
        <v>14.611064999999998</v>
      </c>
      <c r="F73" s="14">
        <v>1.01E-4</v>
      </c>
      <c r="G73" s="14">
        <f t="shared" ref="G73:G80" si="5">1-F73</f>
        <v>0.99989899999999998</v>
      </c>
    </row>
    <row r="74" spans="2:7" x14ac:dyDescent="0.25">
      <c r="B74" s="13">
        <v>107.85</v>
      </c>
      <c r="C74" s="12">
        <v>15.2899425</v>
      </c>
      <c r="D74" s="14">
        <f t="shared" si="4"/>
        <v>0.97629999999999995</v>
      </c>
      <c r="E74" s="14">
        <v>2.3699999999999999E-2</v>
      </c>
    </row>
    <row r="75" spans="2:7" x14ac:dyDescent="0.25">
      <c r="B75" s="13">
        <v>95</v>
      </c>
      <c r="C75" s="12">
        <v>0.46812150000000002</v>
      </c>
      <c r="F75" s="26">
        <v>9.5200000000000003E-6</v>
      </c>
      <c r="G75" s="26">
        <f t="shared" si="5"/>
        <v>0.99999048000000001</v>
      </c>
    </row>
    <row r="76" spans="2:7" x14ac:dyDescent="0.25">
      <c r="B76" s="13">
        <v>95</v>
      </c>
      <c r="C76" s="12">
        <v>1.0031175000000001</v>
      </c>
      <c r="F76" s="26">
        <v>5.6999999999999996E-6</v>
      </c>
      <c r="G76" s="26">
        <f t="shared" si="5"/>
        <v>0.9999943</v>
      </c>
    </row>
    <row r="77" spans="2:7" x14ac:dyDescent="0.25">
      <c r="B77" s="13">
        <v>95</v>
      </c>
      <c r="C77" s="12">
        <v>2.4946215</v>
      </c>
      <c r="F77" s="26">
        <v>4.1300000000000003E-6</v>
      </c>
      <c r="G77" s="26">
        <f t="shared" si="5"/>
        <v>0.99999587000000001</v>
      </c>
    </row>
    <row r="78" spans="2:7" x14ac:dyDescent="0.25">
      <c r="B78" s="13">
        <v>95</v>
      </c>
      <c r="C78" s="12">
        <v>3.9901785000000003</v>
      </c>
      <c r="F78" s="26">
        <v>4.3599999999999998E-6</v>
      </c>
      <c r="G78" s="26">
        <f t="shared" si="5"/>
        <v>0.99999563999999996</v>
      </c>
    </row>
    <row r="79" spans="2:7" x14ac:dyDescent="0.25">
      <c r="B79" s="13">
        <v>95</v>
      </c>
      <c r="C79" s="12">
        <v>7.0319550000000008</v>
      </c>
      <c r="F79" s="26">
        <v>6.9399999999999996E-6</v>
      </c>
      <c r="G79" s="26">
        <f t="shared" si="5"/>
        <v>0.99999305999999999</v>
      </c>
    </row>
    <row r="80" spans="2:7" x14ac:dyDescent="0.25">
      <c r="B80" s="13">
        <v>95</v>
      </c>
      <c r="C80" s="12">
        <v>10.963365</v>
      </c>
      <c r="F80" s="26">
        <v>1.3699999999999999E-5</v>
      </c>
      <c r="G80" s="26">
        <f t="shared" si="5"/>
        <v>0.99998629999999999</v>
      </c>
    </row>
    <row r="81" spans="1:7" x14ac:dyDescent="0.25">
      <c r="B81" s="13">
        <v>95</v>
      </c>
      <c r="C81" s="12">
        <v>14.9961</v>
      </c>
      <c r="F81" s="26">
        <v>2.4000000000000001E-5</v>
      </c>
      <c r="G81" s="26">
        <f>1-F81</f>
        <v>0.99997599999999998</v>
      </c>
    </row>
    <row r="82" spans="1:7" x14ac:dyDescent="0.25">
      <c r="B82" s="13">
        <v>87</v>
      </c>
      <c r="C82" s="12">
        <v>0.26749800000000001</v>
      </c>
      <c r="F82" s="26">
        <v>1.6700000000000001E-6</v>
      </c>
      <c r="G82" s="26">
        <f t="shared" ref="G82:G96" si="6">1-F82</f>
        <v>0.99999833000000005</v>
      </c>
    </row>
    <row r="83" spans="1:7" x14ac:dyDescent="0.25">
      <c r="B83" s="13">
        <v>87</v>
      </c>
      <c r="C83" s="12">
        <v>1.08519075</v>
      </c>
      <c r="F83" s="26">
        <v>6.8999999999999996E-7</v>
      </c>
      <c r="G83" s="26">
        <f t="shared" si="6"/>
        <v>0.99999930999999997</v>
      </c>
    </row>
    <row r="84" spans="1:7" x14ac:dyDescent="0.25">
      <c r="B84" s="13">
        <v>87</v>
      </c>
      <c r="C84" s="12">
        <v>2.5939199999999998</v>
      </c>
      <c r="F84" s="26">
        <v>5.8100000000000003E-7</v>
      </c>
      <c r="G84" s="26">
        <f t="shared" si="6"/>
        <v>0.999999419</v>
      </c>
    </row>
    <row r="85" spans="1:7" x14ac:dyDescent="0.25">
      <c r="B85" s="13">
        <v>87</v>
      </c>
      <c r="C85" s="12">
        <v>4.1806694999999996</v>
      </c>
      <c r="F85" s="26">
        <v>7.4099999999999998E-7</v>
      </c>
      <c r="G85" s="26">
        <f t="shared" si="6"/>
        <v>0.99999925899999997</v>
      </c>
    </row>
    <row r="86" spans="1:7" x14ac:dyDescent="0.25">
      <c r="B86" s="13">
        <v>87</v>
      </c>
      <c r="C86" s="12">
        <v>7.1535449999999994</v>
      </c>
      <c r="F86" s="26">
        <v>1.5099999999999999E-6</v>
      </c>
      <c r="G86" s="26">
        <f t="shared" si="6"/>
        <v>0.99999848999999996</v>
      </c>
    </row>
    <row r="87" spans="1:7" x14ac:dyDescent="0.25">
      <c r="B87" s="13">
        <v>87</v>
      </c>
      <c r="C87" s="12">
        <v>10.791112500000001</v>
      </c>
      <c r="F87" s="26">
        <v>3.3000000000000002E-6</v>
      </c>
      <c r="G87" s="26">
        <f t="shared" si="6"/>
        <v>0.99999669999999996</v>
      </c>
    </row>
    <row r="88" spans="1:7" x14ac:dyDescent="0.25">
      <c r="B88" s="13">
        <v>87</v>
      </c>
      <c r="C88" s="12">
        <v>15.1075575</v>
      </c>
      <c r="F88" s="26">
        <v>6.5400000000000001E-6</v>
      </c>
      <c r="G88" s="26">
        <f t="shared" si="6"/>
        <v>0.99999346</v>
      </c>
    </row>
    <row r="89" spans="1:7" x14ac:dyDescent="0.25">
      <c r="B89" s="13">
        <v>83</v>
      </c>
      <c r="C89" s="12">
        <v>0.26851124999999998</v>
      </c>
      <c r="F89" s="26">
        <v>3.89E-7</v>
      </c>
      <c r="G89" s="26">
        <f t="shared" si="6"/>
        <v>0.99999961100000001</v>
      </c>
    </row>
    <row r="90" spans="1:7" x14ac:dyDescent="0.25">
      <c r="B90" s="13">
        <v>83</v>
      </c>
      <c r="C90" s="12">
        <v>0.73967249999999996</v>
      </c>
      <c r="F90" s="26">
        <v>2.1400000000000001E-7</v>
      </c>
      <c r="G90" s="26">
        <f t="shared" si="6"/>
        <v>0.99999978599999995</v>
      </c>
    </row>
    <row r="91" spans="1:7" x14ac:dyDescent="0.25">
      <c r="B91" s="13">
        <v>83</v>
      </c>
      <c r="C91" s="12">
        <v>2.5138732500000001</v>
      </c>
      <c r="F91" s="26">
        <v>1.7499999999999999E-7</v>
      </c>
      <c r="G91" s="26">
        <f t="shared" si="6"/>
        <v>0.99999982499999995</v>
      </c>
    </row>
    <row r="92" spans="1:7" x14ac:dyDescent="0.25">
      <c r="B92" s="13">
        <v>83</v>
      </c>
      <c r="C92" s="12">
        <v>4.1036625000000004</v>
      </c>
      <c r="F92" s="26">
        <v>2.35E-7</v>
      </c>
      <c r="G92" s="26">
        <f t="shared" si="6"/>
        <v>0.99999976499999998</v>
      </c>
    </row>
    <row r="93" spans="1:7" x14ac:dyDescent="0.25">
      <c r="B93" s="13">
        <v>83</v>
      </c>
      <c r="C93" s="12">
        <v>7.1940749999999998</v>
      </c>
      <c r="F93" s="26">
        <v>5.4499999999999997E-7</v>
      </c>
      <c r="G93" s="26">
        <f t="shared" si="6"/>
        <v>0.99999945499999998</v>
      </c>
    </row>
    <row r="94" spans="1:7" x14ac:dyDescent="0.25">
      <c r="B94" s="13">
        <v>83</v>
      </c>
      <c r="C94" s="12">
        <v>11.105219999999999</v>
      </c>
      <c r="F94" s="26">
        <v>1.3999999999999999E-6</v>
      </c>
      <c r="G94" s="26">
        <f t="shared" si="6"/>
        <v>0.99999859999999996</v>
      </c>
    </row>
    <row r="95" spans="1:7" x14ac:dyDescent="0.25">
      <c r="B95" s="13">
        <v>83</v>
      </c>
      <c r="C95" s="12">
        <v>15.1075575</v>
      </c>
      <c r="F95" s="26">
        <v>3.01E-6</v>
      </c>
      <c r="G95" s="26">
        <f t="shared" si="6"/>
        <v>0.99999698999999997</v>
      </c>
    </row>
    <row r="96" spans="1:7" ht="15.75" thickBot="1" x14ac:dyDescent="0.3">
      <c r="A96" s="9"/>
      <c r="B96" s="17">
        <v>80</v>
      </c>
      <c r="C96" s="15">
        <v>0.27357749999999997</v>
      </c>
      <c r="D96" s="16"/>
      <c r="E96" s="16"/>
      <c r="F96" s="27">
        <v>1.23E-7</v>
      </c>
      <c r="G96" s="27">
        <f t="shared" si="6"/>
        <v>0.99999987700000004</v>
      </c>
    </row>
    <row r="97" spans="1:7" x14ac:dyDescent="0.25">
      <c r="A97" s="18" t="s">
        <v>42</v>
      </c>
      <c r="B97" s="13">
        <f>-125+273.15</f>
        <v>148.14999999999998</v>
      </c>
      <c r="C97" s="12">
        <v>2.0265</v>
      </c>
      <c r="D97" s="14">
        <f>1-E97</f>
        <v>0.99382000000000004</v>
      </c>
      <c r="E97" s="14">
        <v>6.1799999999999997E-3</v>
      </c>
      <c r="F97" s="14">
        <f>1-G97</f>
        <v>1.4000000000000012E-2</v>
      </c>
      <c r="G97" s="14">
        <v>0.98599999999999999</v>
      </c>
    </row>
    <row r="98" spans="1:7" x14ac:dyDescent="0.25">
      <c r="B98" s="13">
        <f t="shared" ref="B98:B100" si="7">-125+273.15</f>
        <v>148.14999999999998</v>
      </c>
      <c r="C98" s="12">
        <v>4.0529999999999999</v>
      </c>
      <c r="D98" s="14">
        <f t="shared" ref="D98:D112" si="8">1-E98</f>
        <v>0.98780000000000001</v>
      </c>
      <c r="E98" s="14">
        <v>1.2200000000000001E-2</v>
      </c>
      <c r="F98" s="14">
        <f t="shared" ref="F98:F112" si="9">1-G98</f>
        <v>9.000000000000008E-3</v>
      </c>
      <c r="G98" s="14">
        <v>0.99099999999999999</v>
      </c>
    </row>
    <row r="99" spans="1:7" x14ac:dyDescent="0.25">
      <c r="B99" s="13">
        <f t="shared" si="7"/>
        <v>148.14999999999998</v>
      </c>
      <c r="C99" s="12">
        <v>6.0795000000000003</v>
      </c>
      <c r="D99" s="14">
        <f t="shared" si="8"/>
        <v>0.98440000000000005</v>
      </c>
      <c r="E99" s="14">
        <v>1.5599999999999999E-2</v>
      </c>
      <c r="F99" s="14">
        <f t="shared" si="9"/>
        <v>6.0000000000000053E-3</v>
      </c>
      <c r="G99" s="14">
        <v>0.99399999999999999</v>
      </c>
    </row>
    <row r="100" spans="1:7" x14ac:dyDescent="0.25">
      <c r="B100" s="13">
        <f t="shared" si="7"/>
        <v>148.14999999999998</v>
      </c>
      <c r="C100" s="12">
        <v>8.1059999999999999</v>
      </c>
      <c r="D100" s="14">
        <f t="shared" si="8"/>
        <v>0.97789999999999999</v>
      </c>
      <c r="E100" s="14">
        <v>2.2100000000000002E-2</v>
      </c>
      <c r="F100" s="14">
        <f t="shared" si="9"/>
        <v>5.0000000000000044E-3</v>
      </c>
      <c r="G100" s="14">
        <v>0.995</v>
      </c>
    </row>
    <row r="101" spans="1:7" x14ac:dyDescent="0.25">
      <c r="B101" s="8">
        <f>-100+273.15</f>
        <v>173.14999999999998</v>
      </c>
      <c r="C101" s="12">
        <v>2.0265</v>
      </c>
      <c r="D101" s="14">
        <f t="shared" si="8"/>
        <v>0.99112</v>
      </c>
      <c r="E101" s="14">
        <v>8.8800000000000007E-3</v>
      </c>
      <c r="F101" s="14">
        <f t="shared" si="9"/>
        <v>3.6000000000000032E-2</v>
      </c>
      <c r="G101" s="14">
        <v>0.96399999999999997</v>
      </c>
    </row>
    <row r="102" spans="1:7" x14ac:dyDescent="0.25">
      <c r="B102" s="8">
        <f t="shared" ref="B102:B104" si="10">-100+273.15</f>
        <v>173.14999999999998</v>
      </c>
      <c r="C102" s="12">
        <v>4.0529999999999999</v>
      </c>
      <c r="D102" s="14">
        <f t="shared" si="8"/>
        <v>0.98319999999999996</v>
      </c>
      <c r="E102" s="14">
        <v>1.6799999999999999E-2</v>
      </c>
      <c r="F102" s="14">
        <f t="shared" si="9"/>
        <v>2.300000000000002E-2</v>
      </c>
      <c r="G102" s="14">
        <v>0.97699999999999998</v>
      </c>
    </row>
    <row r="103" spans="1:7" x14ac:dyDescent="0.25">
      <c r="B103" s="8">
        <f t="shared" si="10"/>
        <v>173.14999999999998</v>
      </c>
      <c r="C103" s="12">
        <v>6.0795000000000003</v>
      </c>
      <c r="D103" s="14">
        <f t="shared" si="8"/>
        <v>0.97599999999999998</v>
      </c>
      <c r="E103" s="14">
        <v>2.4E-2</v>
      </c>
      <c r="F103" s="14">
        <f t="shared" si="9"/>
        <v>1.7000000000000015E-2</v>
      </c>
      <c r="G103" s="14">
        <v>0.98299999999999998</v>
      </c>
    </row>
    <row r="104" spans="1:7" x14ac:dyDescent="0.25">
      <c r="B104" s="8">
        <f t="shared" si="10"/>
        <v>173.14999999999998</v>
      </c>
      <c r="C104" s="12">
        <v>8.1059999999999999</v>
      </c>
      <c r="D104" s="14">
        <f t="shared" si="8"/>
        <v>0.96640000000000004</v>
      </c>
      <c r="E104" s="14">
        <v>3.3599999999999998E-2</v>
      </c>
      <c r="F104" s="14">
        <f t="shared" si="9"/>
        <v>1.5000000000000013E-2</v>
      </c>
      <c r="G104" s="14">
        <v>0.98499999999999999</v>
      </c>
    </row>
    <row r="105" spans="1:7" x14ac:dyDescent="0.25">
      <c r="B105" s="8">
        <f>-75+273.15</f>
        <v>198.14999999999998</v>
      </c>
      <c r="C105" s="12">
        <v>2.0265</v>
      </c>
      <c r="D105" s="14">
        <f t="shared" si="8"/>
        <v>0.98919999999999997</v>
      </c>
      <c r="E105" s="14">
        <v>1.0800000000000001E-2</v>
      </c>
      <c r="F105" s="14">
        <f t="shared" si="9"/>
        <v>0.11899999999999999</v>
      </c>
      <c r="G105" s="14">
        <v>0.88100000000000001</v>
      </c>
    </row>
    <row r="106" spans="1:7" x14ac:dyDescent="0.25">
      <c r="B106" s="8">
        <f t="shared" ref="B106:B108" si="11">-75+273.15</f>
        <v>198.14999999999998</v>
      </c>
      <c r="C106" s="12">
        <v>4.0529999999999999</v>
      </c>
      <c r="D106" s="14">
        <f t="shared" si="8"/>
        <v>0.97899999999999998</v>
      </c>
      <c r="E106" s="14">
        <v>2.1000000000000001E-2</v>
      </c>
      <c r="F106" s="14">
        <f t="shared" si="9"/>
        <v>6.9999999999999951E-2</v>
      </c>
      <c r="G106" s="14">
        <v>0.93</v>
      </c>
    </row>
    <row r="107" spans="1:7" x14ac:dyDescent="0.25">
      <c r="B107" s="8">
        <f t="shared" si="11"/>
        <v>198.14999999999998</v>
      </c>
      <c r="C107" s="12">
        <v>6.0795000000000003</v>
      </c>
      <c r="D107" s="14">
        <f t="shared" si="8"/>
        <v>0.96809999999999996</v>
      </c>
      <c r="E107" s="14">
        <v>3.1899999999999998E-2</v>
      </c>
      <c r="F107" s="14">
        <f t="shared" si="9"/>
        <v>5.3000000000000047E-2</v>
      </c>
      <c r="G107" s="14">
        <v>0.94699999999999995</v>
      </c>
    </row>
    <row r="108" spans="1:7" x14ac:dyDescent="0.25">
      <c r="B108" s="8">
        <f t="shared" si="11"/>
        <v>198.14999999999998</v>
      </c>
      <c r="C108" s="12">
        <v>8.1059999999999999</v>
      </c>
      <c r="D108" s="14">
        <f t="shared" si="8"/>
        <v>0.95520000000000005</v>
      </c>
      <c r="E108" s="14">
        <v>4.48E-2</v>
      </c>
      <c r="F108" s="14">
        <f t="shared" si="9"/>
        <v>4.9000000000000044E-2</v>
      </c>
      <c r="G108" s="14">
        <v>0.95099999999999996</v>
      </c>
    </row>
    <row r="109" spans="1:7" x14ac:dyDescent="0.25">
      <c r="B109" s="8">
        <f>-50+273.15</f>
        <v>223.14999999999998</v>
      </c>
      <c r="C109" s="12">
        <v>2.0265</v>
      </c>
      <c r="D109" s="14">
        <f t="shared" si="8"/>
        <v>0.98819999999999997</v>
      </c>
      <c r="E109" s="14">
        <v>1.18E-2</v>
      </c>
      <c r="F109" s="14">
        <f t="shared" si="9"/>
        <v>0.31200000000000006</v>
      </c>
      <c r="G109" s="14">
        <v>0.68799999999999994</v>
      </c>
    </row>
    <row r="110" spans="1:7" x14ac:dyDescent="0.25">
      <c r="B110" s="8">
        <f t="shared" ref="B110:B112" si="12">-50+273.15</f>
        <v>223.14999999999998</v>
      </c>
      <c r="C110" s="12">
        <v>4.0529999999999999</v>
      </c>
      <c r="D110" s="14">
        <f t="shared" si="8"/>
        <v>0.97429999999999994</v>
      </c>
      <c r="E110" s="14">
        <v>2.5700000000000001E-2</v>
      </c>
      <c r="F110" s="14">
        <f t="shared" si="9"/>
        <v>0.18799999999999994</v>
      </c>
      <c r="G110" s="14">
        <v>0.81200000000000006</v>
      </c>
    </row>
    <row r="111" spans="1:7" x14ac:dyDescent="0.25">
      <c r="B111" s="8">
        <f t="shared" si="12"/>
        <v>223.14999999999998</v>
      </c>
      <c r="C111" s="12">
        <v>6.0795000000000003</v>
      </c>
      <c r="D111" s="14">
        <f t="shared" si="8"/>
        <v>0.95879999999999999</v>
      </c>
      <c r="E111" s="14">
        <v>4.1200000000000001E-2</v>
      </c>
      <c r="F111" s="14">
        <f t="shared" si="9"/>
        <v>0.13800000000000001</v>
      </c>
      <c r="G111" s="14">
        <v>0.86199999999999999</v>
      </c>
    </row>
    <row r="112" spans="1:7" ht="15.75" thickBot="1" x14ac:dyDescent="0.3">
      <c r="A112" s="9"/>
      <c r="B112" s="9">
        <f t="shared" si="12"/>
        <v>223.14999999999998</v>
      </c>
      <c r="C112" s="15">
        <v>8.1059999999999999</v>
      </c>
      <c r="D112" s="16">
        <f t="shared" si="8"/>
        <v>0.94430000000000003</v>
      </c>
      <c r="E112" s="16">
        <v>5.57E-2</v>
      </c>
      <c r="F112" s="16">
        <f t="shared" si="9"/>
        <v>0.11599999999999999</v>
      </c>
      <c r="G112" s="16">
        <v>0.88400000000000001</v>
      </c>
    </row>
    <row r="113" spans="1:7" x14ac:dyDescent="0.25">
      <c r="A113" s="18" t="s">
        <v>61</v>
      </c>
      <c r="B113" s="13">
        <v>92.5</v>
      </c>
      <c r="C113" s="13">
        <v>7.58</v>
      </c>
      <c r="D113" s="14">
        <f t="shared" ref="D113:D157" si="13">1-E113</f>
        <v>0.99280000000000002</v>
      </c>
      <c r="E113" s="14">
        <v>7.1999999999999998E-3</v>
      </c>
      <c r="F113" s="14">
        <f>1-G113</f>
        <v>0</v>
      </c>
      <c r="G113" s="14">
        <v>1</v>
      </c>
    </row>
    <row r="114" spans="1:7" x14ac:dyDescent="0.25">
      <c r="B114" s="13">
        <v>92.5</v>
      </c>
      <c r="C114" s="13">
        <v>13.92</v>
      </c>
      <c r="D114" s="14">
        <f t="shared" si="13"/>
        <v>0.98580000000000001</v>
      </c>
      <c r="E114" s="14">
        <v>1.4200000000000001E-2</v>
      </c>
      <c r="F114" s="14">
        <f t="shared" ref="F114:F177" si="14">1-G114</f>
        <v>0</v>
      </c>
      <c r="G114" s="14">
        <v>1</v>
      </c>
    </row>
    <row r="115" spans="1:7" x14ac:dyDescent="0.25">
      <c r="B115" s="13">
        <v>92.5</v>
      </c>
      <c r="C115" s="13">
        <v>18.96</v>
      </c>
      <c r="D115" s="14">
        <f t="shared" si="13"/>
        <v>0.9819</v>
      </c>
      <c r="E115" s="14">
        <v>1.8100000000000002E-2</v>
      </c>
      <c r="F115" s="14">
        <f t="shared" si="14"/>
        <v>0</v>
      </c>
      <c r="G115" s="14">
        <v>1</v>
      </c>
    </row>
    <row r="116" spans="1:7" x14ac:dyDescent="0.25">
      <c r="B116" s="13">
        <v>92.5</v>
      </c>
      <c r="C116" s="13">
        <v>23.37</v>
      </c>
      <c r="D116" s="14">
        <f t="shared" si="13"/>
        <v>0.97909999999999997</v>
      </c>
      <c r="E116" s="14">
        <v>2.0899999999999998E-2</v>
      </c>
      <c r="F116" s="14">
        <f t="shared" si="14"/>
        <v>0</v>
      </c>
      <c r="G116" s="14">
        <v>1</v>
      </c>
    </row>
    <row r="117" spans="1:7" x14ac:dyDescent="0.25">
      <c r="B117" s="13">
        <v>95.15</v>
      </c>
      <c r="C117" s="13">
        <v>12.96</v>
      </c>
      <c r="D117" s="14">
        <f t="shared" si="13"/>
        <v>0.98580000000000001</v>
      </c>
      <c r="E117" s="14">
        <v>1.4200000000000001E-2</v>
      </c>
      <c r="F117" s="14">
        <f t="shared" si="14"/>
        <v>0</v>
      </c>
      <c r="G117" s="14">
        <v>1</v>
      </c>
    </row>
    <row r="118" spans="1:7" x14ac:dyDescent="0.25">
      <c r="B118" s="13">
        <v>95.15</v>
      </c>
      <c r="C118" s="13">
        <v>15.23</v>
      </c>
      <c r="D118" s="14">
        <f t="shared" si="13"/>
        <v>0.9839</v>
      </c>
      <c r="E118" s="14">
        <v>1.61E-2</v>
      </c>
      <c r="F118" s="14">
        <f t="shared" si="14"/>
        <v>0</v>
      </c>
      <c r="G118" s="14">
        <v>1</v>
      </c>
    </row>
    <row r="119" spans="1:7" x14ac:dyDescent="0.25">
      <c r="B119" s="13">
        <v>95.15</v>
      </c>
      <c r="C119" s="13">
        <v>21.95</v>
      </c>
      <c r="D119" s="14">
        <f t="shared" si="13"/>
        <v>0.97870000000000001</v>
      </c>
      <c r="E119" s="14">
        <v>2.1299999999999999E-2</v>
      </c>
      <c r="F119" s="14">
        <f t="shared" si="14"/>
        <v>0</v>
      </c>
      <c r="G119" s="14">
        <v>1</v>
      </c>
    </row>
    <row r="120" spans="1:7" x14ac:dyDescent="0.25">
      <c r="B120" s="13">
        <v>95.15</v>
      </c>
      <c r="C120" s="13">
        <v>29.57</v>
      </c>
      <c r="D120" s="14">
        <f t="shared" si="13"/>
        <v>0.97370000000000001</v>
      </c>
      <c r="E120" s="14">
        <v>2.63E-2</v>
      </c>
      <c r="F120" s="14">
        <f t="shared" si="14"/>
        <v>0</v>
      </c>
      <c r="G120" s="14">
        <v>1</v>
      </c>
    </row>
    <row r="121" spans="1:7" x14ac:dyDescent="0.25">
      <c r="B121" s="13">
        <v>95.15</v>
      </c>
      <c r="C121" s="13">
        <v>36.6</v>
      </c>
      <c r="D121" s="14">
        <f t="shared" si="13"/>
        <v>0.96950000000000003</v>
      </c>
      <c r="E121" s="14">
        <v>3.0499999999999999E-2</v>
      </c>
      <c r="F121" s="14">
        <f t="shared" si="14"/>
        <v>0</v>
      </c>
      <c r="G121" s="14">
        <v>1</v>
      </c>
    </row>
    <row r="122" spans="1:7" x14ac:dyDescent="0.25">
      <c r="B122" s="13">
        <v>95.15</v>
      </c>
      <c r="C122" s="13">
        <v>44.1</v>
      </c>
      <c r="D122" s="14">
        <f t="shared" si="13"/>
        <v>0.96509999999999996</v>
      </c>
      <c r="E122" s="14">
        <v>3.49E-2</v>
      </c>
      <c r="F122" s="14">
        <f t="shared" si="14"/>
        <v>0</v>
      </c>
      <c r="G122" s="14">
        <v>1</v>
      </c>
    </row>
    <row r="123" spans="1:7" x14ac:dyDescent="0.25">
      <c r="B123" s="13">
        <v>95.15</v>
      </c>
      <c r="C123" s="13">
        <v>46.2</v>
      </c>
      <c r="D123" s="14">
        <f t="shared" si="13"/>
        <v>0.96460000000000001</v>
      </c>
      <c r="E123" s="14">
        <v>3.5400000000000001E-2</v>
      </c>
      <c r="F123" s="14">
        <f t="shared" si="14"/>
        <v>0</v>
      </c>
      <c r="G123" s="14">
        <v>1</v>
      </c>
    </row>
    <row r="124" spans="1:7" x14ac:dyDescent="0.25">
      <c r="B124" s="13">
        <v>100.15</v>
      </c>
      <c r="C124" s="13">
        <v>11.44</v>
      </c>
      <c r="D124" s="14">
        <f t="shared" si="13"/>
        <v>0.98480000000000001</v>
      </c>
      <c r="E124" s="14">
        <v>1.52E-2</v>
      </c>
      <c r="F124" s="14">
        <f t="shared" si="14"/>
        <v>0</v>
      </c>
      <c r="G124" s="14">
        <v>1</v>
      </c>
    </row>
    <row r="125" spans="1:7" x14ac:dyDescent="0.25">
      <c r="B125" s="13">
        <v>100.15</v>
      </c>
      <c r="C125" s="13">
        <v>21.05</v>
      </c>
      <c r="D125" s="14">
        <f t="shared" si="13"/>
        <v>0.9758</v>
      </c>
      <c r="E125" s="14">
        <v>2.4199999999999999E-2</v>
      </c>
      <c r="F125" s="14">
        <f t="shared" si="14"/>
        <v>0</v>
      </c>
      <c r="G125" s="14">
        <v>1</v>
      </c>
    </row>
    <row r="126" spans="1:7" x14ac:dyDescent="0.25">
      <c r="B126" s="13">
        <v>100.15</v>
      </c>
      <c r="C126" s="13">
        <v>37.04</v>
      </c>
      <c r="D126" s="14">
        <f t="shared" si="13"/>
        <v>0.96430000000000005</v>
      </c>
      <c r="E126" s="14">
        <v>3.5700000000000003E-2</v>
      </c>
      <c r="F126" s="14">
        <f t="shared" si="14"/>
        <v>0</v>
      </c>
      <c r="G126" s="14">
        <v>1</v>
      </c>
    </row>
    <row r="127" spans="1:7" x14ac:dyDescent="0.25">
      <c r="B127" s="13">
        <v>100.15</v>
      </c>
      <c r="C127" s="13">
        <v>48.55</v>
      </c>
      <c r="D127" s="14">
        <f t="shared" si="13"/>
        <v>0.95689999999999997</v>
      </c>
      <c r="E127" s="14">
        <v>4.3099999999999999E-2</v>
      </c>
      <c r="F127" s="14">
        <f t="shared" si="14"/>
        <v>9.9999999999988987E-5</v>
      </c>
      <c r="G127" s="14">
        <v>0.99990000000000001</v>
      </c>
    </row>
    <row r="128" spans="1:7" x14ac:dyDescent="0.25">
      <c r="B128" s="13">
        <v>100.15</v>
      </c>
      <c r="C128" s="13">
        <v>59.66</v>
      </c>
      <c r="D128" s="14">
        <f t="shared" si="13"/>
        <v>0.94969999999999999</v>
      </c>
      <c r="E128" s="14">
        <v>5.0299999999999997E-2</v>
      </c>
      <c r="F128" s="14">
        <f t="shared" si="14"/>
        <v>7.0000000000003393E-4</v>
      </c>
      <c r="G128" s="14">
        <v>0.99929999999999997</v>
      </c>
    </row>
    <row r="129" spans="2:7" x14ac:dyDescent="0.25">
      <c r="B129" s="13">
        <v>100.15</v>
      </c>
      <c r="C129" s="13">
        <v>65.150000000000006</v>
      </c>
      <c r="D129" s="14">
        <f t="shared" si="13"/>
        <v>0.94769999999999999</v>
      </c>
      <c r="E129" s="14">
        <v>5.2299999999999999E-2</v>
      </c>
      <c r="F129" s="14">
        <f t="shared" si="14"/>
        <v>7.0000000000003393E-4</v>
      </c>
      <c r="G129" s="14">
        <v>0.99929999999999997</v>
      </c>
    </row>
    <row r="130" spans="2:7" x14ac:dyDescent="0.25">
      <c r="B130" s="13">
        <v>100.15</v>
      </c>
      <c r="C130" s="13">
        <v>71.209999999999994</v>
      </c>
      <c r="D130" s="14">
        <f t="shared" si="13"/>
        <v>0.94289999999999996</v>
      </c>
      <c r="E130" s="14">
        <v>5.7099999999999998E-2</v>
      </c>
      <c r="F130" s="14">
        <f t="shared" si="14"/>
        <v>6.0000000000004494E-4</v>
      </c>
      <c r="G130" s="14">
        <v>0.99939999999999996</v>
      </c>
    </row>
    <row r="131" spans="2:7" x14ac:dyDescent="0.25">
      <c r="B131" s="13">
        <v>100.15</v>
      </c>
      <c r="C131" s="13">
        <v>80.08</v>
      </c>
      <c r="D131" s="14">
        <f t="shared" si="13"/>
        <v>0.93789999999999996</v>
      </c>
      <c r="E131" s="14">
        <v>6.2100000000000002E-2</v>
      </c>
      <c r="F131" s="14">
        <f t="shared" si="14"/>
        <v>8.0000000000002292E-4</v>
      </c>
      <c r="G131" s="14">
        <v>0.99919999999999998</v>
      </c>
    </row>
    <row r="132" spans="2:7" x14ac:dyDescent="0.25">
      <c r="B132" s="13">
        <v>100.15</v>
      </c>
      <c r="C132" s="13">
        <v>89.63</v>
      </c>
      <c r="D132" s="14">
        <f t="shared" si="13"/>
        <v>0.93369999999999997</v>
      </c>
      <c r="E132" s="14">
        <v>6.6299999999999998E-2</v>
      </c>
      <c r="F132" s="14">
        <f t="shared" si="14"/>
        <v>8.0000000000002292E-4</v>
      </c>
      <c r="G132" s="14">
        <v>0.99919999999999998</v>
      </c>
    </row>
    <row r="133" spans="2:7" x14ac:dyDescent="0.25">
      <c r="B133" s="13">
        <v>100.15</v>
      </c>
      <c r="C133" s="13">
        <v>93.91</v>
      </c>
      <c r="D133" s="14">
        <f t="shared" si="13"/>
        <v>0.92959999999999998</v>
      </c>
      <c r="E133" s="14">
        <v>7.0400000000000004E-2</v>
      </c>
      <c r="F133" s="14">
        <f t="shared" si="14"/>
        <v>8.0000000000002292E-4</v>
      </c>
      <c r="G133" s="14">
        <v>0.99919999999999998</v>
      </c>
    </row>
    <row r="134" spans="2:7" x14ac:dyDescent="0.25">
      <c r="B134" s="13">
        <v>107.85</v>
      </c>
      <c r="C134" s="13">
        <v>8.17</v>
      </c>
      <c r="D134" s="14">
        <f t="shared" si="13"/>
        <v>0.98760000000000003</v>
      </c>
      <c r="E134" s="14">
        <v>1.24E-2</v>
      </c>
      <c r="F134" s="14">
        <f t="shared" si="14"/>
        <v>3.9999999999995595E-4</v>
      </c>
      <c r="G134" s="14">
        <v>0.99960000000000004</v>
      </c>
    </row>
    <row r="135" spans="2:7" x14ac:dyDescent="0.25">
      <c r="B135" s="13">
        <v>107.85</v>
      </c>
      <c r="C135" s="13">
        <v>19.5</v>
      </c>
      <c r="D135" s="14">
        <f t="shared" si="13"/>
        <v>0.97330000000000005</v>
      </c>
      <c r="E135" s="14">
        <v>2.6700000000000002E-2</v>
      </c>
      <c r="F135" s="14">
        <f t="shared" si="14"/>
        <v>4.9999999999994493E-4</v>
      </c>
      <c r="G135" s="14">
        <v>0.99950000000000006</v>
      </c>
    </row>
    <row r="136" spans="2:7" x14ac:dyDescent="0.25">
      <c r="B136" s="13">
        <v>107.85</v>
      </c>
      <c r="C136" s="13">
        <v>35.58</v>
      </c>
      <c r="D136" s="14">
        <f t="shared" si="13"/>
        <v>0.9587</v>
      </c>
      <c r="E136" s="14">
        <v>4.1300000000000003E-2</v>
      </c>
      <c r="F136" s="14">
        <f t="shared" si="14"/>
        <v>4.9999999999994493E-4</v>
      </c>
      <c r="G136" s="14">
        <v>0.99950000000000006</v>
      </c>
    </row>
    <row r="137" spans="2:7" x14ac:dyDescent="0.25">
      <c r="B137" s="13">
        <v>107.85</v>
      </c>
      <c r="C137" s="13">
        <v>65.52</v>
      </c>
      <c r="D137" s="14">
        <f t="shared" si="13"/>
        <v>0.93220000000000003</v>
      </c>
      <c r="E137" s="14">
        <v>6.7799999999999999E-2</v>
      </c>
      <c r="F137" s="14">
        <f t="shared" si="14"/>
        <v>7.0000000000003393E-4</v>
      </c>
      <c r="G137" s="14">
        <v>0.99929999999999997</v>
      </c>
    </row>
    <row r="138" spans="2:7" x14ac:dyDescent="0.25">
      <c r="B138" s="13">
        <v>107.85</v>
      </c>
      <c r="C138" s="13">
        <v>86.22</v>
      </c>
      <c r="D138" s="14">
        <f t="shared" si="13"/>
        <v>0.91800000000000004</v>
      </c>
      <c r="E138" s="14">
        <v>8.2000000000000003E-2</v>
      </c>
      <c r="F138" s="14">
        <f t="shared" si="14"/>
        <v>3.0999999999999917E-3</v>
      </c>
      <c r="G138" s="14">
        <v>0.99690000000000001</v>
      </c>
    </row>
    <row r="139" spans="2:7" x14ac:dyDescent="0.25">
      <c r="B139" s="13">
        <v>107.85</v>
      </c>
      <c r="C139" s="13">
        <v>118.55</v>
      </c>
      <c r="D139" s="14">
        <f t="shared" si="13"/>
        <v>0.89610000000000001</v>
      </c>
      <c r="E139" s="14">
        <v>0.10390000000000001</v>
      </c>
      <c r="F139" s="14">
        <f t="shared" si="14"/>
        <v>4.0000000000000036E-3</v>
      </c>
      <c r="G139" s="14">
        <v>0.996</v>
      </c>
    </row>
    <row r="140" spans="2:7" x14ac:dyDescent="0.25">
      <c r="B140" s="13">
        <v>107.85</v>
      </c>
      <c r="C140" s="13">
        <v>142.93</v>
      </c>
      <c r="D140" s="14">
        <f t="shared" si="13"/>
        <v>0.87990000000000002</v>
      </c>
      <c r="E140" s="14">
        <v>0.1201</v>
      </c>
      <c r="F140" s="14">
        <f t="shared" si="14"/>
        <v>4.4999999999999485E-3</v>
      </c>
      <c r="G140" s="14">
        <v>0.99550000000000005</v>
      </c>
    </row>
    <row r="141" spans="2:7" x14ac:dyDescent="0.25">
      <c r="B141" s="13">
        <v>107.85</v>
      </c>
      <c r="C141" s="13">
        <v>155.68</v>
      </c>
      <c r="D141" s="14">
        <f t="shared" si="13"/>
        <v>0.87219999999999998</v>
      </c>
      <c r="E141" s="14">
        <v>0.1278</v>
      </c>
      <c r="F141" s="14">
        <f t="shared" si="14"/>
        <v>5.9000000000000163E-3</v>
      </c>
      <c r="G141" s="14">
        <v>0.99409999999999998</v>
      </c>
    </row>
    <row r="142" spans="2:7" x14ac:dyDescent="0.25">
      <c r="B142" s="13">
        <v>107.85</v>
      </c>
      <c r="C142" s="13">
        <v>163.66999999999999</v>
      </c>
      <c r="D142" s="14">
        <f t="shared" si="13"/>
        <v>0.86729999999999996</v>
      </c>
      <c r="E142" s="14">
        <v>0.13270000000000001</v>
      </c>
      <c r="F142" s="14">
        <f t="shared" si="14"/>
        <v>7.0999999999999952E-3</v>
      </c>
      <c r="G142" s="14">
        <v>0.9929</v>
      </c>
    </row>
    <row r="143" spans="2:7" x14ac:dyDescent="0.25">
      <c r="B143" s="13">
        <v>107.85</v>
      </c>
      <c r="C143" s="13">
        <v>165.82</v>
      </c>
      <c r="D143" s="14">
        <f t="shared" si="13"/>
        <v>0.86599999999999999</v>
      </c>
      <c r="E143" s="14">
        <v>0.13400000000000001</v>
      </c>
      <c r="F143" s="14">
        <f t="shared" si="14"/>
        <v>6.8000000000000282E-3</v>
      </c>
      <c r="G143" s="14">
        <v>0.99319999999999997</v>
      </c>
    </row>
    <row r="144" spans="2:7" x14ac:dyDescent="0.25">
      <c r="B144" s="13">
        <v>107.85</v>
      </c>
      <c r="C144" s="13">
        <v>173.4</v>
      </c>
      <c r="D144" s="14">
        <f t="shared" si="13"/>
        <v>0.86149999999999993</v>
      </c>
      <c r="E144" s="14">
        <v>0.13850000000000001</v>
      </c>
    </row>
    <row r="145" spans="2:7" x14ac:dyDescent="0.25">
      <c r="B145" s="13">
        <v>107.85</v>
      </c>
      <c r="C145" s="13">
        <v>182.78</v>
      </c>
      <c r="D145" s="14">
        <f t="shared" si="13"/>
        <v>0.85319999999999996</v>
      </c>
      <c r="E145" s="14">
        <v>0.14680000000000001</v>
      </c>
    </row>
    <row r="146" spans="2:7" x14ac:dyDescent="0.25">
      <c r="B146" s="13">
        <v>113.85</v>
      </c>
      <c r="C146" s="13">
        <v>59.06</v>
      </c>
      <c r="D146" s="14">
        <f t="shared" si="13"/>
        <v>0.92749999999999999</v>
      </c>
      <c r="E146" s="14">
        <v>7.2499999999999995E-2</v>
      </c>
    </row>
    <row r="147" spans="2:7" x14ac:dyDescent="0.25">
      <c r="B147" s="13">
        <v>113.85</v>
      </c>
      <c r="C147" s="13">
        <v>93.91</v>
      </c>
      <c r="D147" s="14">
        <f t="shared" si="13"/>
        <v>0.8962</v>
      </c>
      <c r="E147" s="14">
        <v>0.1038</v>
      </c>
    </row>
    <row r="148" spans="2:7" x14ac:dyDescent="0.25">
      <c r="B148" s="13">
        <v>113.85</v>
      </c>
      <c r="C148" s="13">
        <v>135.36000000000001</v>
      </c>
      <c r="D148" s="14">
        <f t="shared" si="13"/>
        <v>0.86299999999999999</v>
      </c>
      <c r="E148" s="14">
        <v>0.13700000000000001</v>
      </c>
      <c r="F148" s="14">
        <f t="shared" si="14"/>
        <v>4.4999999999999485E-3</v>
      </c>
      <c r="G148" s="14">
        <v>0.99550000000000005</v>
      </c>
    </row>
    <row r="149" spans="2:7" x14ac:dyDescent="0.25">
      <c r="B149" s="13">
        <v>113.85</v>
      </c>
      <c r="C149" s="13">
        <v>159.82</v>
      </c>
      <c r="D149" s="14">
        <f t="shared" si="13"/>
        <v>0.84529999999999994</v>
      </c>
      <c r="E149" s="14">
        <v>0.1547</v>
      </c>
      <c r="F149" s="14">
        <f t="shared" si="14"/>
        <v>5.4999999999999494E-3</v>
      </c>
      <c r="G149" s="14">
        <v>0.99450000000000005</v>
      </c>
    </row>
    <row r="150" spans="2:7" x14ac:dyDescent="0.25">
      <c r="B150" s="13">
        <v>113.85</v>
      </c>
      <c r="C150" s="13">
        <v>187.39</v>
      </c>
      <c r="D150" s="14">
        <f t="shared" si="13"/>
        <v>0.8296</v>
      </c>
      <c r="E150" s="14">
        <v>0.1704</v>
      </c>
      <c r="F150" s="14">
        <f t="shared" si="14"/>
        <v>7.6000000000000512E-3</v>
      </c>
      <c r="G150" s="14">
        <v>0.99239999999999995</v>
      </c>
    </row>
    <row r="151" spans="2:7" x14ac:dyDescent="0.25">
      <c r="B151" s="13">
        <v>113.85</v>
      </c>
      <c r="C151" s="13">
        <v>212.15</v>
      </c>
      <c r="D151" s="14">
        <f t="shared" si="13"/>
        <v>0.81269999999999998</v>
      </c>
      <c r="E151" s="14">
        <v>0.18729999999999999</v>
      </c>
      <c r="F151" s="14">
        <f t="shared" si="14"/>
        <v>8.0000000000000071E-3</v>
      </c>
      <c r="G151" s="14">
        <v>0.99199999999999999</v>
      </c>
    </row>
    <row r="152" spans="2:7" x14ac:dyDescent="0.25">
      <c r="B152" s="13">
        <v>113.85</v>
      </c>
      <c r="C152" s="13">
        <v>227.39</v>
      </c>
      <c r="D152" s="14">
        <f t="shared" si="13"/>
        <v>0.80299999999999994</v>
      </c>
      <c r="E152" s="14">
        <v>0.19700000000000001</v>
      </c>
      <c r="F152" s="14">
        <f t="shared" si="14"/>
        <v>8.700000000000041E-3</v>
      </c>
      <c r="G152" s="14">
        <v>0.99129999999999996</v>
      </c>
    </row>
    <row r="153" spans="2:7" x14ac:dyDescent="0.25">
      <c r="B153" s="13">
        <v>113.85</v>
      </c>
      <c r="C153" s="13">
        <v>251.23</v>
      </c>
      <c r="D153" s="14">
        <f t="shared" si="13"/>
        <v>0.78900000000000003</v>
      </c>
      <c r="E153" s="14">
        <v>0.21099999999999999</v>
      </c>
      <c r="F153" s="14">
        <f t="shared" si="14"/>
        <v>9.6000000000000529E-3</v>
      </c>
      <c r="G153" s="14">
        <v>0.99039999999999995</v>
      </c>
    </row>
    <row r="154" spans="2:7" x14ac:dyDescent="0.25">
      <c r="B154" s="13">
        <v>113.85</v>
      </c>
      <c r="C154" s="13">
        <v>255.79</v>
      </c>
      <c r="D154" s="14">
        <f t="shared" si="13"/>
        <v>0.78539999999999999</v>
      </c>
      <c r="E154" s="14">
        <v>0.21460000000000001</v>
      </c>
      <c r="F154" s="14">
        <f t="shared" si="14"/>
        <v>9.8000000000000309E-3</v>
      </c>
      <c r="G154" s="14">
        <v>0.99019999999999997</v>
      </c>
    </row>
    <row r="155" spans="2:7" x14ac:dyDescent="0.25">
      <c r="B155" s="13">
        <v>120.15</v>
      </c>
      <c r="C155" s="13">
        <v>47.75</v>
      </c>
      <c r="D155" s="14">
        <f t="shared" si="13"/>
        <v>0.92700000000000005</v>
      </c>
      <c r="E155" s="14">
        <v>7.2999999999999995E-2</v>
      </c>
      <c r="F155" s="14">
        <f t="shared" si="14"/>
        <v>9.000000000000119E-4</v>
      </c>
      <c r="G155" s="14">
        <v>0.99909999999999999</v>
      </c>
    </row>
    <row r="156" spans="2:7" x14ac:dyDescent="0.25">
      <c r="B156" s="13">
        <v>120.15</v>
      </c>
      <c r="C156" s="13">
        <v>90.73</v>
      </c>
      <c r="D156" s="14">
        <f t="shared" si="13"/>
        <v>0.88280000000000003</v>
      </c>
      <c r="E156" s="14">
        <v>0.1172</v>
      </c>
      <c r="F156" s="14">
        <f t="shared" si="14"/>
        <v>3.1999999999999806E-3</v>
      </c>
      <c r="G156" s="14">
        <v>0.99680000000000002</v>
      </c>
    </row>
    <row r="157" spans="2:7" x14ac:dyDescent="0.25">
      <c r="B157" s="13">
        <v>120.15</v>
      </c>
      <c r="C157" s="13">
        <v>140.58000000000001</v>
      </c>
      <c r="D157" s="14">
        <f t="shared" si="13"/>
        <v>0.83650000000000002</v>
      </c>
      <c r="E157" s="14">
        <v>0.16350000000000001</v>
      </c>
      <c r="F157" s="14">
        <f t="shared" si="14"/>
        <v>5.1999999999999824E-3</v>
      </c>
      <c r="G157" s="14">
        <v>0.99480000000000002</v>
      </c>
    </row>
    <row r="158" spans="2:7" x14ac:dyDescent="0.25">
      <c r="B158" s="13">
        <v>120.15</v>
      </c>
      <c r="C158" s="13">
        <v>172.85</v>
      </c>
      <c r="D158" s="14">
        <f t="shared" ref="D158:D223" si="15">1-E158</f>
        <v>0.81120000000000003</v>
      </c>
      <c r="E158" s="14">
        <v>0.1888</v>
      </c>
      <c r="F158" s="14">
        <f t="shared" si="14"/>
        <v>8.499999999999952E-3</v>
      </c>
      <c r="G158" s="14">
        <v>0.99150000000000005</v>
      </c>
    </row>
    <row r="159" spans="2:7" x14ac:dyDescent="0.25">
      <c r="B159" s="13">
        <v>120.15</v>
      </c>
      <c r="C159" s="13">
        <v>204.5</v>
      </c>
      <c r="D159" s="14">
        <f t="shared" si="15"/>
        <v>0.78739999999999999</v>
      </c>
      <c r="E159" s="14">
        <v>0.21260000000000001</v>
      </c>
      <c r="F159" s="14">
        <f t="shared" si="14"/>
        <v>8.600000000000052E-3</v>
      </c>
      <c r="G159" s="14">
        <v>0.99139999999999995</v>
      </c>
    </row>
    <row r="160" spans="2:7" x14ac:dyDescent="0.25">
      <c r="B160" s="13">
        <v>120.15</v>
      </c>
      <c r="C160" s="13">
        <v>243.45</v>
      </c>
      <c r="D160" s="14">
        <f t="shared" si="15"/>
        <v>0.76300000000000001</v>
      </c>
      <c r="E160" s="14">
        <v>0.23699999999999999</v>
      </c>
    </row>
    <row r="161" spans="2:7" x14ac:dyDescent="0.25">
      <c r="B161" s="13">
        <v>120.15</v>
      </c>
      <c r="C161" s="13">
        <v>285.70999999999998</v>
      </c>
      <c r="D161" s="14">
        <f t="shared" si="15"/>
        <v>0.73499999999999999</v>
      </c>
      <c r="E161" s="14">
        <v>0.26500000000000001</v>
      </c>
      <c r="F161" s="14">
        <f t="shared" si="14"/>
        <v>1.0499999999999954E-2</v>
      </c>
      <c r="G161" s="14">
        <v>0.98950000000000005</v>
      </c>
    </row>
    <row r="162" spans="2:7" x14ac:dyDescent="0.25">
      <c r="B162" s="13">
        <v>120.15</v>
      </c>
      <c r="C162" s="13">
        <v>314.39999999999998</v>
      </c>
      <c r="D162" s="14">
        <f t="shared" si="15"/>
        <v>0.71779999999999999</v>
      </c>
      <c r="E162" s="14">
        <v>0.28220000000000001</v>
      </c>
      <c r="F162" s="14">
        <f t="shared" si="14"/>
        <v>1.1900000000000022E-2</v>
      </c>
      <c r="G162" s="14">
        <v>0.98809999999999998</v>
      </c>
    </row>
    <row r="163" spans="2:7" x14ac:dyDescent="0.25">
      <c r="B163" s="13">
        <v>120.15</v>
      </c>
      <c r="C163" s="13">
        <v>329.29</v>
      </c>
      <c r="D163" s="14">
        <f t="shared" si="15"/>
        <v>0.70750000000000002</v>
      </c>
      <c r="E163" s="14">
        <v>0.29249999999999998</v>
      </c>
      <c r="F163" s="14">
        <f t="shared" si="14"/>
        <v>1.2599999999999945E-2</v>
      </c>
      <c r="G163" s="14">
        <v>0.98740000000000006</v>
      </c>
    </row>
    <row r="164" spans="2:7" x14ac:dyDescent="0.25">
      <c r="B164" s="13">
        <v>120.15</v>
      </c>
      <c r="C164" s="13">
        <v>337.84</v>
      </c>
      <c r="D164" s="14">
        <f t="shared" si="15"/>
        <v>0.70300000000000007</v>
      </c>
      <c r="E164" s="14">
        <v>0.29699999999999999</v>
      </c>
      <c r="F164" s="14">
        <f t="shared" si="14"/>
        <v>1.319999999999999E-2</v>
      </c>
      <c r="G164" s="14">
        <v>0.98680000000000001</v>
      </c>
    </row>
    <row r="165" spans="2:7" x14ac:dyDescent="0.25">
      <c r="B165" s="13">
        <v>120.15</v>
      </c>
      <c r="C165" s="13">
        <v>345.42</v>
      </c>
      <c r="D165" s="14">
        <f t="shared" si="15"/>
        <v>0.69869999999999999</v>
      </c>
      <c r="E165" s="14">
        <v>0.30130000000000001</v>
      </c>
      <c r="F165" s="14">
        <f t="shared" si="14"/>
        <v>1.319999999999999E-2</v>
      </c>
      <c r="G165" s="14">
        <v>0.98680000000000001</v>
      </c>
    </row>
    <row r="166" spans="2:7" x14ac:dyDescent="0.25">
      <c r="B166" s="13">
        <v>120.15</v>
      </c>
      <c r="C166" s="13">
        <v>351.63</v>
      </c>
      <c r="D166" s="14">
        <f t="shared" si="15"/>
        <v>0.69599999999999995</v>
      </c>
      <c r="E166" s="14">
        <v>0.30399999999999999</v>
      </c>
      <c r="F166" s="14">
        <f t="shared" si="14"/>
        <v>1.4100000000000001E-2</v>
      </c>
      <c r="G166" s="14">
        <v>0.9859</v>
      </c>
    </row>
    <row r="167" spans="2:7" x14ac:dyDescent="0.25">
      <c r="B167" s="13">
        <v>129.80000000000001</v>
      </c>
      <c r="C167" s="13">
        <v>7.5</v>
      </c>
      <c r="D167" s="14">
        <f t="shared" si="15"/>
        <v>0.98270000000000002</v>
      </c>
      <c r="E167" s="14">
        <v>1.7299999999999999E-2</v>
      </c>
      <c r="F167" s="14">
        <f t="shared" si="14"/>
        <v>1.7000000000000348E-3</v>
      </c>
      <c r="G167" s="14">
        <v>0.99829999999999997</v>
      </c>
    </row>
    <row r="168" spans="2:7" x14ac:dyDescent="0.25">
      <c r="B168" s="13">
        <v>129.80000000000001</v>
      </c>
      <c r="C168" s="13">
        <v>17.75</v>
      </c>
      <c r="D168" s="14">
        <f t="shared" si="15"/>
        <v>0.95979999999999999</v>
      </c>
      <c r="E168" s="14">
        <v>4.02E-2</v>
      </c>
      <c r="F168" s="14">
        <f t="shared" si="14"/>
        <v>2.1999999999999797E-3</v>
      </c>
      <c r="G168" s="14">
        <v>0.99780000000000002</v>
      </c>
    </row>
    <row r="169" spans="2:7" x14ac:dyDescent="0.25">
      <c r="B169" s="13">
        <v>129.80000000000001</v>
      </c>
      <c r="C169" s="13">
        <v>28.43</v>
      </c>
      <c r="D169" s="14">
        <f t="shared" si="15"/>
        <v>0.93979999999999997</v>
      </c>
      <c r="E169" s="14">
        <v>6.0199999999999997E-2</v>
      </c>
      <c r="F169" s="14">
        <f t="shared" si="14"/>
        <v>2.3999999999999577E-3</v>
      </c>
      <c r="G169" s="14">
        <v>0.99760000000000004</v>
      </c>
    </row>
    <row r="170" spans="2:7" x14ac:dyDescent="0.25">
      <c r="B170" s="13">
        <v>129.80000000000001</v>
      </c>
      <c r="C170" s="13">
        <v>42.42</v>
      </c>
      <c r="D170" s="14">
        <f t="shared" si="15"/>
        <v>0.91779999999999995</v>
      </c>
      <c r="E170" s="14">
        <v>8.2199999999999995E-2</v>
      </c>
      <c r="F170" s="14">
        <f t="shared" si="14"/>
        <v>3.7000000000000366E-3</v>
      </c>
      <c r="G170" s="14">
        <v>0.99629999999999996</v>
      </c>
    </row>
    <row r="171" spans="2:7" x14ac:dyDescent="0.25">
      <c r="B171" s="13">
        <v>129.80000000000001</v>
      </c>
      <c r="C171" s="13">
        <v>54.69</v>
      </c>
      <c r="D171" s="14">
        <f t="shared" si="15"/>
        <v>0.89980000000000004</v>
      </c>
      <c r="E171" s="14">
        <v>0.1002</v>
      </c>
      <c r="F171" s="14">
        <f t="shared" si="14"/>
        <v>4.3999999999999595E-3</v>
      </c>
      <c r="G171" s="14">
        <v>0.99560000000000004</v>
      </c>
    </row>
    <row r="172" spans="2:7" x14ac:dyDescent="0.25">
      <c r="B172" s="13">
        <v>129.80000000000001</v>
      </c>
      <c r="C172" s="13">
        <v>67.48</v>
      </c>
      <c r="D172" s="14">
        <f t="shared" si="15"/>
        <v>0.88180000000000003</v>
      </c>
      <c r="E172" s="14">
        <v>0.1182</v>
      </c>
      <c r="F172" s="14">
        <f t="shared" si="14"/>
        <v>5.3999999999999604E-3</v>
      </c>
      <c r="G172" s="14">
        <v>0.99460000000000004</v>
      </c>
    </row>
    <row r="173" spans="2:7" x14ac:dyDescent="0.25">
      <c r="B173" s="13">
        <v>129.80000000000001</v>
      </c>
      <c r="C173" s="13">
        <v>69.150000000000006</v>
      </c>
      <c r="D173" s="14">
        <f t="shared" si="15"/>
        <v>0.88070000000000004</v>
      </c>
      <c r="E173" s="14">
        <v>0.1193</v>
      </c>
      <c r="F173" s="14">
        <f t="shared" si="14"/>
        <v>6.4999999999999503E-3</v>
      </c>
      <c r="G173" s="14">
        <v>0.99350000000000005</v>
      </c>
    </row>
    <row r="174" spans="2:7" x14ac:dyDescent="0.25">
      <c r="B174" s="13">
        <v>129.80000000000001</v>
      </c>
      <c r="C174" s="13">
        <v>84.42</v>
      </c>
      <c r="D174" s="14">
        <f t="shared" si="15"/>
        <v>0.8599</v>
      </c>
      <c r="E174" s="14">
        <v>0.1401</v>
      </c>
      <c r="F174" s="14">
        <f t="shared" si="14"/>
        <v>1.0099999999999998E-2</v>
      </c>
      <c r="G174" s="14">
        <v>0.9899</v>
      </c>
    </row>
    <row r="175" spans="2:7" x14ac:dyDescent="0.25">
      <c r="B175" s="13">
        <v>129.80000000000001</v>
      </c>
      <c r="C175" s="13">
        <v>118.59</v>
      </c>
      <c r="D175" s="14">
        <f t="shared" si="15"/>
        <v>0.82140000000000002</v>
      </c>
      <c r="E175" s="14">
        <v>0.17860000000000001</v>
      </c>
      <c r="F175" s="14">
        <f t="shared" si="14"/>
        <v>1.0399999999999965E-2</v>
      </c>
      <c r="G175" s="14">
        <v>0.98960000000000004</v>
      </c>
    </row>
    <row r="176" spans="2:7" x14ac:dyDescent="0.25">
      <c r="B176" s="13">
        <v>129.80000000000001</v>
      </c>
      <c r="C176" s="13">
        <v>134.86000000000001</v>
      </c>
      <c r="D176" s="14">
        <f t="shared" si="15"/>
        <v>0.80489999999999995</v>
      </c>
      <c r="E176" s="14">
        <v>0.1951</v>
      </c>
      <c r="F176" s="14">
        <f t="shared" si="14"/>
        <v>1.100000000000001E-2</v>
      </c>
      <c r="G176" s="14">
        <v>0.98899999999999999</v>
      </c>
    </row>
    <row r="177" spans="2:7" x14ac:dyDescent="0.25">
      <c r="B177" s="13">
        <v>129.80000000000001</v>
      </c>
      <c r="C177" s="13">
        <v>136.24</v>
      </c>
      <c r="D177" s="14">
        <f t="shared" si="15"/>
        <v>0.80410000000000004</v>
      </c>
      <c r="E177" s="14">
        <v>0.19589999999999999</v>
      </c>
      <c r="F177" s="14">
        <f t="shared" si="14"/>
        <v>1.0600000000000054E-2</v>
      </c>
      <c r="G177" s="14">
        <v>0.98939999999999995</v>
      </c>
    </row>
    <row r="178" spans="2:7" x14ac:dyDescent="0.25">
      <c r="B178" s="13">
        <v>129.80000000000001</v>
      </c>
      <c r="C178" s="13">
        <v>161.06</v>
      </c>
      <c r="D178" s="14">
        <f t="shared" si="15"/>
        <v>0.77869999999999995</v>
      </c>
      <c r="E178" s="14">
        <v>0.2213</v>
      </c>
      <c r="F178" s="14">
        <f t="shared" ref="F178:F241" si="16">1-G178</f>
        <v>1.100000000000001E-2</v>
      </c>
      <c r="G178" s="14">
        <v>0.98899999999999999</v>
      </c>
    </row>
    <row r="179" spans="2:7" x14ac:dyDescent="0.25">
      <c r="B179" s="13">
        <v>129.80000000000001</v>
      </c>
      <c r="C179" s="13">
        <v>189.19</v>
      </c>
      <c r="D179" s="14">
        <f t="shared" si="15"/>
        <v>0.75280000000000002</v>
      </c>
      <c r="E179" s="14">
        <v>0.2472</v>
      </c>
      <c r="F179" s="14">
        <f t="shared" si="16"/>
        <v>1.1600000000000055E-2</v>
      </c>
      <c r="G179" s="14">
        <v>0.98839999999999995</v>
      </c>
    </row>
    <row r="180" spans="2:7" x14ac:dyDescent="0.25">
      <c r="B180" s="13">
        <v>129.80000000000001</v>
      </c>
      <c r="C180" s="13">
        <v>225.87</v>
      </c>
      <c r="D180" s="14">
        <f t="shared" si="15"/>
        <v>0.72160000000000002</v>
      </c>
      <c r="E180" s="14">
        <v>0.27839999999999998</v>
      </c>
      <c r="F180" s="14">
        <f t="shared" si="16"/>
        <v>1.2700000000000045E-2</v>
      </c>
      <c r="G180" s="14">
        <v>0.98729999999999996</v>
      </c>
    </row>
    <row r="181" spans="2:7" x14ac:dyDescent="0.25">
      <c r="B181" s="13">
        <v>129.80000000000001</v>
      </c>
      <c r="C181" s="13">
        <v>236.49</v>
      </c>
      <c r="D181" s="14">
        <f t="shared" si="15"/>
        <v>0.70900000000000007</v>
      </c>
      <c r="E181" s="14">
        <v>0.29099999999999998</v>
      </c>
      <c r="F181" s="14">
        <f t="shared" si="16"/>
        <v>1.6700000000000048E-2</v>
      </c>
      <c r="G181" s="14">
        <v>0.98329999999999995</v>
      </c>
    </row>
    <row r="182" spans="2:7" x14ac:dyDescent="0.25">
      <c r="B182" s="13">
        <v>129.80000000000001</v>
      </c>
      <c r="C182" s="13">
        <v>278.45999999999998</v>
      </c>
      <c r="D182" s="14">
        <f>1-E182</f>
        <v>0.6734</v>
      </c>
      <c r="E182" s="14">
        <v>0.3266</v>
      </c>
      <c r="F182" s="14">
        <f t="shared" si="16"/>
        <v>1.8199999999999994E-2</v>
      </c>
      <c r="G182" s="14">
        <v>0.98180000000000001</v>
      </c>
    </row>
    <row r="183" spans="2:7" x14ac:dyDescent="0.25">
      <c r="B183" s="13">
        <v>129.80000000000001</v>
      </c>
      <c r="C183" s="13">
        <v>334.4</v>
      </c>
      <c r="D183" s="14">
        <f t="shared" si="15"/>
        <v>0.62329999999999997</v>
      </c>
      <c r="E183" s="14">
        <v>0.37669999999999998</v>
      </c>
      <c r="F183" s="14">
        <f t="shared" si="16"/>
        <v>2.4000000000000021E-2</v>
      </c>
      <c r="G183" s="14">
        <v>0.97599999999999998</v>
      </c>
    </row>
    <row r="184" spans="2:7" x14ac:dyDescent="0.25">
      <c r="B184" s="13">
        <v>129.80000000000001</v>
      </c>
      <c r="C184" s="13">
        <v>404.58</v>
      </c>
      <c r="D184" s="14">
        <f t="shared" si="15"/>
        <v>0.57340000000000002</v>
      </c>
      <c r="E184" s="14">
        <v>0.42659999999999998</v>
      </c>
      <c r="F184" s="14">
        <f t="shared" si="16"/>
        <v>2.8399999999999981E-2</v>
      </c>
      <c r="G184" s="14">
        <v>0.97160000000000002</v>
      </c>
    </row>
    <row r="185" spans="2:7" x14ac:dyDescent="0.25">
      <c r="B185" s="13">
        <v>129.80000000000001</v>
      </c>
      <c r="C185" s="13">
        <v>460.01</v>
      </c>
      <c r="D185" s="14">
        <f t="shared" si="15"/>
        <v>0.52350000000000008</v>
      </c>
      <c r="E185" s="14">
        <v>0.47649999999999998</v>
      </c>
    </row>
    <row r="186" spans="2:7" x14ac:dyDescent="0.25">
      <c r="B186" s="13">
        <v>129.80000000000001</v>
      </c>
      <c r="C186" s="13">
        <v>461.94</v>
      </c>
      <c r="D186" s="14">
        <f t="shared" si="15"/>
        <v>0.52380000000000004</v>
      </c>
      <c r="E186" s="14">
        <v>0.47620000000000001</v>
      </c>
      <c r="F186" s="14">
        <f t="shared" si="16"/>
        <v>3.1499999999999972E-2</v>
      </c>
      <c r="G186" s="14">
        <v>0.96850000000000003</v>
      </c>
    </row>
    <row r="187" spans="2:7" x14ac:dyDescent="0.25">
      <c r="B187" s="13">
        <v>129.80000000000001</v>
      </c>
      <c r="C187" s="13">
        <v>484.83</v>
      </c>
      <c r="D187" s="14">
        <f t="shared" si="15"/>
        <v>0.51350000000000007</v>
      </c>
      <c r="E187" s="14">
        <v>0.48649999999999999</v>
      </c>
      <c r="F187" s="14">
        <f t="shared" si="16"/>
        <v>3.3499999999999974E-2</v>
      </c>
      <c r="G187" s="14">
        <v>0.96650000000000003</v>
      </c>
    </row>
    <row r="188" spans="2:7" x14ac:dyDescent="0.25">
      <c r="B188" s="13">
        <v>129.80000000000001</v>
      </c>
      <c r="C188" s="13">
        <v>503.31</v>
      </c>
      <c r="D188" s="14">
        <f t="shared" si="15"/>
        <v>0.48340000000000005</v>
      </c>
      <c r="E188" s="14">
        <v>0.51659999999999995</v>
      </c>
      <c r="F188" s="14">
        <f t="shared" si="16"/>
        <v>3.5800000000000054E-2</v>
      </c>
      <c r="G188" s="14">
        <v>0.96419999999999995</v>
      </c>
    </row>
    <row r="189" spans="2:7" x14ac:dyDescent="0.25">
      <c r="B189" s="13">
        <v>129.80000000000001</v>
      </c>
      <c r="C189" s="13">
        <v>514.6</v>
      </c>
      <c r="D189" s="14">
        <f t="shared" si="15"/>
        <v>0.47189999999999999</v>
      </c>
      <c r="E189" s="14">
        <v>0.52810000000000001</v>
      </c>
    </row>
    <row r="190" spans="2:7" x14ac:dyDescent="0.25">
      <c r="B190" s="13">
        <v>135.15</v>
      </c>
      <c r="C190" s="13">
        <v>87.8</v>
      </c>
      <c r="D190" s="14">
        <f t="shared" si="15"/>
        <v>0.84050000000000002</v>
      </c>
      <c r="E190" s="14">
        <v>0.1595</v>
      </c>
      <c r="F190" s="14">
        <f t="shared" si="16"/>
        <v>9.299999999999975E-3</v>
      </c>
      <c r="G190" s="14">
        <v>0.99070000000000003</v>
      </c>
    </row>
    <row r="191" spans="2:7" x14ac:dyDescent="0.25">
      <c r="B191" s="13">
        <v>135.15</v>
      </c>
      <c r="C191" s="13">
        <v>134.55000000000001</v>
      </c>
      <c r="D191" s="14">
        <f t="shared" si="15"/>
        <v>0.78310000000000002</v>
      </c>
      <c r="E191" s="14">
        <v>0.21690000000000001</v>
      </c>
      <c r="F191" s="14">
        <f t="shared" si="16"/>
        <v>1.1600000000000055E-2</v>
      </c>
      <c r="G191" s="14">
        <v>0.98839999999999995</v>
      </c>
    </row>
    <row r="192" spans="2:7" x14ac:dyDescent="0.25">
      <c r="B192" s="13">
        <v>135.15</v>
      </c>
      <c r="C192" s="13">
        <v>272.86</v>
      </c>
      <c r="D192" s="14">
        <f t="shared" si="15"/>
        <v>0.63700000000000001</v>
      </c>
      <c r="E192" s="14">
        <v>0.36299999999999999</v>
      </c>
      <c r="F192" s="14">
        <f t="shared" si="16"/>
        <v>2.3800000000000043E-2</v>
      </c>
      <c r="G192" s="14">
        <v>0.97619999999999996</v>
      </c>
    </row>
    <row r="193" spans="2:7" x14ac:dyDescent="0.25">
      <c r="B193" s="13">
        <v>135.15</v>
      </c>
      <c r="C193" s="13">
        <v>386.1</v>
      </c>
      <c r="D193" s="14">
        <f t="shared" si="15"/>
        <v>0.53249999999999997</v>
      </c>
      <c r="E193" s="14">
        <v>0.46750000000000003</v>
      </c>
      <c r="F193" s="14">
        <f t="shared" si="16"/>
        <v>3.4800000000000053E-2</v>
      </c>
      <c r="G193" s="14">
        <v>0.96519999999999995</v>
      </c>
    </row>
    <row r="194" spans="2:7" x14ac:dyDescent="0.25">
      <c r="B194" s="13">
        <v>135.15</v>
      </c>
      <c r="C194" s="13">
        <v>526.75</v>
      </c>
      <c r="D194" s="14">
        <f t="shared" si="15"/>
        <v>0.39790000000000003</v>
      </c>
      <c r="E194" s="14">
        <v>0.60209999999999997</v>
      </c>
      <c r="F194" s="14">
        <f t="shared" si="16"/>
        <v>4.7599999999999976E-2</v>
      </c>
      <c r="G194" s="14">
        <v>0.95240000000000002</v>
      </c>
    </row>
    <row r="195" spans="2:7" x14ac:dyDescent="0.25">
      <c r="B195" s="13">
        <v>135.15</v>
      </c>
      <c r="C195" s="13">
        <v>559.5</v>
      </c>
      <c r="D195" s="14">
        <f t="shared" si="15"/>
        <v>0.36080000000000001</v>
      </c>
      <c r="E195" s="14">
        <v>0.63919999999999999</v>
      </c>
      <c r="F195" s="14">
        <f t="shared" si="16"/>
        <v>5.4400000000000004E-2</v>
      </c>
      <c r="G195" s="14">
        <v>0.9456</v>
      </c>
    </row>
    <row r="196" spans="2:7" x14ac:dyDescent="0.25">
      <c r="B196" s="13">
        <v>145.15</v>
      </c>
      <c r="C196" s="13">
        <v>135.38999999999999</v>
      </c>
      <c r="D196" s="14">
        <f t="shared" si="15"/>
        <v>0.73839999999999995</v>
      </c>
      <c r="E196" s="14">
        <v>0.2616</v>
      </c>
      <c r="F196" s="14">
        <f t="shared" si="16"/>
        <v>1.7000000000000015E-2</v>
      </c>
      <c r="G196" s="14">
        <v>0.98299999999999998</v>
      </c>
    </row>
    <row r="197" spans="2:7" x14ac:dyDescent="0.25">
      <c r="B197" s="13">
        <v>145.15</v>
      </c>
      <c r="C197" s="13">
        <v>207.46</v>
      </c>
      <c r="D197" s="14">
        <f t="shared" si="15"/>
        <v>0.64850000000000008</v>
      </c>
      <c r="E197" s="14">
        <v>0.35149999999999998</v>
      </c>
      <c r="F197" s="14">
        <f t="shared" si="16"/>
        <v>2.6000000000000023E-2</v>
      </c>
      <c r="G197" s="14">
        <v>0.97399999999999998</v>
      </c>
    </row>
    <row r="198" spans="2:7" x14ac:dyDescent="0.25">
      <c r="B198" s="13">
        <v>145.15</v>
      </c>
      <c r="C198" s="13">
        <v>313.43</v>
      </c>
      <c r="D198" s="14">
        <f t="shared" si="15"/>
        <v>0.53939999999999999</v>
      </c>
      <c r="E198" s="14">
        <v>0.46060000000000001</v>
      </c>
      <c r="F198" s="14">
        <f t="shared" si="16"/>
        <v>4.269999999999996E-2</v>
      </c>
      <c r="G198" s="14">
        <v>0.95730000000000004</v>
      </c>
    </row>
    <row r="199" spans="2:7" x14ac:dyDescent="0.25">
      <c r="B199" s="13">
        <v>145.15</v>
      </c>
      <c r="C199" s="13">
        <v>389.2</v>
      </c>
      <c r="D199" s="14">
        <f t="shared" si="15"/>
        <v>0.46640000000000004</v>
      </c>
      <c r="E199" s="14">
        <v>0.53359999999999996</v>
      </c>
      <c r="F199" s="14">
        <f t="shared" si="16"/>
        <v>5.7799999999999963E-2</v>
      </c>
      <c r="G199" s="14">
        <v>0.94220000000000004</v>
      </c>
    </row>
    <row r="200" spans="2:7" x14ac:dyDescent="0.25">
      <c r="B200" s="13">
        <v>145.15</v>
      </c>
      <c r="C200" s="13">
        <v>427.19</v>
      </c>
      <c r="D200" s="14">
        <f t="shared" si="15"/>
        <v>0.43269999999999997</v>
      </c>
      <c r="E200" s="14">
        <v>0.56730000000000003</v>
      </c>
      <c r="F200" s="14">
        <f t="shared" si="16"/>
        <v>6.910000000000005E-2</v>
      </c>
      <c r="G200" s="14">
        <v>0.93089999999999995</v>
      </c>
    </row>
    <row r="201" spans="2:7" x14ac:dyDescent="0.25">
      <c r="B201" s="13">
        <v>145.15</v>
      </c>
      <c r="C201" s="13">
        <v>465.4</v>
      </c>
      <c r="D201" s="14">
        <f t="shared" si="15"/>
        <v>0.38890000000000002</v>
      </c>
      <c r="E201" s="14">
        <v>0.61109999999999998</v>
      </c>
      <c r="F201" s="14">
        <f t="shared" si="16"/>
        <v>7.7400000000000024E-2</v>
      </c>
      <c r="G201" s="14">
        <v>0.92259999999999998</v>
      </c>
    </row>
    <row r="202" spans="2:7" x14ac:dyDescent="0.25">
      <c r="B202" s="13">
        <v>145.15</v>
      </c>
      <c r="C202" s="13">
        <v>487.86</v>
      </c>
      <c r="D202" s="14">
        <f t="shared" si="15"/>
        <v>0.37119999999999997</v>
      </c>
      <c r="E202" s="14">
        <v>0.62880000000000003</v>
      </c>
      <c r="F202" s="14">
        <f t="shared" si="16"/>
        <v>8.4200000000000053E-2</v>
      </c>
      <c r="G202" s="14">
        <v>0.91579999999999995</v>
      </c>
    </row>
    <row r="203" spans="2:7" x14ac:dyDescent="0.25">
      <c r="B203" s="13">
        <v>145.15</v>
      </c>
      <c r="C203" s="13">
        <v>504.34</v>
      </c>
      <c r="D203" s="14">
        <f>1-E203</f>
        <v>0.35399999999999998</v>
      </c>
      <c r="E203" s="14">
        <v>0.64600000000000002</v>
      </c>
      <c r="F203" s="14">
        <f t="shared" si="16"/>
        <v>9.6099999999999963E-2</v>
      </c>
      <c r="G203" s="14">
        <v>0.90390000000000004</v>
      </c>
    </row>
    <row r="204" spans="2:7" x14ac:dyDescent="0.25">
      <c r="B204" s="13">
        <v>145.15</v>
      </c>
      <c r="C204" s="13">
        <v>522.61</v>
      </c>
      <c r="D204" s="14">
        <f t="shared" si="15"/>
        <v>0.33220000000000005</v>
      </c>
      <c r="E204" s="14">
        <v>0.66779999999999995</v>
      </c>
      <c r="F204" s="14">
        <f t="shared" si="16"/>
        <v>0.10299999999999998</v>
      </c>
      <c r="G204" s="14">
        <v>0.89700000000000002</v>
      </c>
    </row>
    <row r="205" spans="2:7" x14ac:dyDescent="0.25">
      <c r="B205" s="13">
        <v>145.15</v>
      </c>
      <c r="C205" s="13">
        <v>544.05999999999995</v>
      </c>
      <c r="D205" s="14">
        <f t="shared" si="15"/>
        <v>0.30210000000000004</v>
      </c>
      <c r="E205" s="14">
        <v>0.69789999999999996</v>
      </c>
      <c r="F205" s="14">
        <f t="shared" si="16"/>
        <v>0.11899999999999999</v>
      </c>
      <c r="G205" s="14">
        <v>0.88100000000000001</v>
      </c>
    </row>
    <row r="206" spans="2:7" x14ac:dyDescent="0.25">
      <c r="B206" s="13">
        <v>145.15</v>
      </c>
      <c r="C206" s="13">
        <v>551.23</v>
      </c>
      <c r="D206" s="14">
        <f t="shared" si="15"/>
        <v>0.28220000000000001</v>
      </c>
      <c r="E206" s="14">
        <v>0.71779999999999999</v>
      </c>
      <c r="F206" s="14">
        <f t="shared" si="16"/>
        <v>0.12419999999999998</v>
      </c>
      <c r="G206" s="14">
        <v>0.87580000000000002</v>
      </c>
    </row>
    <row r="207" spans="2:7" x14ac:dyDescent="0.25">
      <c r="B207" s="13">
        <v>145.15</v>
      </c>
      <c r="C207" s="13">
        <v>555.02</v>
      </c>
      <c r="D207" s="14">
        <f t="shared" si="15"/>
        <v>0.27439999999999998</v>
      </c>
      <c r="E207" s="14">
        <v>0.72560000000000002</v>
      </c>
      <c r="F207" s="14">
        <f t="shared" si="16"/>
        <v>0.13090000000000002</v>
      </c>
      <c r="G207" s="14">
        <v>0.86909999999999998</v>
      </c>
    </row>
    <row r="208" spans="2:7" x14ac:dyDescent="0.25">
      <c r="B208" s="13">
        <v>149.5</v>
      </c>
      <c r="C208" s="13">
        <v>5.14</v>
      </c>
      <c r="D208" s="14">
        <f t="shared" si="15"/>
        <v>0.98529999999999995</v>
      </c>
      <c r="E208" s="14">
        <v>1.47E-2</v>
      </c>
      <c r="F208" s="14">
        <f t="shared" si="16"/>
        <v>2.7000000000000357E-3</v>
      </c>
      <c r="G208" s="14">
        <v>0.99729999999999996</v>
      </c>
    </row>
    <row r="209" spans="2:7" x14ac:dyDescent="0.25">
      <c r="B209" s="13">
        <v>149.5</v>
      </c>
      <c r="C209" s="13">
        <v>11.23</v>
      </c>
      <c r="D209" s="14">
        <f t="shared" si="15"/>
        <v>0.96350000000000002</v>
      </c>
      <c r="E209" s="14">
        <v>3.6499999999999998E-2</v>
      </c>
      <c r="F209" s="14">
        <f t="shared" si="16"/>
        <v>2.7000000000000357E-3</v>
      </c>
      <c r="G209" s="14">
        <v>0.99729999999999996</v>
      </c>
    </row>
    <row r="210" spans="2:7" x14ac:dyDescent="0.25">
      <c r="B210" s="13">
        <v>149.5</v>
      </c>
      <c r="C210" s="13">
        <v>22.4</v>
      </c>
      <c r="D210" s="14">
        <f t="shared" si="15"/>
        <v>0.93149999999999999</v>
      </c>
      <c r="E210" s="14">
        <v>6.8500000000000005E-2</v>
      </c>
      <c r="F210" s="14">
        <f t="shared" si="16"/>
        <v>2.9000000000000137E-3</v>
      </c>
      <c r="G210" s="14">
        <v>0.99709999999999999</v>
      </c>
    </row>
    <row r="211" spans="2:7" x14ac:dyDescent="0.25">
      <c r="B211" s="13">
        <v>149.5</v>
      </c>
      <c r="C211" s="13">
        <v>47.4</v>
      </c>
      <c r="D211" s="14">
        <f t="shared" si="15"/>
        <v>0.87359999999999993</v>
      </c>
      <c r="E211" s="14">
        <v>0.12640000000000001</v>
      </c>
      <c r="F211" s="14">
        <f t="shared" si="16"/>
        <v>7.0999999999999952E-3</v>
      </c>
      <c r="G211" s="14">
        <v>0.9929</v>
      </c>
    </row>
    <row r="212" spans="2:7" x14ac:dyDescent="0.25">
      <c r="B212" s="13">
        <v>149.5</v>
      </c>
      <c r="C212" s="13">
        <v>58.95</v>
      </c>
      <c r="D212" s="14">
        <f t="shared" si="15"/>
        <v>0.84689999999999999</v>
      </c>
      <c r="E212" s="14">
        <v>0.15310000000000001</v>
      </c>
      <c r="F212" s="14">
        <f t="shared" si="16"/>
        <v>9.199999999999986E-3</v>
      </c>
      <c r="G212" s="14">
        <v>0.99080000000000001</v>
      </c>
    </row>
    <row r="213" spans="2:7" x14ac:dyDescent="0.25">
      <c r="B213" s="13">
        <v>149.5</v>
      </c>
      <c r="C213" s="13">
        <v>67.849999999999994</v>
      </c>
      <c r="D213" s="14">
        <f t="shared" si="15"/>
        <v>0.83169999999999999</v>
      </c>
      <c r="E213" s="14">
        <v>0.16830000000000001</v>
      </c>
      <c r="F213" s="14">
        <f t="shared" si="16"/>
        <v>1.0499999999999954E-2</v>
      </c>
      <c r="G213" s="14">
        <v>0.98950000000000005</v>
      </c>
    </row>
    <row r="214" spans="2:7" x14ac:dyDescent="0.25">
      <c r="B214" s="13">
        <v>149.5</v>
      </c>
      <c r="C214" s="13">
        <v>82.44</v>
      </c>
      <c r="D214" s="14">
        <f t="shared" si="15"/>
        <v>0.80279999999999996</v>
      </c>
      <c r="E214" s="14">
        <v>0.19719999999999999</v>
      </c>
      <c r="F214" s="14">
        <f t="shared" si="16"/>
        <v>1.2199999999999989E-2</v>
      </c>
      <c r="G214" s="14">
        <v>0.98780000000000001</v>
      </c>
    </row>
    <row r="215" spans="2:7" x14ac:dyDescent="0.25">
      <c r="B215" s="13">
        <v>149.5</v>
      </c>
      <c r="C215" s="13">
        <v>100.65</v>
      </c>
      <c r="D215" s="14">
        <f t="shared" si="15"/>
        <v>0.77200000000000002</v>
      </c>
      <c r="E215" s="14">
        <v>0.22800000000000001</v>
      </c>
      <c r="F215" s="14">
        <f t="shared" si="16"/>
        <v>1.4900000000000024E-2</v>
      </c>
      <c r="G215" s="14">
        <v>0.98509999999999998</v>
      </c>
    </row>
    <row r="216" spans="2:7" x14ac:dyDescent="0.25">
      <c r="B216" s="13">
        <v>149.5</v>
      </c>
      <c r="C216" s="13">
        <v>112.37</v>
      </c>
      <c r="D216" s="14">
        <f t="shared" si="15"/>
        <v>0.753</v>
      </c>
      <c r="E216" s="14">
        <v>0.247</v>
      </c>
      <c r="F216" s="14">
        <f t="shared" si="16"/>
        <v>1.5499999999999958E-2</v>
      </c>
      <c r="G216" s="14">
        <v>0.98450000000000004</v>
      </c>
    </row>
    <row r="217" spans="2:7" x14ac:dyDescent="0.25">
      <c r="B217" s="13">
        <v>149.5</v>
      </c>
      <c r="C217" s="13">
        <v>125.56</v>
      </c>
      <c r="D217" s="14">
        <f t="shared" si="15"/>
        <v>0.73249999999999993</v>
      </c>
      <c r="E217" s="14">
        <v>0.26750000000000002</v>
      </c>
      <c r="F217" s="14">
        <f t="shared" si="16"/>
        <v>1.8100000000000005E-2</v>
      </c>
      <c r="G217" s="14">
        <v>0.9819</v>
      </c>
    </row>
    <row r="218" spans="2:7" x14ac:dyDescent="0.25">
      <c r="B218" s="13">
        <v>149.5</v>
      </c>
      <c r="C218" s="13">
        <v>132.1</v>
      </c>
      <c r="D218" s="14">
        <f t="shared" si="15"/>
        <v>0.72370000000000001</v>
      </c>
      <c r="E218" s="14">
        <v>0.27629999999999999</v>
      </c>
      <c r="F218" s="14">
        <f t="shared" si="16"/>
        <v>2.090000000000003E-2</v>
      </c>
      <c r="G218" s="14">
        <v>0.97909999999999997</v>
      </c>
    </row>
    <row r="219" spans="2:7" x14ac:dyDescent="0.25">
      <c r="B219" s="13">
        <v>149.5</v>
      </c>
      <c r="C219" s="13">
        <v>135.27000000000001</v>
      </c>
      <c r="D219" s="14">
        <f t="shared" si="15"/>
        <v>0.71910000000000007</v>
      </c>
      <c r="E219" s="14">
        <v>0.28089999999999998</v>
      </c>
      <c r="F219" s="14">
        <f t="shared" si="16"/>
        <v>2.0499999999999963E-2</v>
      </c>
      <c r="G219" s="14">
        <v>0.97950000000000004</v>
      </c>
    </row>
    <row r="220" spans="2:7" x14ac:dyDescent="0.25">
      <c r="B220" s="13">
        <v>149.5</v>
      </c>
      <c r="C220" s="13">
        <v>146.79</v>
      </c>
      <c r="D220" s="14">
        <f t="shared" si="15"/>
        <v>0.69930000000000003</v>
      </c>
      <c r="E220" s="14">
        <v>0.30070000000000002</v>
      </c>
      <c r="F220" s="14">
        <f t="shared" si="16"/>
        <v>2.2800000000000042E-2</v>
      </c>
      <c r="G220" s="14">
        <v>0.97719999999999996</v>
      </c>
    </row>
    <row r="221" spans="2:7" x14ac:dyDescent="0.25">
      <c r="B221" s="13">
        <v>149.5</v>
      </c>
      <c r="C221" s="13">
        <v>209.18</v>
      </c>
      <c r="D221" s="14">
        <f t="shared" si="15"/>
        <v>0.61840000000000006</v>
      </c>
      <c r="E221" s="14">
        <v>0.38159999999999999</v>
      </c>
      <c r="F221" s="14">
        <f t="shared" si="16"/>
        <v>3.4100000000000019E-2</v>
      </c>
      <c r="G221" s="14">
        <v>0.96589999999999998</v>
      </c>
    </row>
    <row r="222" spans="2:7" x14ac:dyDescent="0.25">
      <c r="B222" s="13">
        <v>149.5</v>
      </c>
      <c r="C222" s="13">
        <v>213.73</v>
      </c>
      <c r="D222" s="14">
        <f>1-E222</f>
        <v>0.61420000000000008</v>
      </c>
      <c r="E222" s="14">
        <v>0.38579999999999998</v>
      </c>
      <c r="F222" s="14">
        <f t="shared" si="16"/>
        <v>3.4800000000000053E-2</v>
      </c>
      <c r="G222" s="14">
        <v>0.96519999999999995</v>
      </c>
    </row>
    <row r="223" spans="2:7" x14ac:dyDescent="0.25">
      <c r="B223" s="13">
        <v>149.5</v>
      </c>
      <c r="C223" s="13">
        <v>238.56</v>
      </c>
      <c r="D223" s="14">
        <f t="shared" si="15"/>
        <v>0.58550000000000002</v>
      </c>
      <c r="E223" s="14">
        <v>0.41449999999999998</v>
      </c>
      <c r="F223" s="14">
        <f t="shared" si="16"/>
        <v>3.9300000000000002E-2</v>
      </c>
      <c r="G223" s="14">
        <v>0.9607</v>
      </c>
    </row>
    <row r="224" spans="2:7" x14ac:dyDescent="0.25">
      <c r="B224" s="13">
        <v>149.5</v>
      </c>
      <c r="C224" s="13">
        <v>260.52999999999997</v>
      </c>
      <c r="D224" s="14">
        <f t="shared" ref="D224:D239" si="17">1-E224</f>
        <v>0.55969999999999998</v>
      </c>
      <c r="E224" s="14">
        <v>0.44030000000000002</v>
      </c>
      <c r="F224" s="14">
        <f t="shared" si="16"/>
        <v>4.269999999999996E-2</v>
      </c>
      <c r="G224" s="14">
        <v>0.95730000000000004</v>
      </c>
    </row>
    <row r="225" spans="2:7" x14ac:dyDescent="0.25">
      <c r="B225" s="13">
        <v>149.5</v>
      </c>
      <c r="C225" s="13">
        <v>277.23</v>
      </c>
      <c r="D225" s="14">
        <f t="shared" si="17"/>
        <v>0.54220000000000002</v>
      </c>
      <c r="E225" s="14">
        <v>0.45779999999999998</v>
      </c>
      <c r="F225" s="14">
        <f t="shared" si="16"/>
        <v>4.610000000000003E-2</v>
      </c>
      <c r="G225" s="14">
        <v>0.95389999999999997</v>
      </c>
    </row>
    <row r="226" spans="2:7" x14ac:dyDescent="0.25">
      <c r="B226" s="13">
        <v>149.5</v>
      </c>
      <c r="C226" s="13">
        <v>284.2</v>
      </c>
      <c r="D226" s="14">
        <f t="shared" si="17"/>
        <v>0.53310000000000002</v>
      </c>
      <c r="E226" s="14">
        <v>0.46689999999999998</v>
      </c>
      <c r="F226" s="14">
        <f t="shared" si="16"/>
        <v>4.9399999999999999E-2</v>
      </c>
      <c r="G226" s="14">
        <v>0.9506</v>
      </c>
    </row>
    <row r="227" spans="2:7" x14ac:dyDescent="0.25">
      <c r="B227" s="13">
        <v>149.5</v>
      </c>
      <c r="C227" s="13">
        <v>296.13</v>
      </c>
      <c r="D227" s="14">
        <f t="shared" si="17"/>
        <v>0.52279999999999993</v>
      </c>
      <c r="E227" s="14">
        <v>0.47720000000000001</v>
      </c>
      <c r="F227" s="14">
        <f t="shared" si="16"/>
        <v>5.0200000000000022E-2</v>
      </c>
      <c r="G227" s="14">
        <v>0.94979999999999998</v>
      </c>
    </row>
    <row r="228" spans="2:7" x14ac:dyDescent="0.25">
      <c r="B228" s="13">
        <v>149.5</v>
      </c>
      <c r="C228" s="13">
        <v>318.26</v>
      </c>
      <c r="D228" s="14">
        <f t="shared" si="17"/>
        <v>0.49509999999999998</v>
      </c>
      <c r="E228" s="14">
        <v>0.50490000000000002</v>
      </c>
      <c r="F228" s="14">
        <f t="shared" si="16"/>
        <v>5.4699999999999971E-2</v>
      </c>
      <c r="G228" s="14">
        <v>0.94530000000000003</v>
      </c>
    </row>
    <row r="229" spans="2:7" x14ac:dyDescent="0.25">
      <c r="B229" s="13">
        <v>149.5</v>
      </c>
      <c r="C229" s="13">
        <v>330.87</v>
      </c>
      <c r="D229" s="14">
        <f t="shared" si="17"/>
        <v>0.47870000000000001</v>
      </c>
      <c r="E229" s="14">
        <v>0.52129999999999999</v>
      </c>
      <c r="F229" s="14">
        <f t="shared" si="16"/>
        <v>5.589999999999995E-2</v>
      </c>
      <c r="G229" s="14">
        <v>0.94410000000000005</v>
      </c>
    </row>
    <row r="230" spans="2:7" x14ac:dyDescent="0.25">
      <c r="B230" s="13">
        <v>149.5</v>
      </c>
      <c r="C230" s="13">
        <v>342.32</v>
      </c>
      <c r="D230" s="14">
        <f t="shared" si="17"/>
        <v>0.47250000000000003</v>
      </c>
      <c r="E230" s="14">
        <v>0.52749999999999997</v>
      </c>
      <c r="F230" s="14">
        <f t="shared" si="16"/>
        <v>6.1499999999999999E-2</v>
      </c>
      <c r="G230" s="14">
        <v>0.9385</v>
      </c>
    </row>
    <row r="231" spans="2:7" x14ac:dyDescent="0.25">
      <c r="B231" s="13">
        <v>149.5</v>
      </c>
      <c r="C231" s="13">
        <v>371.76</v>
      </c>
      <c r="D231" s="14">
        <f t="shared" si="17"/>
        <v>0.43679999999999997</v>
      </c>
      <c r="E231" s="14">
        <v>0.56320000000000003</v>
      </c>
      <c r="F231" s="14">
        <f t="shared" si="16"/>
        <v>6.9599999999999995E-2</v>
      </c>
      <c r="G231" s="14">
        <v>0.9304</v>
      </c>
    </row>
    <row r="232" spans="2:7" x14ac:dyDescent="0.25">
      <c r="B232" s="13">
        <v>149.5</v>
      </c>
      <c r="C232" s="13">
        <v>400.58</v>
      </c>
      <c r="D232" s="14">
        <f t="shared" si="17"/>
        <v>0.40010000000000001</v>
      </c>
      <c r="E232" s="14">
        <v>0.59989999999999999</v>
      </c>
    </row>
    <row r="233" spans="2:7" x14ac:dyDescent="0.25">
      <c r="B233" s="13">
        <v>149.5</v>
      </c>
      <c r="C233" s="13">
        <v>417.82</v>
      </c>
      <c r="D233" s="14">
        <f t="shared" si="17"/>
        <v>0.38719999999999999</v>
      </c>
      <c r="E233" s="14">
        <v>0.61280000000000001</v>
      </c>
      <c r="F233" s="14">
        <f t="shared" si="16"/>
        <v>8.6200000000000054E-2</v>
      </c>
      <c r="G233" s="14">
        <v>0.91379999999999995</v>
      </c>
    </row>
    <row r="234" spans="2:7" x14ac:dyDescent="0.25">
      <c r="B234" s="13">
        <v>149.5</v>
      </c>
      <c r="C234" s="13">
        <v>160.71</v>
      </c>
      <c r="D234" s="14">
        <f t="shared" si="17"/>
        <v>0.67989999999999995</v>
      </c>
      <c r="E234" s="14">
        <v>0.3201</v>
      </c>
      <c r="F234" s="14">
        <f t="shared" si="16"/>
        <v>2.5499999999999967E-2</v>
      </c>
      <c r="G234" s="14">
        <v>0.97450000000000003</v>
      </c>
    </row>
    <row r="235" spans="2:7" x14ac:dyDescent="0.25">
      <c r="B235" s="13">
        <v>149.5</v>
      </c>
      <c r="C235" s="13">
        <v>176.16</v>
      </c>
      <c r="D235" s="14">
        <f t="shared" si="17"/>
        <v>0.65959999999999996</v>
      </c>
      <c r="E235" s="14">
        <v>0.34039999999999998</v>
      </c>
      <c r="F235" s="14">
        <f t="shared" si="16"/>
        <v>2.6399999999999979E-2</v>
      </c>
      <c r="G235" s="14">
        <v>0.97360000000000002</v>
      </c>
    </row>
    <row r="236" spans="2:7" x14ac:dyDescent="0.25">
      <c r="B236" s="13">
        <v>149.5</v>
      </c>
      <c r="C236" s="13">
        <v>182.15</v>
      </c>
      <c r="D236" s="14">
        <f t="shared" si="17"/>
        <v>0.65439999999999998</v>
      </c>
      <c r="E236" s="14">
        <v>0.34560000000000002</v>
      </c>
      <c r="F236" s="14">
        <f t="shared" si="16"/>
        <v>2.9499999999999971E-2</v>
      </c>
      <c r="G236" s="14">
        <v>0.97050000000000003</v>
      </c>
    </row>
    <row r="237" spans="2:7" x14ac:dyDescent="0.25">
      <c r="B237" s="13">
        <v>149.5</v>
      </c>
      <c r="C237" s="13">
        <v>188.57</v>
      </c>
      <c r="D237" s="14">
        <f t="shared" si="17"/>
        <v>0.64500000000000002</v>
      </c>
      <c r="E237" s="14">
        <v>0.35499999999999998</v>
      </c>
      <c r="F237" s="14">
        <f t="shared" si="16"/>
        <v>2.9800000000000049E-2</v>
      </c>
      <c r="G237" s="14">
        <v>0.97019999999999995</v>
      </c>
    </row>
    <row r="238" spans="2:7" x14ac:dyDescent="0.25">
      <c r="B238" s="13">
        <v>149.5</v>
      </c>
      <c r="C238" s="13">
        <v>201.05</v>
      </c>
      <c r="D238" s="14">
        <f t="shared" si="17"/>
        <v>0.62919999999999998</v>
      </c>
      <c r="E238" s="14">
        <v>0.37080000000000002</v>
      </c>
      <c r="F238" s="14">
        <f t="shared" si="16"/>
        <v>3.2200000000000006E-2</v>
      </c>
      <c r="G238" s="14">
        <v>0.96779999999999999</v>
      </c>
    </row>
    <row r="239" spans="2:7" x14ac:dyDescent="0.25">
      <c r="B239" s="13">
        <v>149.5</v>
      </c>
      <c r="C239" s="13">
        <v>440.57</v>
      </c>
      <c r="D239" s="14">
        <f t="shared" si="17"/>
        <v>0.35980000000000001</v>
      </c>
      <c r="E239" s="14">
        <v>0.64019999999999999</v>
      </c>
      <c r="F239" s="14">
        <f t="shared" si="16"/>
        <v>9.7700000000000009E-2</v>
      </c>
      <c r="G239" s="14">
        <v>0.90229999999999999</v>
      </c>
    </row>
    <row r="240" spans="2:7" x14ac:dyDescent="0.25">
      <c r="B240" s="13">
        <v>149.5</v>
      </c>
      <c r="C240" s="13">
        <v>464.29</v>
      </c>
      <c r="D240" s="14">
        <f>1-E240</f>
        <v>0.31279999999999997</v>
      </c>
      <c r="E240" s="14">
        <v>0.68720000000000003</v>
      </c>
      <c r="F240" s="14">
        <f t="shared" si="16"/>
        <v>0.11850000000000005</v>
      </c>
      <c r="G240" s="14">
        <v>0.88149999999999995</v>
      </c>
    </row>
    <row r="241" spans="2:7" x14ac:dyDescent="0.25">
      <c r="B241" s="13">
        <v>149.5</v>
      </c>
      <c r="C241" s="13">
        <v>475.11</v>
      </c>
      <c r="D241" s="14">
        <f t="shared" ref="D241:D263" si="18">1-E241</f>
        <v>0.28879999999999995</v>
      </c>
      <c r="E241" s="14">
        <v>0.71120000000000005</v>
      </c>
      <c r="F241" s="14">
        <f t="shared" si="16"/>
        <v>0.13460000000000005</v>
      </c>
      <c r="G241" s="14">
        <v>0.86539999999999995</v>
      </c>
    </row>
    <row r="242" spans="2:7" x14ac:dyDescent="0.25">
      <c r="B242" s="13">
        <v>149.5</v>
      </c>
      <c r="C242" s="13">
        <v>480.25</v>
      </c>
      <c r="D242" s="14">
        <f t="shared" si="18"/>
        <v>0.25170000000000003</v>
      </c>
      <c r="E242" s="14">
        <v>0.74829999999999997</v>
      </c>
      <c r="F242" s="14">
        <f t="shared" ref="F242:F305" si="19">1-G242</f>
        <v>0.15280000000000005</v>
      </c>
      <c r="G242" s="14">
        <v>0.84719999999999995</v>
      </c>
    </row>
    <row r="243" spans="2:7" x14ac:dyDescent="0.25">
      <c r="B243" s="13">
        <v>149.5</v>
      </c>
      <c r="C243" s="13">
        <v>480.97</v>
      </c>
      <c r="D243" s="14">
        <f t="shared" si="18"/>
        <v>0.24809999999999999</v>
      </c>
      <c r="E243" s="14">
        <v>0.75190000000000001</v>
      </c>
    </row>
    <row r="244" spans="2:7" x14ac:dyDescent="0.25">
      <c r="B244" s="13">
        <v>161.15</v>
      </c>
      <c r="C244" s="13">
        <v>53.94</v>
      </c>
      <c r="D244" s="14">
        <f t="shared" si="18"/>
        <v>0.82919999999999994</v>
      </c>
      <c r="E244" s="14">
        <v>0.17080000000000001</v>
      </c>
      <c r="F244" s="14">
        <f t="shared" si="19"/>
        <v>1.4299999999999979E-2</v>
      </c>
      <c r="G244" s="14">
        <v>0.98570000000000002</v>
      </c>
    </row>
    <row r="245" spans="2:7" x14ac:dyDescent="0.25">
      <c r="B245" s="13">
        <v>161.15</v>
      </c>
      <c r="C245" s="13">
        <v>83.6</v>
      </c>
      <c r="D245" s="14">
        <f t="shared" si="18"/>
        <v>0.76100000000000001</v>
      </c>
      <c r="E245" s="14">
        <v>0.23899999999999999</v>
      </c>
      <c r="F245" s="14">
        <f t="shared" si="19"/>
        <v>2.0299999999999985E-2</v>
      </c>
      <c r="G245" s="14">
        <v>0.97970000000000002</v>
      </c>
    </row>
    <row r="246" spans="2:7" x14ac:dyDescent="0.25">
      <c r="B246" s="13">
        <v>161.15</v>
      </c>
      <c r="C246" s="13">
        <v>101.92</v>
      </c>
      <c r="D246" s="14">
        <f t="shared" si="18"/>
        <v>0.72370000000000001</v>
      </c>
      <c r="E246" s="14">
        <v>0.27629999999999999</v>
      </c>
      <c r="F246" s="14">
        <f t="shared" si="19"/>
        <v>2.4000000000000021E-2</v>
      </c>
      <c r="G246" s="14">
        <v>0.97599999999999998</v>
      </c>
    </row>
    <row r="247" spans="2:7" x14ac:dyDescent="0.25">
      <c r="B247" s="13">
        <v>161.15</v>
      </c>
      <c r="C247" s="13">
        <v>134.26</v>
      </c>
      <c r="D247" s="14">
        <f t="shared" si="18"/>
        <v>0.66310000000000002</v>
      </c>
      <c r="E247" s="14">
        <v>0.33689999999999998</v>
      </c>
      <c r="F247" s="14">
        <f t="shared" si="19"/>
        <v>3.1599999999999961E-2</v>
      </c>
      <c r="G247" s="14">
        <v>0.96840000000000004</v>
      </c>
    </row>
    <row r="248" spans="2:7" x14ac:dyDescent="0.25">
      <c r="B248" s="13">
        <v>161.15</v>
      </c>
      <c r="C248" s="13">
        <v>144.32</v>
      </c>
      <c r="D248" s="14">
        <f t="shared" si="18"/>
        <v>0.64319999999999999</v>
      </c>
      <c r="E248" s="14">
        <v>0.35680000000000001</v>
      </c>
      <c r="F248" s="14">
        <f t="shared" si="19"/>
        <v>3.4299999999999997E-2</v>
      </c>
      <c r="G248" s="14">
        <v>0.9657</v>
      </c>
    </row>
    <row r="249" spans="2:7" x14ac:dyDescent="0.25">
      <c r="B249" s="13">
        <v>161.15</v>
      </c>
      <c r="C249" s="13">
        <v>178.5</v>
      </c>
      <c r="D249" s="14">
        <f t="shared" si="18"/>
        <v>0.58519999999999994</v>
      </c>
      <c r="E249" s="14">
        <v>0.4148</v>
      </c>
      <c r="F249" s="14">
        <f t="shared" si="19"/>
        <v>4.4399999999999995E-2</v>
      </c>
      <c r="G249" s="14">
        <v>0.9556</v>
      </c>
    </row>
    <row r="250" spans="2:7" x14ac:dyDescent="0.25">
      <c r="B250" s="13">
        <v>161.15</v>
      </c>
      <c r="C250" s="13">
        <v>199.53</v>
      </c>
      <c r="D250" s="14">
        <f t="shared" si="18"/>
        <v>0.55170000000000008</v>
      </c>
      <c r="E250" s="14">
        <v>0.44829999999999998</v>
      </c>
      <c r="F250" s="14">
        <f t="shared" si="19"/>
        <v>5.1699999999999968E-2</v>
      </c>
      <c r="G250" s="14">
        <v>0.94830000000000003</v>
      </c>
    </row>
    <row r="251" spans="2:7" x14ac:dyDescent="0.25">
      <c r="B251" s="13">
        <v>161.15</v>
      </c>
      <c r="C251" s="13">
        <v>220.69</v>
      </c>
      <c r="D251" s="14">
        <f t="shared" si="18"/>
        <v>0.51719999999999999</v>
      </c>
      <c r="E251" s="14">
        <v>0.48280000000000001</v>
      </c>
      <c r="F251" s="14">
        <f t="shared" si="19"/>
        <v>5.7300000000000018E-2</v>
      </c>
      <c r="G251" s="14">
        <v>0.94269999999999998</v>
      </c>
    </row>
    <row r="252" spans="2:7" x14ac:dyDescent="0.25">
      <c r="B252" s="13">
        <v>161.15</v>
      </c>
      <c r="C252" s="13">
        <v>261.58</v>
      </c>
      <c r="D252" s="14">
        <f t="shared" si="18"/>
        <v>0.45230000000000004</v>
      </c>
      <c r="E252" s="14">
        <v>0.54769999999999996</v>
      </c>
      <c r="F252" s="14">
        <f t="shared" si="19"/>
        <v>7.4899999999999967E-2</v>
      </c>
      <c r="G252" s="14">
        <v>0.92510000000000003</v>
      </c>
    </row>
    <row r="253" spans="2:7" x14ac:dyDescent="0.25">
      <c r="B253" s="13">
        <v>161.15</v>
      </c>
      <c r="C253" s="13">
        <v>285.37</v>
      </c>
      <c r="D253" s="14">
        <f t="shared" si="18"/>
        <v>0.40990000000000004</v>
      </c>
      <c r="E253" s="14">
        <v>0.59009999999999996</v>
      </c>
      <c r="F253" s="14">
        <f t="shared" si="19"/>
        <v>9.1300000000000048E-2</v>
      </c>
      <c r="G253" s="14">
        <v>0.90869999999999995</v>
      </c>
    </row>
    <row r="254" spans="2:7" x14ac:dyDescent="0.25">
      <c r="B254" s="13">
        <v>161.15</v>
      </c>
      <c r="C254" s="13">
        <v>304.05</v>
      </c>
      <c r="D254" s="14">
        <f t="shared" si="18"/>
        <v>0.37880000000000003</v>
      </c>
      <c r="E254" s="14">
        <v>0.62119999999999997</v>
      </c>
      <c r="F254" s="14">
        <f t="shared" si="19"/>
        <v>0.10409999999999997</v>
      </c>
      <c r="G254" s="14">
        <v>0.89590000000000003</v>
      </c>
    </row>
    <row r="255" spans="2:7" x14ac:dyDescent="0.25">
      <c r="B255" s="13">
        <v>161.15</v>
      </c>
      <c r="C255" s="13">
        <v>318.33</v>
      </c>
      <c r="D255" s="14">
        <f t="shared" si="18"/>
        <v>0.34399999999999997</v>
      </c>
      <c r="E255" s="14">
        <v>0.65600000000000003</v>
      </c>
      <c r="F255" s="14">
        <f t="shared" si="19"/>
        <v>0.11819999999999997</v>
      </c>
      <c r="G255" s="14">
        <v>0.88180000000000003</v>
      </c>
    </row>
    <row r="256" spans="2:7" x14ac:dyDescent="0.25">
      <c r="B256" s="13">
        <v>161.15</v>
      </c>
      <c r="C256" s="13">
        <v>331.91</v>
      </c>
      <c r="D256" s="14">
        <f t="shared" si="18"/>
        <v>0.31640000000000001</v>
      </c>
      <c r="E256" s="14">
        <v>0.68359999999999999</v>
      </c>
      <c r="F256" s="14">
        <f t="shared" si="19"/>
        <v>0.14019999999999999</v>
      </c>
      <c r="G256" s="14">
        <v>0.85980000000000001</v>
      </c>
    </row>
    <row r="257" spans="2:7" x14ac:dyDescent="0.25">
      <c r="B257" s="13">
        <v>161.15</v>
      </c>
      <c r="C257" s="13">
        <v>332.94</v>
      </c>
      <c r="D257" s="14">
        <f t="shared" si="18"/>
        <v>0.30479999999999996</v>
      </c>
      <c r="E257" s="14">
        <v>0.69520000000000004</v>
      </c>
      <c r="F257" s="14">
        <f t="shared" si="19"/>
        <v>0.14170000000000005</v>
      </c>
      <c r="G257" s="14">
        <v>0.85829999999999995</v>
      </c>
    </row>
    <row r="258" spans="2:7" x14ac:dyDescent="0.25">
      <c r="B258" s="13">
        <v>161.15</v>
      </c>
      <c r="C258" s="13">
        <v>335.43</v>
      </c>
      <c r="D258" s="14">
        <f t="shared" si="18"/>
        <v>0.29890000000000005</v>
      </c>
      <c r="E258" s="14">
        <v>0.70109999999999995</v>
      </c>
      <c r="F258" s="14">
        <f t="shared" si="19"/>
        <v>0.14880000000000004</v>
      </c>
      <c r="G258" s="14">
        <v>0.85119999999999996</v>
      </c>
    </row>
    <row r="259" spans="2:7" x14ac:dyDescent="0.25">
      <c r="B259" s="13">
        <v>169.4</v>
      </c>
      <c r="C259" s="13">
        <v>6.74</v>
      </c>
      <c r="D259" s="14">
        <f t="shared" si="18"/>
        <v>0.9708</v>
      </c>
      <c r="E259" s="14">
        <v>2.92E-2</v>
      </c>
      <c r="F259" s="14">
        <f t="shared" si="19"/>
        <v>1.0700000000000043E-2</v>
      </c>
      <c r="G259" s="14">
        <v>0.98929999999999996</v>
      </c>
    </row>
    <row r="260" spans="2:7" x14ac:dyDescent="0.25">
      <c r="B260" s="13">
        <v>169.4</v>
      </c>
      <c r="C260" s="13">
        <v>14.35</v>
      </c>
      <c r="D260" s="14">
        <f t="shared" si="18"/>
        <v>0.93889999999999996</v>
      </c>
      <c r="E260" s="14">
        <v>6.1100000000000002E-2</v>
      </c>
      <c r="F260" s="14">
        <f t="shared" si="19"/>
        <v>1.0099999999999998E-2</v>
      </c>
      <c r="G260" s="14">
        <v>0.9899</v>
      </c>
    </row>
    <row r="261" spans="2:7" x14ac:dyDescent="0.25">
      <c r="B261" s="13">
        <v>169.4</v>
      </c>
      <c r="C261" s="13">
        <v>24.5</v>
      </c>
      <c r="D261" s="14">
        <f t="shared" si="18"/>
        <v>0.90249999999999997</v>
      </c>
      <c r="E261" s="14">
        <v>9.7500000000000003E-2</v>
      </c>
      <c r="F261" s="14">
        <f t="shared" si="19"/>
        <v>1.2299999999999978E-2</v>
      </c>
      <c r="G261" s="14">
        <v>0.98770000000000002</v>
      </c>
    </row>
    <row r="262" spans="2:7" x14ac:dyDescent="0.25">
      <c r="B262" s="13">
        <v>169.4</v>
      </c>
      <c r="C262" s="13">
        <v>35.11</v>
      </c>
      <c r="D262" s="14">
        <f t="shared" si="18"/>
        <v>0.86640000000000006</v>
      </c>
      <c r="E262" s="14">
        <v>0.1336</v>
      </c>
      <c r="F262" s="14">
        <f t="shared" si="19"/>
        <v>1.4900000000000024E-2</v>
      </c>
      <c r="G262" s="14">
        <v>0.98509999999999998</v>
      </c>
    </row>
    <row r="263" spans="2:7" x14ac:dyDescent="0.25">
      <c r="B263" s="13">
        <v>169.4</v>
      </c>
      <c r="C263" s="13">
        <v>43.28</v>
      </c>
      <c r="D263" s="14">
        <f t="shared" si="18"/>
        <v>0.84060000000000001</v>
      </c>
      <c r="E263" s="14">
        <v>0.15939999999999999</v>
      </c>
      <c r="F263" s="14">
        <f t="shared" si="19"/>
        <v>1.7000000000000015E-2</v>
      </c>
      <c r="G263" s="14">
        <v>0.98299999999999998</v>
      </c>
    </row>
    <row r="264" spans="2:7" x14ac:dyDescent="0.25">
      <c r="B264" s="13">
        <v>169.4</v>
      </c>
      <c r="C264" s="13">
        <v>52.26</v>
      </c>
      <c r="D264" s="14">
        <f>1-E264</f>
        <v>0.81330000000000002</v>
      </c>
      <c r="E264" s="14">
        <v>0.1867</v>
      </c>
      <c r="F264" s="14">
        <f t="shared" si="19"/>
        <v>1.8499999999999961E-2</v>
      </c>
      <c r="G264" s="14">
        <v>0.98150000000000004</v>
      </c>
    </row>
    <row r="265" spans="2:7" x14ac:dyDescent="0.25">
      <c r="B265" s="13">
        <v>169.4</v>
      </c>
      <c r="C265" s="13">
        <v>59.44</v>
      </c>
      <c r="D265" s="14">
        <f t="shared" ref="D265:D291" si="20">1-E265</f>
        <v>0.79339999999999999</v>
      </c>
      <c r="E265" s="14">
        <v>0.20660000000000001</v>
      </c>
      <c r="F265" s="14">
        <f t="shared" si="19"/>
        <v>2.1800000000000042E-2</v>
      </c>
      <c r="G265" s="14">
        <v>0.97819999999999996</v>
      </c>
    </row>
    <row r="266" spans="2:7" x14ac:dyDescent="0.25">
      <c r="B266" s="13">
        <v>169.4</v>
      </c>
      <c r="C266" s="13">
        <v>60.08</v>
      </c>
      <c r="D266" s="14">
        <f t="shared" si="20"/>
        <v>0.79069999999999996</v>
      </c>
      <c r="E266" s="14">
        <v>0.20930000000000001</v>
      </c>
      <c r="F266" s="14">
        <f t="shared" si="19"/>
        <v>2.1800000000000042E-2</v>
      </c>
      <c r="G266" s="14">
        <v>0.97819999999999996</v>
      </c>
    </row>
    <row r="267" spans="2:7" x14ac:dyDescent="0.25">
      <c r="B267" s="13">
        <v>169.4</v>
      </c>
      <c r="C267" s="13">
        <v>75.63</v>
      </c>
      <c r="D267" s="14">
        <f t="shared" si="20"/>
        <v>0.75</v>
      </c>
      <c r="E267" s="14">
        <v>0.25</v>
      </c>
      <c r="F267" s="14">
        <f t="shared" si="19"/>
        <v>2.3299999999999987E-2</v>
      </c>
      <c r="G267" s="14">
        <v>0.97670000000000001</v>
      </c>
    </row>
    <row r="268" spans="2:7" x14ac:dyDescent="0.25">
      <c r="B268" s="13">
        <v>169.4</v>
      </c>
      <c r="C268" s="13">
        <v>89.55</v>
      </c>
      <c r="D268" s="14">
        <f t="shared" si="20"/>
        <v>0.7157</v>
      </c>
      <c r="E268" s="14">
        <v>0.2843</v>
      </c>
      <c r="F268" s="14">
        <f t="shared" si="19"/>
        <v>2.8900000000000037E-2</v>
      </c>
      <c r="G268" s="14">
        <v>0.97109999999999996</v>
      </c>
    </row>
    <row r="269" spans="2:7" x14ac:dyDescent="0.25">
      <c r="B269" s="13">
        <v>169.4</v>
      </c>
      <c r="C269" s="13">
        <v>102.17</v>
      </c>
      <c r="D269" s="14">
        <f t="shared" si="20"/>
        <v>0.68640000000000001</v>
      </c>
      <c r="E269" s="14">
        <v>0.31359999999999999</v>
      </c>
      <c r="F269" s="14">
        <f t="shared" si="19"/>
        <v>3.2200000000000006E-2</v>
      </c>
      <c r="G269" s="14">
        <v>0.96779999999999999</v>
      </c>
    </row>
    <row r="270" spans="2:7" x14ac:dyDescent="0.25">
      <c r="B270" s="13">
        <v>169.4</v>
      </c>
      <c r="C270" s="13">
        <v>114.33</v>
      </c>
      <c r="D270" s="14">
        <f t="shared" si="20"/>
        <v>0.65810000000000002</v>
      </c>
      <c r="E270" s="14">
        <v>0.34189999999999998</v>
      </c>
      <c r="F270" s="14">
        <f t="shared" si="19"/>
        <v>3.6900000000000044E-2</v>
      </c>
      <c r="G270" s="14">
        <v>0.96309999999999996</v>
      </c>
    </row>
    <row r="271" spans="2:7" x14ac:dyDescent="0.25">
      <c r="B271" s="13">
        <v>169.4</v>
      </c>
      <c r="C271" s="13">
        <v>126.76</v>
      </c>
      <c r="D271" s="14">
        <f t="shared" si="20"/>
        <v>0.63219999999999998</v>
      </c>
      <c r="E271" s="14">
        <v>0.36780000000000002</v>
      </c>
      <c r="F271" s="14">
        <f t="shared" si="19"/>
        <v>4.1799999999999948E-2</v>
      </c>
      <c r="G271" s="14">
        <v>0.95820000000000005</v>
      </c>
    </row>
    <row r="272" spans="2:7" x14ac:dyDescent="0.25">
      <c r="B272" s="13">
        <v>169.4</v>
      </c>
      <c r="C272" s="13">
        <v>130.19</v>
      </c>
      <c r="D272" s="14">
        <f t="shared" si="20"/>
        <v>0.62409999999999999</v>
      </c>
      <c r="E272" s="14">
        <v>0.37590000000000001</v>
      </c>
      <c r="F272" s="14">
        <f t="shared" si="19"/>
        <v>4.379999999999995E-2</v>
      </c>
      <c r="G272" s="14">
        <v>0.95620000000000005</v>
      </c>
    </row>
    <row r="273" spans="2:7" x14ac:dyDescent="0.25">
      <c r="B273" s="13">
        <v>169.4</v>
      </c>
      <c r="C273" s="13">
        <v>132.03</v>
      </c>
      <c r="D273" s="14">
        <f t="shared" si="20"/>
        <v>0.62230000000000008</v>
      </c>
      <c r="E273" s="14">
        <v>0.37769999999999998</v>
      </c>
      <c r="F273" s="14">
        <f t="shared" si="19"/>
        <v>4.5100000000000029E-2</v>
      </c>
      <c r="G273" s="14">
        <v>0.95489999999999997</v>
      </c>
    </row>
    <row r="274" spans="2:7" x14ac:dyDescent="0.25">
      <c r="B274" s="13">
        <v>169.4</v>
      </c>
      <c r="C274" s="13">
        <v>135.18</v>
      </c>
      <c r="D274" s="14">
        <f t="shared" si="20"/>
        <v>0.61480000000000001</v>
      </c>
      <c r="E274" s="14">
        <v>0.38519999999999999</v>
      </c>
      <c r="F274" s="14">
        <f t="shared" si="19"/>
        <v>4.5200000000000018E-2</v>
      </c>
      <c r="G274" s="14">
        <v>0.95479999999999998</v>
      </c>
    </row>
    <row r="275" spans="2:7" x14ac:dyDescent="0.25">
      <c r="B275" s="13">
        <v>169.4</v>
      </c>
      <c r="C275" s="13">
        <v>141.75</v>
      </c>
      <c r="D275" s="14">
        <f t="shared" si="20"/>
        <v>0.59689999999999999</v>
      </c>
      <c r="E275" s="14">
        <v>0.40310000000000001</v>
      </c>
      <c r="F275" s="14">
        <f t="shared" si="19"/>
        <v>4.8699999999999966E-2</v>
      </c>
      <c r="G275" s="14">
        <v>0.95130000000000003</v>
      </c>
    </row>
    <row r="276" spans="2:7" x14ac:dyDescent="0.25">
      <c r="B276" s="13">
        <v>169.4</v>
      </c>
      <c r="C276" s="13">
        <v>152.37</v>
      </c>
      <c r="D276" s="14">
        <f t="shared" si="20"/>
        <v>0.57440000000000002</v>
      </c>
      <c r="E276" s="14">
        <v>0.42559999999999998</v>
      </c>
      <c r="F276" s="14">
        <f t="shared" si="19"/>
        <v>5.589999999999995E-2</v>
      </c>
      <c r="G276" s="14">
        <v>0.94410000000000005</v>
      </c>
    </row>
    <row r="277" spans="2:7" x14ac:dyDescent="0.25">
      <c r="B277" s="13">
        <v>169.4</v>
      </c>
      <c r="C277" s="13">
        <v>165.47</v>
      </c>
      <c r="D277" s="14">
        <f t="shared" si="20"/>
        <v>0.54820000000000002</v>
      </c>
      <c r="E277" s="14">
        <v>0.45179999999999998</v>
      </c>
      <c r="F277" s="14">
        <f t="shared" si="19"/>
        <v>6.0699999999999976E-2</v>
      </c>
      <c r="G277" s="14">
        <v>0.93930000000000002</v>
      </c>
    </row>
    <row r="278" spans="2:7" x14ac:dyDescent="0.25">
      <c r="B278" s="13">
        <v>169.4</v>
      </c>
      <c r="C278" s="13">
        <v>178.99</v>
      </c>
      <c r="D278" s="14">
        <f t="shared" si="20"/>
        <v>0.52310000000000001</v>
      </c>
      <c r="E278" s="14">
        <v>0.47689999999999999</v>
      </c>
      <c r="F278" s="14">
        <f t="shared" si="19"/>
        <v>6.8799999999999972E-2</v>
      </c>
      <c r="G278" s="14">
        <v>0.93120000000000003</v>
      </c>
    </row>
    <row r="279" spans="2:7" x14ac:dyDescent="0.25">
      <c r="B279" s="13">
        <v>169.4</v>
      </c>
      <c r="C279" s="13">
        <v>192.57</v>
      </c>
      <c r="D279" s="14">
        <f t="shared" si="20"/>
        <v>0.49480000000000002</v>
      </c>
      <c r="E279" s="14">
        <v>0.50519999999999998</v>
      </c>
      <c r="F279" s="14">
        <f t="shared" si="19"/>
        <v>7.4899999999999967E-2</v>
      </c>
      <c r="G279" s="14">
        <v>0.92510000000000003</v>
      </c>
    </row>
    <row r="280" spans="2:7" x14ac:dyDescent="0.25">
      <c r="B280" s="13">
        <v>169.4</v>
      </c>
      <c r="C280" s="13">
        <v>204.84</v>
      </c>
      <c r="D280" s="14">
        <f t="shared" si="20"/>
        <v>0.46850000000000003</v>
      </c>
      <c r="E280" s="14">
        <v>0.53149999999999997</v>
      </c>
      <c r="F280" s="14">
        <f t="shared" si="19"/>
        <v>8.0899999999999972E-2</v>
      </c>
      <c r="G280" s="14">
        <v>0.91910000000000003</v>
      </c>
    </row>
    <row r="281" spans="2:7" x14ac:dyDescent="0.25">
      <c r="B281" s="13">
        <v>169.4</v>
      </c>
      <c r="C281" s="13">
        <v>207.39</v>
      </c>
      <c r="D281" s="14">
        <f t="shared" si="20"/>
        <v>0.46550000000000002</v>
      </c>
      <c r="E281" s="14">
        <v>0.53449999999999998</v>
      </c>
      <c r="F281" s="14">
        <f t="shared" si="19"/>
        <v>8.1899999999999973E-2</v>
      </c>
      <c r="G281" s="14">
        <v>0.91810000000000003</v>
      </c>
    </row>
    <row r="282" spans="2:7" x14ac:dyDescent="0.25">
      <c r="B282" s="13">
        <v>169.4</v>
      </c>
      <c r="C282" s="13">
        <v>218.97</v>
      </c>
      <c r="D282" s="14">
        <f t="shared" si="20"/>
        <v>0.44030000000000002</v>
      </c>
      <c r="E282" s="14">
        <v>0.55969999999999998</v>
      </c>
      <c r="F282" s="14">
        <f t="shared" si="19"/>
        <v>8.8500000000000023E-2</v>
      </c>
      <c r="G282" s="14">
        <v>0.91149999999999998</v>
      </c>
    </row>
    <row r="283" spans="2:7" x14ac:dyDescent="0.25">
      <c r="B283" s="13">
        <v>169.4</v>
      </c>
      <c r="C283" s="13">
        <v>221.46</v>
      </c>
      <c r="D283" s="14">
        <f t="shared" si="20"/>
        <v>0.4335</v>
      </c>
      <c r="E283" s="14">
        <v>0.5665</v>
      </c>
      <c r="F283" s="14">
        <f t="shared" si="19"/>
        <v>9.1700000000000004E-2</v>
      </c>
      <c r="G283" s="14">
        <v>0.9083</v>
      </c>
    </row>
    <row r="284" spans="2:7" x14ac:dyDescent="0.25">
      <c r="B284" s="13">
        <v>169.4</v>
      </c>
      <c r="C284" s="13">
        <v>232.49</v>
      </c>
      <c r="D284" s="14">
        <f t="shared" si="20"/>
        <v>0.40720000000000001</v>
      </c>
      <c r="E284" s="14">
        <v>0.59279999999999999</v>
      </c>
      <c r="F284" s="14">
        <f t="shared" si="19"/>
        <v>0.10219999999999996</v>
      </c>
      <c r="G284" s="14">
        <v>0.89780000000000004</v>
      </c>
    </row>
    <row r="285" spans="2:7" x14ac:dyDescent="0.25">
      <c r="B285" s="13">
        <v>169.4</v>
      </c>
      <c r="C285" s="13">
        <v>240.07</v>
      </c>
      <c r="D285" s="14">
        <f t="shared" si="20"/>
        <v>0.38470000000000004</v>
      </c>
      <c r="E285" s="14">
        <v>0.61529999999999996</v>
      </c>
      <c r="F285" s="14">
        <f t="shared" si="19"/>
        <v>0.10940000000000005</v>
      </c>
      <c r="G285" s="14">
        <v>0.89059999999999995</v>
      </c>
    </row>
    <row r="286" spans="2:7" x14ac:dyDescent="0.25">
      <c r="B286" s="13">
        <v>169.4</v>
      </c>
      <c r="C286" s="13">
        <v>247.59</v>
      </c>
      <c r="D286" s="14">
        <f t="shared" si="20"/>
        <v>0.36780000000000002</v>
      </c>
      <c r="E286" s="14">
        <v>0.63219999999999998</v>
      </c>
      <c r="F286" s="14">
        <f t="shared" si="19"/>
        <v>0.12019999999999997</v>
      </c>
      <c r="G286" s="14">
        <v>0.87980000000000003</v>
      </c>
    </row>
    <row r="287" spans="2:7" x14ac:dyDescent="0.25">
      <c r="B287" s="13">
        <v>169.4</v>
      </c>
      <c r="C287" s="13">
        <v>253.73</v>
      </c>
      <c r="D287" s="14">
        <f t="shared" si="20"/>
        <v>0.3538</v>
      </c>
      <c r="E287" s="14">
        <v>0.6462</v>
      </c>
      <c r="F287" s="14">
        <f t="shared" si="19"/>
        <v>0.13360000000000005</v>
      </c>
      <c r="G287" s="14">
        <v>0.86639999999999995</v>
      </c>
    </row>
    <row r="288" spans="2:7" x14ac:dyDescent="0.25">
      <c r="B288" s="13">
        <v>169.4</v>
      </c>
      <c r="C288" s="13">
        <v>260.48</v>
      </c>
      <c r="D288" s="14">
        <f t="shared" si="20"/>
        <v>0.32289999999999996</v>
      </c>
      <c r="E288" s="14">
        <v>0.67710000000000004</v>
      </c>
      <c r="F288" s="14">
        <f t="shared" si="19"/>
        <v>0.14859999999999995</v>
      </c>
      <c r="G288" s="14">
        <v>0.85140000000000005</v>
      </c>
    </row>
    <row r="289" spans="2:7" x14ac:dyDescent="0.25">
      <c r="B289" s="13">
        <v>169.4</v>
      </c>
      <c r="C289" s="13">
        <v>265.72000000000003</v>
      </c>
      <c r="D289" s="14">
        <f>1-E289</f>
        <v>0.27500000000000002</v>
      </c>
      <c r="E289" s="14">
        <v>0.72499999999999998</v>
      </c>
      <c r="F289" s="14">
        <f t="shared" si="19"/>
        <v>0.16590000000000005</v>
      </c>
      <c r="G289" s="14">
        <v>0.83409999999999995</v>
      </c>
    </row>
    <row r="290" spans="2:7" x14ac:dyDescent="0.25">
      <c r="B290" s="13">
        <v>189.55</v>
      </c>
      <c r="C290" s="13">
        <v>5.75</v>
      </c>
      <c r="D290" s="14">
        <f t="shared" si="20"/>
        <v>0.96750000000000003</v>
      </c>
      <c r="E290" s="14">
        <v>3.2500000000000001E-2</v>
      </c>
      <c r="F290" s="14">
        <f t="shared" si="19"/>
        <v>3.949999999999998E-2</v>
      </c>
      <c r="G290" s="14">
        <v>0.96050000000000002</v>
      </c>
    </row>
    <row r="291" spans="2:7" x14ac:dyDescent="0.25">
      <c r="B291" s="13">
        <v>189.55</v>
      </c>
      <c r="C291" s="13">
        <v>9.86</v>
      </c>
      <c r="D291" s="14">
        <f t="shared" si="20"/>
        <v>0.94740000000000002</v>
      </c>
      <c r="E291" s="14">
        <v>5.2600000000000001E-2</v>
      </c>
      <c r="F291" s="14">
        <f t="shared" si="19"/>
        <v>2.9800000000000049E-2</v>
      </c>
      <c r="G291" s="14">
        <v>0.97019999999999995</v>
      </c>
    </row>
    <row r="292" spans="2:7" x14ac:dyDescent="0.25">
      <c r="B292" s="13">
        <v>189.55</v>
      </c>
      <c r="C292" s="13">
        <v>12.76</v>
      </c>
      <c r="D292" s="14">
        <f>1-E292</f>
        <v>0.93199999999999994</v>
      </c>
      <c r="E292" s="14">
        <v>6.8000000000000005E-2</v>
      </c>
      <c r="F292" s="14">
        <f t="shared" si="19"/>
        <v>2.5100000000000011E-2</v>
      </c>
      <c r="G292" s="14">
        <v>0.97489999999999999</v>
      </c>
    </row>
    <row r="293" spans="2:7" x14ac:dyDescent="0.25">
      <c r="B293" s="13">
        <v>189.55</v>
      </c>
      <c r="C293" s="13">
        <v>15.2</v>
      </c>
      <c r="D293" s="14">
        <f t="shared" ref="D293:D315" si="21">1-E293</f>
        <v>0.92110000000000003</v>
      </c>
      <c r="E293" s="14">
        <v>7.8899999999999998E-2</v>
      </c>
      <c r="F293" s="14">
        <f t="shared" si="19"/>
        <v>2.6000000000000023E-2</v>
      </c>
      <c r="G293" s="14">
        <v>0.97399999999999998</v>
      </c>
    </row>
    <row r="294" spans="2:7" x14ac:dyDescent="0.25">
      <c r="B294" s="13">
        <v>189.55</v>
      </c>
      <c r="C294" s="13">
        <v>22.71</v>
      </c>
      <c r="D294" s="14">
        <f t="shared" si="21"/>
        <v>0.88380000000000003</v>
      </c>
      <c r="E294" s="14">
        <v>0.1162</v>
      </c>
      <c r="F294" s="14">
        <f t="shared" si="19"/>
        <v>2.6399999999999979E-2</v>
      </c>
      <c r="G294" s="14">
        <v>0.97360000000000002</v>
      </c>
    </row>
    <row r="295" spans="2:7" x14ac:dyDescent="0.25">
      <c r="B295" s="13">
        <v>189.55</v>
      </c>
      <c r="C295" s="13">
        <v>27.85</v>
      </c>
      <c r="D295" s="14">
        <f t="shared" si="21"/>
        <v>0.86470000000000002</v>
      </c>
      <c r="E295" s="14">
        <v>0.1353</v>
      </c>
      <c r="F295" s="14">
        <f t="shared" si="19"/>
        <v>2.8200000000000003E-2</v>
      </c>
      <c r="G295" s="14">
        <v>0.9718</v>
      </c>
    </row>
    <row r="296" spans="2:7" x14ac:dyDescent="0.25">
      <c r="B296" s="13">
        <v>189.55</v>
      </c>
      <c r="C296" s="13">
        <v>31.38</v>
      </c>
      <c r="D296" s="14">
        <f t="shared" si="21"/>
        <v>0.84689999999999999</v>
      </c>
      <c r="E296" s="14">
        <v>0.15310000000000001</v>
      </c>
      <c r="F296" s="14">
        <f t="shared" si="19"/>
        <v>2.9399999999999982E-2</v>
      </c>
      <c r="G296" s="14">
        <v>0.97060000000000002</v>
      </c>
    </row>
    <row r="297" spans="2:7" x14ac:dyDescent="0.25">
      <c r="B297" s="13">
        <v>189.55</v>
      </c>
      <c r="C297" s="13">
        <v>34.909999999999997</v>
      </c>
      <c r="D297" s="14">
        <f t="shared" si="21"/>
        <v>0.82979999999999998</v>
      </c>
      <c r="E297" s="14">
        <v>0.17019999999999999</v>
      </c>
      <c r="F297" s="14">
        <f t="shared" si="19"/>
        <v>3.0299999999999994E-2</v>
      </c>
      <c r="G297" s="14">
        <v>0.96970000000000001</v>
      </c>
    </row>
    <row r="298" spans="2:7" x14ac:dyDescent="0.25">
      <c r="B298" s="13">
        <v>189.55</v>
      </c>
      <c r="C298" s="13">
        <v>37.94</v>
      </c>
      <c r="D298" s="14">
        <f t="shared" si="21"/>
        <v>0.81600000000000006</v>
      </c>
      <c r="E298" s="14">
        <v>0.184</v>
      </c>
      <c r="F298" s="14">
        <f t="shared" si="19"/>
        <v>3.180000000000005E-2</v>
      </c>
      <c r="G298" s="14">
        <v>0.96819999999999995</v>
      </c>
    </row>
    <row r="299" spans="2:7" x14ac:dyDescent="0.25">
      <c r="B299" s="13">
        <v>189.55</v>
      </c>
      <c r="C299" s="13">
        <v>43.32</v>
      </c>
      <c r="D299" s="14">
        <f t="shared" si="21"/>
        <v>0.79469999999999996</v>
      </c>
      <c r="E299" s="14">
        <v>0.20530000000000001</v>
      </c>
      <c r="F299" s="14">
        <f t="shared" si="19"/>
        <v>3.6000000000000032E-2</v>
      </c>
      <c r="G299" s="14">
        <v>0.96399999999999997</v>
      </c>
    </row>
    <row r="300" spans="2:7" x14ac:dyDescent="0.25">
      <c r="B300" s="13">
        <v>189.55</v>
      </c>
      <c r="C300" s="13">
        <v>50.16</v>
      </c>
      <c r="D300" s="14">
        <f t="shared" si="21"/>
        <v>0.76770000000000005</v>
      </c>
      <c r="E300" s="14">
        <v>0.23230000000000001</v>
      </c>
      <c r="F300" s="14">
        <f t="shared" si="19"/>
        <v>3.9799999999999947E-2</v>
      </c>
      <c r="G300" s="14">
        <v>0.96020000000000005</v>
      </c>
    </row>
    <row r="301" spans="2:7" x14ac:dyDescent="0.25">
      <c r="B301" s="13">
        <v>189.55</v>
      </c>
      <c r="C301" s="13">
        <v>53.7</v>
      </c>
      <c r="D301" s="14">
        <f t="shared" si="21"/>
        <v>0.75280000000000002</v>
      </c>
      <c r="E301" s="14">
        <v>0.2472</v>
      </c>
      <c r="F301" s="14">
        <f t="shared" si="19"/>
        <v>3.8900000000000046E-2</v>
      </c>
      <c r="G301" s="14">
        <v>0.96109999999999995</v>
      </c>
    </row>
    <row r="302" spans="2:7" x14ac:dyDescent="0.25">
      <c r="B302" s="13">
        <v>189.55</v>
      </c>
      <c r="C302" s="13">
        <v>55.91</v>
      </c>
      <c r="D302" s="14">
        <f t="shared" si="21"/>
        <v>0.74680000000000002</v>
      </c>
      <c r="E302" s="14">
        <v>0.25319999999999998</v>
      </c>
      <c r="F302" s="14">
        <f t="shared" si="19"/>
        <v>4.049999999999998E-2</v>
      </c>
      <c r="G302" s="14">
        <v>0.95950000000000002</v>
      </c>
    </row>
    <row r="303" spans="2:7" x14ac:dyDescent="0.25">
      <c r="B303" s="13">
        <v>189.55</v>
      </c>
      <c r="C303" s="13">
        <v>63.6</v>
      </c>
      <c r="D303" s="14">
        <f t="shared" si="21"/>
        <v>0.71599999999999997</v>
      </c>
      <c r="E303" s="14">
        <v>0.28399999999999997</v>
      </c>
      <c r="F303" s="14">
        <f t="shared" si="19"/>
        <v>4.500000000000004E-2</v>
      </c>
      <c r="G303" s="14">
        <v>0.95499999999999996</v>
      </c>
    </row>
    <row r="304" spans="2:7" x14ac:dyDescent="0.25">
      <c r="B304" s="13">
        <v>189.55</v>
      </c>
      <c r="C304" s="13">
        <v>63.91</v>
      </c>
      <c r="D304" s="14">
        <f t="shared" si="21"/>
        <v>0.71360000000000001</v>
      </c>
      <c r="E304" s="14">
        <v>0.28639999999999999</v>
      </c>
      <c r="F304" s="14">
        <f t="shared" si="19"/>
        <v>4.500000000000004E-2</v>
      </c>
      <c r="G304" s="14">
        <v>0.95499999999999996</v>
      </c>
    </row>
    <row r="305" spans="2:7" x14ac:dyDescent="0.25">
      <c r="B305" s="13">
        <v>189.55</v>
      </c>
      <c r="C305" s="13">
        <v>66.510000000000005</v>
      </c>
      <c r="D305" s="14">
        <f t="shared" si="21"/>
        <v>0.7046</v>
      </c>
      <c r="E305" s="14">
        <v>0.2954</v>
      </c>
      <c r="F305" s="14">
        <f t="shared" si="19"/>
        <v>4.6599999999999975E-2</v>
      </c>
      <c r="G305" s="14">
        <v>0.95340000000000003</v>
      </c>
    </row>
    <row r="306" spans="2:7" x14ac:dyDescent="0.25">
      <c r="B306" s="13">
        <v>189.55</v>
      </c>
      <c r="C306" s="13">
        <v>77.459999999999994</v>
      </c>
      <c r="D306" s="14">
        <f t="shared" si="21"/>
        <v>0.66660000000000008</v>
      </c>
      <c r="E306" s="14">
        <v>0.33339999999999997</v>
      </c>
      <c r="F306" s="14">
        <f t="shared" ref="F306:F369" si="22">1-G306</f>
        <v>5.2499999999999991E-2</v>
      </c>
      <c r="G306" s="14">
        <v>0.94750000000000001</v>
      </c>
    </row>
    <row r="307" spans="2:7" x14ac:dyDescent="0.25">
      <c r="B307" s="13">
        <v>189.55</v>
      </c>
      <c r="C307" s="13">
        <v>90.37</v>
      </c>
      <c r="D307" s="14">
        <f t="shared" si="21"/>
        <v>0.62050000000000005</v>
      </c>
      <c r="E307" s="14">
        <v>0.3795</v>
      </c>
      <c r="F307" s="14">
        <f t="shared" si="22"/>
        <v>6.1200000000000032E-2</v>
      </c>
      <c r="G307" s="14">
        <v>0.93879999999999997</v>
      </c>
    </row>
    <row r="308" spans="2:7" x14ac:dyDescent="0.25">
      <c r="B308" s="13">
        <v>189.55</v>
      </c>
      <c r="C308" s="13">
        <v>100.64</v>
      </c>
      <c r="D308" s="14">
        <f t="shared" si="21"/>
        <v>0.58560000000000001</v>
      </c>
      <c r="E308" s="14">
        <v>0.41439999999999999</v>
      </c>
      <c r="F308" s="14">
        <f t="shared" si="22"/>
        <v>6.910000000000005E-2</v>
      </c>
      <c r="G308" s="14">
        <v>0.93089999999999995</v>
      </c>
    </row>
    <row r="309" spans="2:7" x14ac:dyDescent="0.25">
      <c r="B309" s="13">
        <v>189.55</v>
      </c>
      <c r="C309" s="13">
        <v>110.51</v>
      </c>
      <c r="D309" s="14">
        <f t="shared" si="21"/>
        <v>0.55330000000000001</v>
      </c>
      <c r="E309" s="14">
        <v>0.44669999999999999</v>
      </c>
      <c r="F309" s="14">
        <f t="shared" si="22"/>
        <v>7.7699999999999991E-2</v>
      </c>
      <c r="G309" s="14">
        <v>0.92230000000000001</v>
      </c>
    </row>
    <row r="310" spans="2:7" x14ac:dyDescent="0.25">
      <c r="B310" s="13">
        <v>189.55</v>
      </c>
      <c r="C310" s="13">
        <v>112.04</v>
      </c>
      <c r="D310" s="14">
        <f t="shared" si="21"/>
        <v>0.54810000000000003</v>
      </c>
      <c r="E310" s="14">
        <v>0.45190000000000002</v>
      </c>
      <c r="F310" s="14">
        <f t="shared" si="22"/>
        <v>8.0600000000000005E-2</v>
      </c>
      <c r="G310" s="14">
        <v>0.9194</v>
      </c>
    </row>
    <row r="311" spans="2:7" x14ac:dyDescent="0.25">
      <c r="B311" s="13">
        <v>189.55</v>
      </c>
      <c r="C311" s="13">
        <v>121.75</v>
      </c>
      <c r="D311" s="14">
        <f t="shared" si="21"/>
        <v>0.51360000000000006</v>
      </c>
      <c r="E311" s="14">
        <v>0.4864</v>
      </c>
      <c r="F311" s="14">
        <f t="shared" si="22"/>
        <v>9.1799999999999993E-2</v>
      </c>
      <c r="G311" s="14">
        <v>0.90820000000000001</v>
      </c>
    </row>
    <row r="312" spans="2:7" x14ac:dyDescent="0.25">
      <c r="B312" s="13">
        <v>189.55</v>
      </c>
      <c r="C312" s="13">
        <v>131.4</v>
      </c>
      <c r="D312" s="14">
        <f t="shared" si="21"/>
        <v>0.48180000000000001</v>
      </c>
      <c r="E312" s="14">
        <v>0.51819999999999999</v>
      </c>
      <c r="F312" s="14">
        <f t="shared" si="22"/>
        <v>0.10540000000000005</v>
      </c>
      <c r="G312" s="14">
        <v>0.89459999999999995</v>
      </c>
    </row>
    <row r="313" spans="2:7" x14ac:dyDescent="0.25">
      <c r="B313" s="13">
        <v>189.55</v>
      </c>
      <c r="C313" s="13">
        <v>132.52000000000001</v>
      </c>
      <c r="D313" s="14">
        <f t="shared" si="21"/>
        <v>0.47240000000000004</v>
      </c>
      <c r="E313" s="14">
        <v>0.52759999999999996</v>
      </c>
      <c r="F313" s="14">
        <f t="shared" si="22"/>
        <v>0.10519999999999996</v>
      </c>
      <c r="G313" s="14">
        <v>0.89480000000000004</v>
      </c>
    </row>
    <row r="314" spans="2:7" x14ac:dyDescent="0.25">
      <c r="B314" s="13">
        <v>189.55</v>
      </c>
      <c r="C314" s="13">
        <v>138.04</v>
      </c>
      <c r="D314" s="14">
        <f t="shared" si="21"/>
        <v>0.44810000000000005</v>
      </c>
      <c r="E314" s="14">
        <v>0.55189999999999995</v>
      </c>
      <c r="F314" s="14">
        <f t="shared" si="22"/>
        <v>0.11719999999999997</v>
      </c>
      <c r="G314" s="14">
        <v>0.88280000000000003</v>
      </c>
    </row>
    <row r="315" spans="2:7" x14ac:dyDescent="0.25">
      <c r="B315" s="13">
        <v>189.55</v>
      </c>
      <c r="C315" s="13">
        <v>148.37</v>
      </c>
      <c r="D315" s="14">
        <f t="shared" si="21"/>
        <v>0.40920000000000001</v>
      </c>
      <c r="E315" s="14">
        <v>0.59079999999999999</v>
      </c>
      <c r="F315" s="14">
        <f t="shared" si="22"/>
        <v>0.13690000000000002</v>
      </c>
      <c r="G315" s="14">
        <v>0.86309999999999998</v>
      </c>
    </row>
    <row r="316" spans="2:7" x14ac:dyDescent="0.25">
      <c r="B316" s="13">
        <v>189.55</v>
      </c>
      <c r="C316" s="13">
        <v>155.88</v>
      </c>
      <c r="D316" s="14">
        <f>1-E316</f>
        <v>0.36770000000000003</v>
      </c>
      <c r="E316" s="14">
        <v>0.63229999999999997</v>
      </c>
      <c r="F316" s="14">
        <f t="shared" si="22"/>
        <v>0.16400000000000003</v>
      </c>
      <c r="G316" s="14">
        <v>0.83599999999999997</v>
      </c>
    </row>
    <row r="317" spans="2:7" x14ac:dyDescent="0.25">
      <c r="B317" s="13">
        <v>189.55</v>
      </c>
      <c r="C317" s="13">
        <v>161.61000000000001</v>
      </c>
      <c r="D317" s="14">
        <f t="shared" ref="D317:D337" si="23">1-E317</f>
        <v>0.32220000000000004</v>
      </c>
      <c r="E317" s="14">
        <v>0.67779999999999996</v>
      </c>
      <c r="F317" s="14">
        <f t="shared" si="22"/>
        <v>0.1845</v>
      </c>
      <c r="G317" s="14">
        <v>0.8155</v>
      </c>
    </row>
    <row r="318" spans="2:7" x14ac:dyDescent="0.25">
      <c r="B318" s="13">
        <v>212.15</v>
      </c>
      <c r="C318" s="13">
        <v>3.94</v>
      </c>
      <c r="D318" s="14">
        <f t="shared" si="23"/>
        <v>0.97370000000000001</v>
      </c>
      <c r="E318" s="14">
        <v>2.63E-2</v>
      </c>
      <c r="F318" s="14">
        <f t="shared" si="22"/>
        <v>0.12480000000000002</v>
      </c>
      <c r="G318" s="14">
        <v>0.87519999999999998</v>
      </c>
    </row>
    <row r="319" spans="2:7" x14ac:dyDescent="0.25">
      <c r="B319" s="13">
        <v>212.15</v>
      </c>
      <c r="C319" s="13">
        <v>8.77</v>
      </c>
      <c r="D319" s="14">
        <f t="shared" si="23"/>
        <v>0.94350000000000001</v>
      </c>
      <c r="E319" s="14">
        <v>5.6500000000000002E-2</v>
      </c>
      <c r="F319" s="14">
        <f t="shared" si="22"/>
        <v>7.0999999999999952E-2</v>
      </c>
      <c r="G319" s="14">
        <v>0.92900000000000005</v>
      </c>
    </row>
    <row r="320" spans="2:7" x14ac:dyDescent="0.25">
      <c r="B320" s="13">
        <v>212.15</v>
      </c>
      <c r="C320" s="13">
        <v>19.13</v>
      </c>
      <c r="D320" s="14">
        <f t="shared" si="23"/>
        <v>0.87760000000000005</v>
      </c>
      <c r="E320" s="14">
        <v>0.12239999999999999</v>
      </c>
      <c r="F320" s="14">
        <f t="shared" si="22"/>
        <v>5.6799999999999962E-2</v>
      </c>
      <c r="G320" s="14">
        <v>0.94320000000000004</v>
      </c>
    </row>
    <row r="321" spans="2:7" x14ac:dyDescent="0.25">
      <c r="B321" s="13">
        <v>212.15</v>
      </c>
      <c r="C321" s="13">
        <v>36.020000000000003</v>
      </c>
      <c r="D321" s="14">
        <f t="shared" si="23"/>
        <v>0.77649999999999997</v>
      </c>
      <c r="E321" s="14">
        <v>0.2235</v>
      </c>
      <c r="F321" s="14">
        <f t="shared" si="22"/>
        <v>6.3200000000000034E-2</v>
      </c>
      <c r="G321" s="14">
        <v>0.93679999999999997</v>
      </c>
    </row>
    <row r="322" spans="2:7" x14ac:dyDescent="0.25">
      <c r="B322" s="13">
        <v>212.15</v>
      </c>
      <c r="C322" s="13">
        <v>51.47</v>
      </c>
      <c r="D322" s="14">
        <f t="shared" si="23"/>
        <v>0.68979999999999997</v>
      </c>
      <c r="E322" s="14">
        <v>0.31019999999999998</v>
      </c>
      <c r="F322" s="14">
        <f t="shared" si="22"/>
        <v>7.7699999999999991E-2</v>
      </c>
      <c r="G322" s="14">
        <v>0.92230000000000001</v>
      </c>
    </row>
    <row r="323" spans="2:7" x14ac:dyDescent="0.25">
      <c r="B323" s="13">
        <v>212.15</v>
      </c>
      <c r="C323" s="13">
        <v>60.2</v>
      </c>
      <c r="D323" s="14">
        <f t="shared" si="23"/>
        <v>0.63969999999999994</v>
      </c>
      <c r="E323" s="14">
        <v>0.36030000000000001</v>
      </c>
      <c r="F323" s="14">
        <f t="shared" si="22"/>
        <v>8.8300000000000045E-2</v>
      </c>
      <c r="G323" s="14">
        <v>0.91169999999999995</v>
      </c>
    </row>
    <row r="324" spans="2:7" x14ac:dyDescent="0.25">
      <c r="B324" s="13">
        <v>212.15</v>
      </c>
      <c r="C324" s="13">
        <v>65.010000000000005</v>
      </c>
      <c r="D324" s="14">
        <f t="shared" si="23"/>
        <v>0.6169</v>
      </c>
      <c r="E324" s="14">
        <v>0.3831</v>
      </c>
      <c r="F324" s="14">
        <f t="shared" si="22"/>
        <v>9.6400000000000041E-2</v>
      </c>
      <c r="G324" s="14">
        <v>0.90359999999999996</v>
      </c>
    </row>
    <row r="325" spans="2:7" x14ac:dyDescent="0.25">
      <c r="B325" s="13">
        <v>212.15</v>
      </c>
      <c r="C325" s="13">
        <v>71.5</v>
      </c>
      <c r="D325" s="14">
        <f t="shared" si="23"/>
        <v>0.57650000000000001</v>
      </c>
      <c r="E325" s="14">
        <v>0.42349999999999999</v>
      </c>
      <c r="F325" s="14">
        <f t="shared" si="22"/>
        <v>0.10619999999999996</v>
      </c>
      <c r="G325" s="14">
        <v>0.89380000000000004</v>
      </c>
    </row>
    <row r="326" spans="2:7" x14ac:dyDescent="0.25">
      <c r="B326" s="13">
        <v>212.15</v>
      </c>
      <c r="C326" s="13">
        <v>79.91</v>
      </c>
      <c r="D326" s="14">
        <f t="shared" si="23"/>
        <v>0.52469999999999994</v>
      </c>
      <c r="E326" s="14">
        <v>0.4753</v>
      </c>
      <c r="F326" s="14">
        <f t="shared" si="22"/>
        <v>0.12490000000000001</v>
      </c>
      <c r="G326" s="14">
        <v>0.87509999999999999</v>
      </c>
    </row>
    <row r="327" spans="2:7" x14ac:dyDescent="0.25">
      <c r="B327" s="13">
        <v>212.15</v>
      </c>
      <c r="C327" s="13">
        <v>87.42</v>
      </c>
      <c r="D327" s="14">
        <f t="shared" si="23"/>
        <v>0.47729999999999995</v>
      </c>
      <c r="E327" s="14">
        <v>0.52270000000000005</v>
      </c>
      <c r="F327" s="14">
        <f t="shared" si="22"/>
        <v>0.14710000000000001</v>
      </c>
      <c r="G327" s="14">
        <v>0.85289999999999999</v>
      </c>
    </row>
    <row r="328" spans="2:7" x14ac:dyDescent="0.25">
      <c r="B328" s="13">
        <v>212.15</v>
      </c>
      <c r="C328" s="13">
        <v>96.33</v>
      </c>
      <c r="D328" s="14">
        <f t="shared" si="23"/>
        <v>0.39939999999999998</v>
      </c>
      <c r="E328" s="14">
        <v>0.60060000000000002</v>
      </c>
      <c r="F328" s="14">
        <f t="shared" si="22"/>
        <v>0.20109999999999995</v>
      </c>
      <c r="G328" s="14">
        <v>0.79890000000000005</v>
      </c>
    </row>
    <row r="329" spans="2:7" x14ac:dyDescent="0.25">
      <c r="B329" s="13">
        <v>228.15</v>
      </c>
      <c r="C329" s="13">
        <v>3.18</v>
      </c>
      <c r="D329" s="14">
        <f t="shared" si="23"/>
        <v>0.97809999999999997</v>
      </c>
      <c r="E329" s="14">
        <v>2.1899999999999999E-2</v>
      </c>
      <c r="F329" s="14">
        <f t="shared" si="22"/>
        <v>0.2611</v>
      </c>
      <c r="G329" s="14">
        <v>0.7389</v>
      </c>
    </row>
    <row r="330" spans="2:7" x14ac:dyDescent="0.25">
      <c r="B330" s="13">
        <v>228.15</v>
      </c>
      <c r="C330" s="13">
        <v>7.06</v>
      </c>
      <c r="D330" s="14">
        <f t="shared" si="23"/>
        <v>0.94650000000000001</v>
      </c>
      <c r="E330" s="14">
        <v>5.3499999999999999E-2</v>
      </c>
      <c r="F330" s="14">
        <f t="shared" si="22"/>
        <v>0.13790000000000002</v>
      </c>
      <c r="G330" s="14">
        <v>0.86209999999999998</v>
      </c>
    </row>
    <row r="331" spans="2:7" x14ac:dyDescent="0.25">
      <c r="B331" s="13">
        <v>228.15</v>
      </c>
      <c r="C331" s="13">
        <v>14.79</v>
      </c>
      <c r="D331" s="14">
        <f t="shared" si="23"/>
        <v>0.88800000000000001</v>
      </c>
      <c r="E331" s="14">
        <v>0.112</v>
      </c>
      <c r="F331" s="14">
        <f t="shared" si="22"/>
        <v>0.10360000000000003</v>
      </c>
      <c r="G331" s="14">
        <v>0.89639999999999997</v>
      </c>
    </row>
    <row r="332" spans="2:7" x14ac:dyDescent="0.25">
      <c r="B332" s="13">
        <v>228.15</v>
      </c>
      <c r="C332" s="13">
        <v>21.45</v>
      </c>
      <c r="D332" s="14">
        <f t="shared" si="23"/>
        <v>0.83789999999999998</v>
      </c>
      <c r="E332" s="14">
        <v>0.16209999999999999</v>
      </c>
      <c r="F332" s="14">
        <f t="shared" si="22"/>
        <v>9.4500000000000028E-2</v>
      </c>
      <c r="G332" s="14">
        <v>0.90549999999999997</v>
      </c>
    </row>
    <row r="333" spans="2:7" x14ac:dyDescent="0.25">
      <c r="B333" s="13">
        <v>228.15</v>
      </c>
      <c r="C333" s="13">
        <v>33.200000000000003</v>
      </c>
      <c r="D333" s="14">
        <f t="shared" si="23"/>
        <v>0.75329999999999997</v>
      </c>
      <c r="E333" s="14">
        <v>0.2467</v>
      </c>
      <c r="F333" s="14">
        <f t="shared" si="22"/>
        <v>0.10299999999999998</v>
      </c>
      <c r="G333" s="14">
        <v>0.89700000000000002</v>
      </c>
    </row>
    <row r="334" spans="2:7" x14ac:dyDescent="0.25">
      <c r="B334" s="13">
        <v>228.15</v>
      </c>
      <c r="C334" s="13">
        <v>42.33</v>
      </c>
      <c r="D334" s="14">
        <f t="shared" si="23"/>
        <v>0.68589999999999995</v>
      </c>
      <c r="E334" s="14">
        <v>0.31409999999999999</v>
      </c>
      <c r="F334" s="14">
        <f t="shared" si="22"/>
        <v>0.11619999999999997</v>
      </c>
      <c r="G334" s="14">
        <v>0.88380000000000003</v>
      </c>
    </row>
    <row r="335" spans="2:7" x14ac:dyDescent="0.25">
      <c r="B335" s="13">
        <v>228.15</v>
      </c>
      <c r="C335" s="13">
        <v>50.7</v>
      </c>
      <c r="D335" s="14">
        <f t="shared" si="23"/>
        <v>0.62460000000000004</v>
      </c>
      <c r="E335" s="14">
        <v>0.37540000000000001</v>
      </c>
      <c r="F335" s="14">
        <f t="shared" si="22"/>
        <v>0.13329999999999997</v>
      </c>
      <c r="G335" s="14">
        <v>0.86670000000000003</v>
      </c>
    </row>
    <row r="336" spans="2:7" x14ac:dyDescent="0.25">
      <c r="B336" s="13">
        <v>228.15</v>
      </c>
      <c r="C336" s="13">
        <v>57.08</v>
      </c>
      <c r="D336" s="14">
        <f t="shared" si="23"/>
        <v>0.57279999999999998</v>
      </c>
      <c r="E336" s="14">
        <v>0.42720000000000002</v>
      </c>
      <c r="F336" s="14">
        <f t="shared" si="22"/>
        <v>0.14539999999999997</v>
      </c>
      <c r="G336" s="14">
        <v>0.85460000000000003</v>
      </c>
    </row>
    <row r="337" spans="2:7" x14ac:dyDescent="0.25">
      <c r="B337" s="13">
        <v>228.15</v>
      </c>
      <c r="C337" s="13">
        <v>63.81</v>
      </c>
      <c r="D337" s="14">
        <f t="shared" si="23"/>
        <v>0.50780000000000003</v>
      </c>
      <c r="E337" s="14">
        <v>0.49220000000000003</v>
      </c>
      <c r="F337" s="14">
        <f t="shared" si="22"/>
        <v>0.17669999999999997</v>
      </c>
      <c r="G337" s="14">
        <v>0.82330000000000003</v>
      </c>
    </row>
    <row r="338" spans="2:7" x14ac:dyDescent="0.25">
      <c r="B338" s="13">
        <v>228.15</v>
      </c>
      <c r="C338" s="13">
        <v>67.569999999999993</v>
      </c>
      <c r="D338" s="14">
        <f>1-E338</f>
        <v>0.46419999999999995</v>
      </c>
      <c r="E338" s="14">
        <v>0.53580000000000005</v>
      </c>
      <c r="F338" s="14">
        <f t="shared" si="22"/>
        <v>0.19950000000000001</v>
      </c>
      <c r="G338" s="14">
        <v>0.80049999999999999</v>
      </c>
    </row>
    <row r="339" spans="2:7" x14ac:dyDescent="0.25">
      <c r="B339" s="13">
        <v>240.15</v>
      </c>
      <c r="C339" s="13">
        <v>4.79</v>
      </c>
      <c r="D339" s="14">
        <f t="shared" ref="D339:D360" si="24">1-E339</f>
        <v>0.96589999999999998</v>
      </c>
      <c r="E339" s="14">
        <v>3.4099999999999998E-2</v>
      </c>
      <c r="F339" s="14">
        <f t="shared" si="22"/>
        <v>0.2752</v>
      </c>
      <c r="G339" s="14">
        <v>0.7248</v>
      </c>
    </row>
    <row r="340" spans="2:7" x14ac:dyDescent="0.25">
      <c r="B340" s="13">
        <v>240.15</v>
      </c>
      <c r="C340" s="13">
        <v>4.92</v>
      </c>
      <c r="D340" s="14">
        <f t="shared" si="24"/>
        <v>0.96560000000000001</v>
      </c>
      <c r="E340" s="14">
        <v>3.44E-2</v>
      </c>
      <c r="F340" s="14">
        <f t="shared" si="22"/>
        <v>0.25549999999999995</v>
      </c>
      <c r="G340" s="14">
        <v>0.74450000000000005</v>
      </c>
    </row>
    <row r="341" spans="2:7" x14ac:dyDescent="0.25">
      <c r="B341" s="13">
        <v>240.15</v>
      </c>
      <c r="C341" s="13">
        <v>7.89</v>
      </c>
      <c r="D341" s="14">
        <f t="shared" si="24"/>
        <v>0.93679999999999997</v>
      </c>
      <c r="E341" s="14">
        <v>6.3200000000000006E-2</v>
      </c>
      <c r="F341" s="14">
        <f t="shared" si="22"/>
        <v>0.20020000000000004</v>
      </c>
      <c r="G341" s="14">
        <v>0.79979999999999996</v>
      </c>
    </row>
    <row r="342" spans="2:7" x14ac:dyDescent="0.25">
      <c r="B342" s="13">
        <v>240.15</v>
      </c>
      <c r="C342" s="13">
        <v>14.4</v>
      </c>
      <c r="D342" s="14">
        <f t="shared" si="24"/>
        <v>0.88080000000000003</v>
      </c>
      <c r="E342" s="14">
        <v>0.1192</v>
      </c>
      <c r="F342" s="14">
        <f t="shared" si="22"/>
        <v>0.15280000000000005</v>
      </c>
      <c r="G342" s="14">
        <v>0.84719999999999995</v>
      </c>
    </row>
    <row r="343" spans="2:7" x14ac:dyDescent="0.25">
      <c r="B343" s="13">
        <v>240.15</v>
      </c>
      <c r="C343" s="13">
        <v>23.17</v>
      </c>
      <c r="D343" s="14">
        <f t="shared" si="24"/>
        <v>0.80310000000000004</v>
      </c>
      <c r="E343" s="14">
        <v>0.19689999999999999</v>
      </c>
      <c r="F343" s="14">
        <f t="shared" si="22"/>
        <v>0.13490000000000002</v>
      </c>
      <c r="G343" s="14">
        <v>0.86509999999999998</v>
      </c>
    </row>
    <row r="344" spans="2:7" x14ac:dyDescent="0.25">
      <c r="B344" s="13">
        <v>240.15</v>
      </c>
      <c r="C344" s="13">
        <v>30.98</v>
      </c>
      <c r="D344" s="14">
        <f t="shared" si="24"/>
        <v>0.73449999999999993</v>
      </c>
      <c r="E344" s="14">
        <v>0.26550000000000001</v>
      </c>
      <c r="F344" s="14">
        <f t="shared" si="22"/>
        <v>0.14319999999999999</v>
      </c>
      <c r="G344" s="14">
        <v>0.85680000000000001</v>
      </c>
    </row>
    <row r="345" spans="2:7" x14ac:dyDescent="0.25">
      <c r="B345" s="13">
        <v>240.15</v>
      </c>
      <c r="C345" s="13">
        <v>34.74</v>
      </c>
      <c r="D345" s="14">
        <f t="shared" si="24"/>
        <v>0.70330000000000004</v>
      </c>
      <c r="E345" s="14">
        <v>0.29670000000000002</v>
      </c>
      <c r="F345" s="14">
        <f t="shared" si="22"/>
        <v>0.15110000000000001</v>
      </c>
      <c r="G345" s="14">
        <v>0.84889999999999999</v>
      </c>
    </row>
    <row r="346" spans="2:7" x14ac:dyDescent="0.25">
      <c r="B346" s="13">
        <v>240.15</v>
      </c>
      <c r="C346" s="13">
        <v>39.47</v>
      </c>
      <c r="D346" s="14">
        <f t="shared" si="24"/>
        <v>0.65789999999999993</v>
      </c>
      <c r="E346" s="14">
        <v>0.34210000000000002</v>
      </c>
      <c r="F346" s="14">
        <f t="shared" si="22"/>
        <v>0.15869999999999995</v>
      </c>
      <c r="G346" s="14">
        <v>0.84130000000000005</v>
      </c>
    </row>
    <row r="347" spans="2:7" x14ac:dyDescent="0.25">
      <c r="B347" s="13">
        <v>240.15</v>
      </c>
      <c r="C347" s="13">
        <v>46.57</v>
      </c>
      <c r="D347" s="14">
        <f t="shared" si="24"/>
        <v>0.58650000000000002</v>
      </c>
      <c r="E347" s="14">
        <v>0.41349999999999998</v>
      </c>
      <c r="F347" s="14">
        <f t="shared" si="22"/>
        <v>0.18420000000000003</v>
      </c>
      <c r="G347" s="14">
        <v>0.81579999999999997</v>
      </c>
    </row>
    <row r="348" spans="2:7" x14ac:dyDescent="0.25">
      <c r="B348" s="13">
        <v>240.15</v>
      </c>
      <c r="C348" s="13">
        <v>51.55</v>
      </c>
      <c r="D348" s="14">
        <f t="shared" si="24"/>
        <v>0.52400000000000002</v>
      </c>
      <c r="E348" s="14">
        <v>0.47599999999999998</v>
      </c>
      <c r="F348" s="14">
        <f t="shared" si="22"/>
        <v>0.21930000000000005</v>
      </c>
      <c r="G348" s="14">
        <v>0.78069999999999995</v>
      </c>
    </row>
    <row r="349" spans="2:7" x14ac:dyDescent="0.25">
      <c r="B349" s="13">
        <v>240.15</v>
      </c>
      <c r="C349" s="13">
        <v>53.18</v>
      </c>
      <c r="D349" s="14">
        <f t="shared" si="24"/>
        <v>0.48509999999999998</v>
      </c>
      <c r="E349" s="14">
        <v>0.51490000000000002</v>
      </c>
      <c r="F349" s="14">
        <f t="shared" si="22"/>
        <v>0.24860000000000004</v>
      </c>
      <c r="G349" s="14">
        <v>0.75139999999999996</v>
      </c>
    </row>
    <row r="350" spans="2:7" x14ac:dyDescent="0.25">
      <c r="B350" s="13">
        <v>255.37</v>
      </c>
      <c r="C350" s="13">
        <v>3.8</v>
      </c>
      <c r="D350" s="14">
        <f t="shared" si="24"/>
        <v>0.97419999999999995</v>
      </c>
      <c r="E350" s="14">
        <v>2.58E-2</v>
      </c>
      <c r="F350" s="14">
        <f t="shared" si="22"/>
        <v>0.49580000000000002</v>
      </c>
      <c r="G350" s="14">
        <v>0.50419999999999998</v>
      </c>
    </row>
    <row r="351" spans="2:7" x14ac:dyDescent="0.25">
      <c r="B351" s="13">
        <v>255.37</v>
      </c>
      <c r="C351" s="13">
        <v>4.93</v>
      </c>
      <c r="D351" s="14">
        <f t="shared" si="24"/>
        <v>0.96530000000000005</v>
      </c>
      <c r="E351" s="14">
        <v>3.4700000000000002E-2</v>
      </c>
      <c r="F351" s="14">
        <f t="shared" si="22"/>
        <v>0.41669999999999996</v>
      </c>
      <c r="G351" s="14">
        <v>0.58330000000000004</v>
      </c>
    </row>
    <row r="352" spans="2:7" x14ac:dyDescent="0.25">
      <c r="B352" s="13">
        <v>255.37</v>
      </c>
      <c r="C352" s="13">
        <v>7.14</v>
      </c>
      <c r="D352" s="14">
        <f t="shared" si="24"/>
        <v>0.93900000000000006</v>
      </c>
      <c r="E352" s="14">
        <v>6.0999999999999999E-2</v>
      </c>
      <c r="F352" s="14">
        <f t="shared" si="22"/>
        <v>0.32630000000000003</v>
      </c>
      <c r="G352" s="14">
        <v>0.67369999999999997</v>
      </c>
    </row>
    <row r="353" spans="2:7" x14ac:dyDescent="0.25">
      <c r="B353" s="13">
        <v>255.37</v>
      </c>
      <c r="C353" s="13">
        <v>8.2200000000000006</v>
      </c>
      <c r="D353" s="14">
        <f t="shared" si="24"/>
        <v>0.9304</v>
      </c>
      <c r="E353" s="14">
        <v>6.9599999999999995E-2</v>
      </c>
      <c r="F353" s="14">
        <f t="shared" si="22"/>
        <v>0.30020000000000002</v>
      </c>
      <c r="G353" s="14">
        <v>0.69979999999999998</v>
      </c>
    </row>
    <row r="354" spans="2:7" x14ac:dyDescent="0.25">
      <c r="B354" s="13">
        <v>255.37</v>
      </c>
      <c r="C354" s="13">
        <v>11.56</v>
      </c>
      <c r="D354" s="14">
        <f t="shared" si="24"/>
        <v>0.89400000000000002</v>
      </c>
      <c r="E354" s="14">
        <v>0.106</v>
      </c>
      <c r="F354" s="14">
        <f t="shared" si="22"/>
        <v>0.25270000000000004</v>
      </c>
      <c r="G354" s="14">
        <v>0.74729999999999996</v>
      </c>
    </row>
    <row r="355" spans="2:7" x14ac:dyDescent="0.25">
      <c r="B355" s="13">
        <v>255.37</v>
      </c>
      <c r="C355" s="13">
        <v>16.05</v>
      </c>
      <c r="D355" s="14">
        <f t="shared" si="24"/>
        <v>0.84489999999999998</v>
      </c>
      <c r="E355" s="14">
        <v>0.15509999999999999</v>
      </c>
      <c r="F355" s="14">
        <f t="shared" si="22"/>
        <v>0.2248</v>
      </c>
      <c r="G355" s="14">
        <v>0.7752</v>
      </c>
    </row>
    <row r="356" spans="2:7" x14ac:dyDescent="0.25">
      <c r="B356" s="13">
        <v>255.37</v>
      </c>
      <c r="C356" s="13">
        <v>20.49</v>
      </c>
      <c r="D356" s="14">
        <f t="shared" si="24"/>
        <v>0.79730000000000001</v>
      </c>
      <c r="E356" s="14">
        <v>0.20269999999999999</v>
      </c>
      <c r="F356" s="14">
        <f t="shared" si="22"/>
        <v>0.22060000000000002</v>
      </c>
      <c r="G356" s="14">
        <v>0.77939999999999998</v>
      </c>
    </row>
    <row r="357" spans="2:7" x14ac:dyDescent="0.25">
      <c r="B357" s="13">
        <v>255.37</v>
      </c>
      <c r="C357" s="13">
        <v>28.37</v>
      </c>
      <c r="D357" s="14">
        <f t="shared" si="24"/>
        <v>0.70829999999999993</v>
      </c>
      <c r="E357" s="14">
        <v>0.29170000000000001</v>
      </c>
      <c r="F357" s="14">
        <f t="shared" si="22"/>
        <v>0.22589999999999999</v>
      </c>
      <c r="G357" s="14">
        <v>0.77410000000000001</v>
      </c>
    </row>
    <row r="358" spans="2:7" x14ac:dyDescent="0.25">
      <c r="B358" s="13">
        <v>255.37</v>
      </c>
      <c r="C358" s="13">
        <v>33.97</v>
      </c>
      <c r="D358" s="14">
        <f t="shared" si="24"/>
        <v>0.63290000000000002</v>
      </c>
      <c r="E358" s="14">
        <v>0.36709999999999998</v>
      </c>
      <c r="F358" s="14">
        <f t="shared" si="22"/>
        <v>0.25800000000000001</v>
      </c>
      <c r="G358" s="14">
        <v>0.74199999999999999</v>
      </c>
    </row>
    <row r="359" spans="2:7" x14ac:dyDescent="0.25">
      <c r="B359" s="13">
        <v>255.37</v>
      </c>
      <c r="C359" s="13">
        <v>39.590000000000003</v>
      </c>
      <c r="D359" s="14">
        <f t="shared" si="24"/>
        <v>0.52689999999999992</v>
      </c>
      <c r="E359" s="14">
        <v>0.47310000000000002</v>
      </c>
      <c r="F359" s="14">
        <f t="shared" si="22"/>
        <v>0.3145</v>
      </c>
      <c r="G359" s="14">
        <v>0.6855</v>
      </c>
    </row>
    <row r="360" spans="2:7" x14ac:dyDescent="0.25">
      <c r="B360" s="13">
        <v>268.14999999999998</v>
      </c>
      <c r="C360" s="13">
        <v>3.9</v>
      </c>
      <c r="D360" s="14">
        <f t="shared" si="24"/>
        <v>0.97660000000000002</v>
      </c>
      <c r="E360" s="14">
        <v>2.3400000000000001E-2</v>
      </c>
      <c r="F360" s="14">
        <f t="shared" si="22"/>
        <v>0.65569999999999995</v>
      </c>
      <c r="G360" s="14">
        <v>0.34429999999999999</v>
      </c>
    </row>
    <row r="361" spans="2:7" x14ac:dyDescent="0.25">
      <c r="B361" s="13">
        <v>268.14999999999998</v>
      </c>
      <c r="C361" s="13">
        <v>5.44</v>
      </c>
      <c r="D361" s="14">
        <f>1-E361</f>
        <v>0.96060000000000001</v>
      </c>
      <c r="E361" s="14">
        <v>3.9399999999999998E-2</v>
      </c>
      <c r="F361" s="14">
        <f t="shared" si="22"/>
        <v>0.53160000000000007</v>
      </c>
      <c r="G361" s="14">
        <v>0.46839999999999998</v>
      </c>
    </row>
    <row r="362" spans="2:7" x14ac:dyDescent="0.25">
      <c r="B362" s="13">
        <v>268.14999999999998</v>
      </c>
      <c r="C362" s="13">
        <v>7.86</v>
      </c>
      <c r="D362" s="14">
        <f t="shared" ref="D362:D374" si="25">1-E362</f>
        <v>0.92890000000000006</v>
      </c>
      <c r="E362" s="14">
        <v>7.1099999999999997E-2</v>
      </c>
      <c r="F362" s="14">
        <f t="shared" si="22"/>
        <v>0.42310000000000003</v>
      </c>
      <c r="G362" s="14">
        <v>0.57689999999999997</v>
      </c>
    </row>
    <row r="363" spans="2:7" x14ac:dyDescent="0.25">
      <c r="B363" s="13">
        <v>268.14999999999998</v>
      </c>
      <c r="C363" s="13">
        <v>9.39</v>
      </c>
      <c r="D363" s="14">
        <f t="shared" si="25"/>
        <v>0.91039999999999999</v>
      </c>
      <c r="E363" s="14">
        <v>8.9599999999999999E-2</v>
      </c>
      <c r="F363" s="14">
        <f t="shared" si="22"/>
        <v>0.38560000000000005</v>
      </c>
      <c r="G363" s="14">
        <v>0.61439999999999995</v>
      </c>
    </row>
    <row r="364" spans="2:7" x14ac:dyDescent="0.25">
      <c r="B364" s="13">
        <v>268.14999999999998</v>
      </c>
      <c r="C364" s="13">
        <v>13.95</v>
      </c>
      <c r="D364" s="14">
        <f t="shared" si="25"/>
        <v>0.85030000000000006</v>
      </c>
      <c r="E364" s="14">
        <v>0.1497</v>
      </c>
      <c r="F364" s="14">
        <f t="shared" si="22"/>
        <v>0.3327</v>
      </c>
      <c r="G364" s="14">
        <v>0.6673</v>
      </c>
    </row>
    <row r="365" spans="2:7" x14ac:dyDescent="0.25">
      <c r="B365" s="13">
        <v>268.14999999999998</v>
      </c>
      <c r="C365" s="13">
        <v>20.350000000000001</v>
      </c>
      <c r="D365" s="14">
        <f t="shared" si="25"/>
        <v>0.76939999999999997</v>
      </c>
      <c r="E365" s="14">
        <v>0.2306</v>
      </c>
      <c r="F365" s="14">
        <f t="shared" si="22"/>
        <v>0.30400000000000005</v>
      </c>
      <c r="G365" s="14">
        <v>0.69599999999999995</v>
      </c>
    </row>
    <row r="366" spans="2:7" x14ac:dyDescent="0.25">
      <c r="B366" s="13">
        <v>268.14999999999998</v>
      </c>
      <c r="C366" s="13">
        <v>25.61</v>
      </c>
      <c r="D366" s="14">
        <f t="shared" si="25"/>
        <v>0.67859999999999998</v>
      </c>
      <c r="E366" s="14">
        <v>0.32140000000000002</v>
      </c>
      <c r="F366" s="14">
        <f t="shared" si="22"/>
        <v>0.33309999999999995</v>
      </c>
      <c r="G366" s="14">
        <v>0.66690000000000005</v>
      </c>
    </row>
    <row r="367" spans="2:7" x14ac:dyDescent="0.25">
      <c r="B367" s="13">
        <v>268.14999999999998</v>
      </c>
      <c r="C367" s="13">
        <v>29.38</v>
      </c>
      <c r="D367" s="14">
        <f t="shared" si="25"/>
        <v>0.58600000000000008</v>
      </c>
      <c r="E367" s="14">
        <v>0.41399999999999998</v>
      </c>
      <c r="F367" s="14">
        <f t="shared" si="22"/>
        <v>0.4012</v>
      </c>
      <c r="G367" s="14">
        <v>0.5988</v>
      </c>
    </row>
    <row r="368" spans="2:7" x14ac:dyDescent="0.25">
      <c r="B368" s="13">
        <v>280.14999999999998</v>
      </c>
      <c r="C368" s="13">
        <v>4.09</v>
      </c>
      <c r="D368" s="14">
        <f t="shared" si="25"/>
        <v>0.98080000000000001</v>
      </c>
      <c r="E368" s="14">
        <v>1.9199999999999998E-2</v>
      </c>
      <c r="F368" s="14">
        <f t="shared" si="22"/>
        <v>0.79990000000000006</v>
      </c>
      <c r="G368" s="14">
        <v>0.2001</v>
      </c>
    </row>
    <row r="369" spans="1:7" x14ac:dyDescent="0.25">
      <c r="B369" s="13">
        <v>280.14999999999998</v>
      </c>
      <c r="C369" s="13">
        <v>5.85</v>
      </c>
      <c r="D369" s="14">
        <f t="shared" si="25"/>
        <v>0.95520000000000005</v>
      </c>
      <c r="E369" s="14">
        <v>4.48E-2</v>
      </c>
      <c r="F369" s="14">
        <f t="shared" si="22"/>
        <v>0.66179999999999994</v>
      </c>
      <c r="G369" s="14">
        <v>0.3382</v>
      </c>
    </row>
    <row r="370" spans="1:7" x14ac:dyDescent="0.25">
      <c r="B370" s="13">
        <v>280.14999999999998</v>
      </c>
      <c r="C370" s="13">
        <v>8.67</v>
      </c>
      <c r="D370" s="14">
        <f t="shared" si="25"/>
        <v>0.91449999999999998</v>
      </c>
      <c r="E370" s="14">
        <v>8.5500000000000007E-2</v>
      </c>
      <c r="F370" s="14">
        <f t="shared" ref="F370:F374" si="26">1-G370</f>
        <v>0.53029999999999999</v>
      </c>
      <c r="G370" s="14">
        <v>0.46970000000000001</v>
      </c>
    </row>
    <row r="371" spans="1:7" x14ac:dyDescent="0.25">
      <c r="B371" s="13">
        <v>280.14999999999998</v>
      </c>
      <c r="C371" s="13">
        <v>13.28</v>
      </c>
      <c r="D371" s="14">
        <f t="shared" si="25"/>
        <v>0.84030000000000005</v>
      </c>
      <c r="E371" s="14">
        <v>0.15970000000000001</v>
      </c>
      <c r="F371" s="14">
        <f t="shared" si="26"/>
        <v>0.45750000000000002</v>
      </c>
      <c r="G371" s="14">
        <v>0.54249999999999998</v>
      </c>
    </row>
    <row r="372" spans="1:7" x14ac:dyDescent="0.25">
      <c r="B372" s="13">
        <v>280.14999999999998</v>
      </c>
      <c r="C372" s="13">
        <v>17.71</v>
      </c>
      <c r="D372" s="14">
        <f t="shared" si="25"/>
        <v>0.75439999999999996</v>
      </c>
      <c r="E372" s="14">
        <v>0.24560000000000001</v>
      </c>
      <c r="F372" s="14">
        <f t="shared" si="26"/>
        <v>0.45199999999999996</v>
      </c>
      <c r="G372" s="14">
        <v>0.54800000000000004</v>
      </c>
    </row>
    <row r="373" spans="1:7" x14ac:dyDescent="0.25">
      <c r="B373" s="13">
        <v>280.14999999999998</v>
      </c>
      <c r="C373" s="13">
        <v>19.88</v>
      </c>
      <c r="D373" s="14">
        <f t="shared" si="25"/>
        <v>0.69819999999999993</v>
      </c>
      <c r="E373" s="14">
        <v>0.30180000000000001</v>
      </c>
      <c r="F373" s="14">
        <f t="shared" si="26"/>
        <v>0.47840000000000005</v>
      </c>
      <c r="G373" s="14">
        <v>0.52159999999999995</v>
      </c>
    </row>
    <row r="374" spans="1:7" ht="15.75" thickBot="1" x14ac:dyDescent="0.3">
      <c r="A374" s="9"/>
      <c r="B374" s="17">
        <v>280.14999999999998</v>
      </c>
      <c r="C374" s="17">
        <v>20.86</v>
      </c>
      <c r="D374" s="16">
        <f t="shared" si="25"/>
        <v>0.66149999999999998</v>
      </c>
      <c r="E374" s="16">
        <v>0.33850000000000002</v>
      </c>
      <c r="F374" s="16">
        <f t="shared" si="26"/>
        <v>0.51290000000000002</v>
      </c>
      <c r="G374" s="16">
        <v>0.48709999999999998</v>
      </c>
    </row>
  </sheetData>
  <pageMargins left="0.7" right="0.7" top="0.75" bottom="0.75" header="0.3" footer="0.3"/>
  <pageSetup paperSize="9" orientation="portrait" r:id="rId1"/>
  <ignoredErrors>
    <ignoredError sqref="C5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06D6-8519-4077-953F-4C84837900D9}">
  <sheetPr codeName="Hoja5"/>
  <dimension ref="A1:I229"/>
  <sheetViews>
    <sheetView workbookViewId="0">
      <pane ySplit="1" topLeftCell="A2" activePane="bottomLeft" state="frozen"/>
      <selection pane="bottomLeft" activeCell="J2" sqref="J2"/>
    </sheetView>
  </sheetViews>
  <sheetFormatPr defaultColWidth="11.42578125" defaultRowHeight="15" x14ac:dyDescent="0.25"/>
  <cols>
    <col min="1" max="1" width="15.42578125" style="8" bestFit="1" customWidth="1"/>
    <col min="2" max="2" width="8" style="8" bestFit="1" customWidth="1"/>
    <col min="3" max="3" width="8.5703125" style="8" bestFit="1" customWidth="1"/>
    <col min="4" max="4" width="8.42578125" style="8" bestFit="1" customWidth="1"/>
    <col min="5" max="5" width="9.42578125" style="8" bestFit="1" customWidth="1"/>
    <col min="6" max="6" width="8.42578125" style="8" bestFit="1" customWidth="1"/>
    <col min="7" max="7" width="9.42578125" style="8" bestFit="1" customWidth="1"/>
    <col min="9" max="9" width="15.42578125" bestFit="1" customWidth="1"/>
  </cols>
  <sheetData>
    <row r="1" spans="1:9" ht="18" x14ac:dyDescent="0.25">
      <c r="A1" s="8" t="s">
        <v>0</v>
      </c>
      <c r="B1" s="10" t="s">
        <v>3</v>
      </c>
      <c r="C1" s="12" t="s">
        <v>4</v>
      </c>
      <c r="D1" s="8" t="s">
        <v>1</v>
      </c>
      <c r="E1" s="8" t="s">
        <v>2</v>
      </c>
      <c r="F1" s="8" t="s">
        <v>14</v>
      </c>
      <c r="G1" s="8" t="s">
        <v>7</v>
      </c>
      <c r="I1" s="8" t="s">
        <v>0</v>
      </c>
    </row>
    <row r="2" spans="1:9" x14ac:dyDescent="0.25">
      <c r="A2" s="18" t="s">
        <v>64</v>
      </c>
      <c r="B2" s="8">
        <v>277.59399999999999</v>
      </c>
      <c r="C2" s="12">
        <v>2.5289924019912022</v>
      </c>
      <c r="D2" s="14"/>
      <c r="E2" s="14"/>
      <c r="F2" s="14">
        <f>1-G2</f>
        <v>0.25349999999999995</v>
      </c>
      <c r="G2" s="14">
        <v>0.74650000000000005</v>
      </c>
      <c r="I2" t="s">
        <v>64</v>
      </c>
    </row>
    <row r="3" spans="1:9" x14ac:dyDescent="0.25">
      <c r="B3" s="8">
        <v>277.59399999999999</v>
      </c>
      <c r="C3" s="12">
        <v>2.5289924019912022</v>
      </c>
      <c r="D3" s="14"/>
      <c r="E3" s="14"/>
      <c r="F3" s="14">
        <f t="shared" ref="F3:F23" si="0">1-G3</f>
        <v>0.25319999999999998</v>
      </c>
      <c r="G3" s="14">
        <v>0.74680000000000002</v>
      </c>
      <c r="I3" t="s">
        <v>63</v>
      </c>
    </row>
    <row r="4" spans="1:9" x14ac:dyDescent="0.25">
      <c r="B4" s="8">
        <v>277.59399999999999</v>
      </c>
      <c r="C4" s="12">
        <v>4.4581420041644257</v>
      </c>
      <c r="D4" s="14">
        <f t="shared" ref="D4:D25" si="1">1-E4</f>
        <v>0.9627</v>
      </c>
      <c r="E4" s="14">
        <v>3.73E-2</v>
      </c>
      <c r="F4" s="14">
        <f t="shared" si="0"/>
        <v>0.15959999999999996</v>
      </c>
      <c r="G4" s="14">
        <v>0.84040000000000004</v>
      </c>
    </row>
    <row r="5" spans="1:9" x14ac:dyDescent="0.25">
      <c r="B5" s="8">
        <v>277.59399999999999</v>
      </c>
      <c r="C5" s="12">
        <v>4.4581420041644257</v>
      </c>
      <c r="D5" s="14">
        <f t="shared" si="1"/>
        <v>0.9617</v>
      </c>
      <c r="E5" s="14">
        <v>3.8300000000000001E-2</v>
      </c>
      <c r="F5" s="14">
        <f t="shared" si="0"/>
        <v>0.16010000000000002</v>
      </c>
      <c r="G5" s="14">
        <v>0.83989999999999998</v>
      </c>
    </row>
    <row r="6" spans="1:9" x14ac:dyDescent="0.25">
      <c r="B6" s="8">
        <v>277.59399999999999</v>
      </c>
      <c r="C6" s="12">
        <v>6.7575394034666774</v>
      </c>
      <c r="D6" s="14">
        <f t="shared" si="1"/>
        <v>0.95</v>
      </c>
      <c r="E6" s="14">
        <v>0.05</v>
      </c>
      <c r="F6" s="14">
        <f t="shared" si="0"/>
        <v>0.11829999999999996</v>
      </c>
      <c r="G6" s="14">
        <v>0.88170000000000004</v>
      </c>
    </row>
    <row r="7" spans="1:9" x14ac:dyDescent="0.25">
      <c r="B7" s="8">
        <v>277.59399999999999</v>
      </c>
      <c r="C7" s="12">
        <v>6.7575394034666774</v>
      </c>
      <c r="D7" s="14">
        <f t="shared" si="1"/>
        <v>0.94809999999999994</v>
      </c>
      <c r="E7" s="14">
        <v>5.1900000000000002E-2</v>
      </c>
      <c r="F7" s="14">
        <f t="shared" si="0"/>
        <v>0.11880000000000002</v>
      </c>
      <c r="G7" s="14">
        <v>0.88119999999999998</v>
      </c>
    </row>
    <row r="8" spans="1:9" x14ac:dyDescent="0.25">
      <c r="B8" s="8">
        <v>277.59399999999999</v>
      </c>
      <c r="C8" s="12">
        <v>11.202581392462664</v>
      </c>
      <c r="D8" s="14">
        <f t="shared" si="1"/>
        <v>0.91339999999999999</v>
      </c>
      <c r="E8" s="14">
        <v>8.6599999999999996E-2</v>
      </c>
      <c r="F8" s="14">
        <f t="shared" si="0"/>
        <v>8.6500000000000021E-2</v>
      </c>
      <c r="G8" s="14">
        <v>0.91349999999999998</v>
      </c>
    </row>
    <row r="9" spans="1:9" x14ac:dyDescent="0.25">
      <c r="B9" s="8">
        <v>277.59399999999999</v>
      </c>
      <c r="C9" s="12">
        <v>11.202581392462664</v>
      </c>
      <c r="D9" s="14">
        <f t="shared" si="1"/>
        <v>0.9123</v>
      </c>
      <c r="E9" s="14">
        <v>8.77E-2</v>
      </c>
      <c r="F9" s="14">
        <f t="shared" si="0"/>
        <v>8.6899999999999977E-2</v>
      </c>
      <c r="G9" s="14">
        <v>0.91310000000000002</v>
      </c>
    </row>
    <row r="10" spans="1:9" x14ac:dyDescent="0.25">
      <c r="B10" s="8">
        <v>277.59399999999999</v>
      </c>
      <c r="C10" s="12">
        <v>17.821536424936912</v>
      </c>
      <c r="D10" s="14">
        <f t="shared" si="1"/>
        <v>0.86609999999999998</v>
      </c>
      <c r="E10" s="14">
        <v>0.13389999999999999</v>
      </c>
      <c r="F10" s="14">
        <f t="shared" si="0"/>
        <v>7.1200000000000041E-2</v>
      </c>
      <c r="G10" s="14">
        <v>0.92879999999999996</v>
      </c>
    </row>
    <row r="11" spans="1:9" x14ac:dyDescent="0.25">
      <c r="B11" s="8">
        <v>277.59399999999999</v>
      </c>
      <c r="C11" s="12">
        <v>17.821536424936912</v>
      </c>
      <c r="D11" s="14">
        <f t="shared" si="1"/>
        <v>0.86519999999999997</v>
      </c>
      <c r="E11" s="14">
        <v>0.1348</v>
      </c>
      <c r="F11" s="14">
        <f t="shared" si="0"/>
        <v>7.350000000000001E-2</v>
      </c>
      <c r="G11" s="14">
        <v>0.92649999999999999</v>
      </c>
    </row>
    <row r="12" spans="1:9" x14ac:dyDescent="0.25">
      <c r="B12" s="8">
        <v>277.59399999999999</v>
      </c>
      <c r="C12" s="12">
        <v>24.619065348391452</v>
      </c>
      <c r="D12" s="14"/>
      <c r="E12" s="14"/>
      <c r="F12" s="14">
        <f t="shared" si="0"/>
        <v>6.2699999999999978E-2</v>
      </c>
      <c r="G12" s="14">
        <v>0.93730000000000002</v>
      </c>
    </row>
    <row r="13" spans="1:9" x14ac:dyDescent="0.25">
      <c r="B13" s="8">
        <v>277.59399999999999</v>
      </c>
      <c r="C13" s="12">
        <v>24.619065348391452</v>
      </c>
      <c r="D13" s="14"/>
      <c r="E13" s="14"/>
      <c r="F13" s="14">
        <f t="shared" si="0"/>
        <v>6.6599999999999993E-2</v>
      </c>
      <c r="G13" s="14">
        <v>0.93340000000000001</v>
      </c>
    </row>
    <row r="14" spans="1:9" x14ac:dyDescent="0.25">
      <c r="B14" s="8">
        <v>277.59399999999999</v>
      </c>
      <c r="C14" s="12">
        <v>28.313959100373694</v>
      </c>
      <c r="D14" s="14"/>
      <c r="E14" s="14"/>
      <c r="F14" s="14">
        <f t="shared" si="0"/>
        <v>6.579999999999997E-2</v>
      </c>
      <c r="G14" s="14">
        <v>0.93420000000000003</v>
      </c>
    </row>
    <row r="15" spans="1:9" x14ac:dyDescent="0.25">
      <c r="B15" s="8">
        <v>277.59399999999999</v>
      </c>
      <c r="C15" s="12">
        <v>28.313959100373694</v>
      </c>
      <c r="D15" s="14"/>
      <c r="E15" s="14"/>
      <c r="F15" s="14">
        <f t="shared" si="0"/>
        <v>6.6599999999999993E-2</v>
      </c>
      <c r="G15" s="14">
        <v>0.93340000000000001</v>
      </c>
    </row>
    <row r="16" spans="1:9" x14ac:dyDescent="0.25">
      <c r="B16" s="8">
        <v>277.59399999999999</v>
      </c>
      <c r="C16" s="12">
        <v>28.314648574856243</v>
      </c>
      <c r="D16" s="14">
        <f t="shared" si="1"/>
        <v>0.78780000000000006</v>
      </c>
      <c r="E16" s="14">
        <v>0.2122</v>
      </c>
      <c r="F16" s="14"/>
      <c r="G16" s="14"/>
    </row>
    <row r="17" spans="2:7" x14ac:dyDescent="0.25">
      <c r="B17" s="8">
        <v>277.59399999999999</v>
      </c>
      <c r="C17" s="12">
        <v>28.314648574856243</v>
      </c>
      <c r="D17" s="14">
        <f t="shared" si="1"/>
        <v>0.78620000000000001</v>
      </c>
      <c r="E17" s="14">
        <v>0.21379999999999999</v>
      </c>
      <c r="F17" s="14"/>
      <c r="G17" s="14"/>
    </row>
    <row r="18" spans="2:7" x14ac:dyDescent="0.25">
      <c r="B18" s="8">
        <v>277.59399999999999</v>
      </c>
      <c r="C18" s="12">
        <v>32.274300528137452</v>
      </c>
      <c r="D18" s="14"/>
      <c r="E18" s="14"/>
      <c r="F18" s="14">
        <f t="shared" si="0"/>
        <v>6.6300000000000026E-2</v>
      </c>
      <c r="G18" s="14">
        <v>0.93369999999999997</v>
      </c>
    </row>
    <row r="19" spans="2:7" x14ac:dyDescent="0.25">
      <c r="B19" s="8">
        <v>277.59399999999999</v>
      </c>
      <c r="C19" s="12">
        <v>32.274300528137452</v>
      </c>
      <c r="D19" s="14"/>
      <c r="E19" s="14"/>
      <c r="F19" s="14">
        <f t="shared" si="0"/>
        <v>6.4799999999999969E-2</v>
      </c>
      <c r="G19" s="14">
        <v>0.93520000000000003</v>
      </c>
    </row>
    <row r="20" spans="2:7" x14ac:dyDescent="0.25">
      <c r="B20" s="8">
        <v>277.59399999999999</v>
      </c>
      <c r="C20" s="12">
        <v>41.592548159792599</v>
      </c>
      <c r="D20" s="14">
        <f t="shared" si="1"/>
        <v>0.69900000000000007</v>
      </c>
      <c r="E20" s="14">
        <v>0.30099999999999999</v>
      </c>
      <c r="F20" s="14">
        <f t="shared" si="0"/>
        <v>6.910000000000005E-2</v>
      </c>
      <c r="G20" s="14">
        <v>0.93089999999999995</v>
      </c>
    </row>
    <row r="21" spans="2:7" x14ac:dyDescent="0.25">
      <c r="B21" s="8">
        <v>277.59399999999999</v>
      </c>
      <c r="C21" s="12">
        <v>41.592548159792599</v>
      </c>
      <c r="D21" s="14">
        <f t="shared" si="1"/>
        <v>0.69950000000000001</v>
      </c>
      <c r="E21" s="14">
        <v>0.30049999999999999</v>
      </c>
      <c r="F21" s="14">
        <f t="shared" si="0"/>
        <v>6.8599999999999994E-2</v>
      </c>
      <c r="G21" s="14">
        <v>0.93140000000000001</v>
      </c>
    </row>
    <row r="22" spans="2:7" x14ac:dyDescent="0.25">
      <c r="B22" s="8">
        <v>277.59399999999999</v>
      </c>
      <c r="C22" s="12">
        <v>49.735241798701026</v>
      </c>
      <c r="D22" s="14">
        <f t="shared" si="1"/>
        <v>0.6502</v>
      </c>
      <c r="E22" s="14">
        <v>0.3498</v>
      </c>
      <c r="F22" s="14">
        <f t="shared" si="0"/>
        <v>7.3899999999999966E-2</v>
      </c>
      <c r="G22" s="14">
        <v>0.92610000000000003</v>
      </c>
    </row>
    <row r="23" spans="2:7" x14ac:dyDescent="0.25">
      <c r="B23" s="8">
        <v>277.59399999999999</v>
      </c>
      <c r="C23" s="12">
        <v>49.735241798701026</v>
      </c>
      <c r="D23" s="14">
        <f t="shared" si="1"/>
        <v>0.64870000000000005</v>
      </c>
      <c r="E23" s="14">
        <v>0.3513</v>
      </c>
      <c r="F23" s="14">
        <f t="shared" si="0"/>
        <v>7.4300000000000033E-2</v>
      </c>
      <c r="G23" s="14">
        <v>0.92569999999999997</v>
      </c>
    </row>
    <row r="24" spans="2:7" x14ac:dyDescent="0.25">
      <c r="B24" s="8">
        <v>310.928</v>
      </c>
      <c r="C24" s="12">
        <v>2.6117293398971304</v>
      </c>
      <c r="D24" s="14">
        <f t="shared" si="1"/>
        <v>0.98709999999999998</v>
      </c>
      <c r="E24" s="14">
        <v>1.29E-2</v>
      </c>
      <c r="F24" s="14"/>
      <c r="G24" s="14"/>
    </row>
    <row r="25" spans="2:7" x14ac:dyDescent="0.25">
      <c r="B25" s="8">
        <v>310.928</v>
      </c>
      <c r="C25" s="12">
        <v>2.6117293398971304</v>
      </c>
      <c r="D25" s="14">
        <f t="shared" si="1"/>
        <v>0.98450000000000004</v>
      </c>
      <c r="E25" s="14">
        <v>1.55E-2</v>
      </c>
      <c r="F25" s="14"/>
      <c r="G25" s="14"/>
    </row>
    <row r="26" spans="2:7" x14ac:dyDescent="0.25">
      <c r="B26" s="8">
        <v>310.928</v>
      </c>
      <c r="C26" s="12">
        <v>2.6131082888622292</v>
      </c>
      <c r="D26" s="14"/>
      <c r="E26" s="14"/>
      <c r="F26" s="14">
        <f t="shared" ref="F26:F28" si="2">1-G26</f>
        <v>0.58000000000000007</v>
      </c>
      <c r="G26" s="14">
        <v>0.42</v>
      </c>
    </row>
    <row r="27" spans="2:7" x14ac:dyDescent="0.25">
      <c r="B27" s="8">
        <v>310.928</v>
      </c>
      <c r="C27" s="12">
        <v>2.6131082888622292</v>
      </c>
      <c r="D27" s="14"/>
      <c r="E27" s="14"/>
      <c r="F27" s="14">
        <f t="shared" si="2"/>
        <v>0.5806</v>
      </c>
      <c r="G27" s="14">
        <v>0.4194</v>
      </c>
    </row>
    <row r="28" spans="2:7" x14ac:dyDescent="0.25">
      <c r="B28" s="8">
        <v>310.928</v>
      </c>
      <c r="C28" s="12">
        <v>4.49882099863484</v>
      </c>
      <c r="D28" s="14"/>
      <c r="E28" s="14"/>
      <c r="F28" s="14">
        <f t="shared" si="2"/>
        <v>0.38180000000000003</v>
      </c>
      <c r="G28" s="14">
        <v>0.61819999999999997</v>
      </c>
    </row>
    <row r="29" spans="2:7" x14ac:dyDescent="0.25">
      <c r="B29" s="8">
        <v>310.928</v>
      </c>
      <c r="C29" s="12">
        <v>4.4995104731173896</v>
      </c>
      <c r="D29" s="14">
        <f t="shared" ref="D29" si="3">1-E29</f>
        <v>0.9637</v>
      </c>
      <c r="E29" s="14">
        <v>3.6299999999999999E-2</v>
      </c>
      <c r="F29" s="14"/>
      <c r="G29" s="14"/>
    </row>
    <row r="30" spans="2:7" x14ac:dyDescent="0.25">
      <c r="B30" s="8">
        <v>310.928</v>
      </c>
      <c r="C30" s="12">
        <v>9.6064479653608004</v>
      </c>
      <c r="D30" s="14"/>
      <c r="E30" s="14"/>
      <c r="F30" s="14">
        <f t="shared" ref="F30" si="4">1-G30</f>
        <v>0.22719999999999996</v>
      </c>
      <c r="G30" s="14">
        <v>0.77280000000000004</v>
      </c>
    </row>
    <row r="31" spans="2:7" x14ac:dyDescent="0.25">
      <c r="B31" s="8">
        <v>310.928</v>
      </c>
      <c r="C31" s="12">
        <v>9.6078269143258996</v>
      </c>
      <c r="D31" s="14">
        <f t="shared" ref="D31" si="5">1-E31</f>
        <v>0.90779999999999994</v>
      </c>
      <c r="E31" s="14">
        <v>9.2200000000000004E-2</v>
      </c>
      <c r="F31" s="14"/>
      <c r="G31" s="14"/>
    </row>
    <row r="32" spans="2:7" x14ac:dyDescent="0.25">
      <c r="B32" s="8">
        <v>310.928</v>
      </c>
      <c r="C32" s="12">
        <v>12.445014410016684</v>
      </c>
      <c r="D32" s="14"/>
      <c r="E32" s="14"/>
      <c r="F32" s="14">
        <f t="shared" ref="F32" si="6">1-G32</f>
        <v>0.19750000000000001</v>
      </c>
      <c r="G32" s="14">
        <v>0.80249999999999999</v>
      </c>
    </row>
    <row r="33" spans="2:7" x14ac:dyDescent="0.25">
      <c r="B33" s="8">
        <v>310.928</v>
      </c>
      <c r="C33" s="12">
        <v>12.446393358981783</v>
      </c>
      <c r="D33" s="14">
        <f t="shared" ref="D33:D34" si="7">1-E33</f>
        <v>0.87829999999999997</v>
      </c>
      <c r="E33" s="14">
        <v>0.1217</v>
      </c>
      <c r="F33" s="14"/>
      <c r="G33" s="14"/>
    </row>
    <row r="34" spans="2:7" x14ac:dyDescent="0.25">
      <c r="B34" s="8">
        <v>310.928</v>
      </c>
      <c r="C34" s="12">
        <v>18.625463671589515</v>
      </c>
      <c r="D34" s="14">
        <f t="shared" si="7"/>
        <v>0.81309999999999993</v>
      </c>
      <c r="E34" s="14">
        <v>0.18690000000000001</v>
      </c>
      <c r="F34" s="14"/>
      <c r="G34" s="14"/>
    </row>
    <row r="35" spans="2:7" x14ac:dyDescent="0.25">
      <c r="B35" s="8">
        <v>310.928</v>
      </c>
      <c r="C35" s="12">
        <v>18.628221569519713</v>
      </c>
      <c r="D35" s="14"/>
      <c r="E35" s="14"/>
      <c r="F35" s="14">
        <f t="shared" ref="F35:F37" si="8">1-G35</f>
        <v>0.16830000000000001</v>
      </c>
      <c r="G35" s="14">
        <v>0.83169999999999999</v>
      </c>
    </row>
    <row r="36" spans="2:7" x14ac:dyDescent="0.25">
      <c r="B36" s="8">
        <v>310.928</v>
      </c>
      <c r="C36" s="12">
        <v>24.143327955432365</v>
      </c>
      <c r="D36" s="14"/>
      <c r="E36" s="14"/>
      <c r="F36" s="14">
        <f t="shared" si="8"/>
        <v>0.15949999999999998</v>
      </c>
      <c r="G36" s="14">
        <v>0.84050000000000002</v>
      </c>
    </row>
    <row r="37" spans="2:7" x14ac:dyDescent="0.25">
      <c r="B37" s="8">
        <v>310.928</v>
      </c>
      <c r="C37" s="12">
        <v>24.143327955432365</v>
      </c>
      <c r="D37" s="14"/>
      <c r="E37" s="14"/>
      <c r="F37" s="14">
        <f t="shared" si="8"/>
        <v>0.1593</v>
      </c>
      <c r="G37" s="14">
        <v>0.8407</v>
      </c>
    </row>
    <row r="38" spans="2:7" x14ac:dyDescent="0.25">
      <c r="B38" s="8">
        <v>310.928</v>
      </c>
      <c r="C38" s="12">
        <v>24.152980598188059</v>
      </c>
      <c r="D38" s="14">
        <f t="shared" ref="D38:D41" si="9">1-E38</f>
        <v>0.75970000000000004</v>
      </c>
      <c r="E38" s="14">
        <v>0.24030000000000001</v>
      </c>
      <c r="F38" s="14"/>
      <c r="G38" s="14"/>
    </row>
    <row r="39" spans="2:7" x14ac:dyDescent="0.25">
      <c r="B39" s="8">
        <v>310.928</v>
      </c>
      <c r="C39" s="12">
        <v>24.152980598188059</v>
      </c>
      <c r="D39" s="14">
        <f t="shared" si="9"/>
        <v>0.75760000000000005</v>
      </c>
      <c r="E39" s="14">
        <v>0.2424</v>
      </c>
      <c r="F39" s="14"/>
      <c r="G39" s="14"/>
    </row>
    <row r="40" spans="2:7" x14ac:dyDescent="0.25">
      <c r="B40" s="8">
        <v>310.928</v>
      </c>
      <c r="C40" s="12">
        <v>30.932583185096316</v>
      </c>
      <c r="D40" s="14">
        <f t="shared" si="9"/>
        <v>0.69140000000000001</v>
      </c>
      <c r="E40" s="14">
        <v>0.30859999999999999</v>
      </c>
      <c r="F40" s="14"/>
      <c r="G40" s="14"/>
    </row>
    <row r="41" spans="2:7" x14ac:dyDescent="0.25">
      <c r="B41" s="8">
        <v>310.928</v>
      </c>
      <c r="C41" s="12">
        <v>30.932583185096316</v>
      </c>
      <c r="D41" s="14">
        <f t="shared" si="9"/>
        <v>0.69199999999999995</v>
      </c>
      <c r="E41" s="14">
        <v>0.308</v>
      </c>
      <c r="F41" s="14"/>
      <c r="G41" s="14"/>
    </row>
    <row r="42" spans="2:7" x14ac:dyDescent="0.25">
      <c r="B42" s="8">
        <v>310.928</v>
      </c>
      <c r="C42" s="12">
        <v>30.953267419572796</v>
      </c>
      <c r="D42" s="14"/>
      <c r="E42" s="14"/>
      <c r="F42" s="14">
        <f t="shared" ref="F42:F43" si="10">1-G42</f>
        <v>0.16010000000000002</v>
      </c>
      <c r="G42" s="14">
        <v>0.83989999999999998</v>
      </c>
    </row>
    <row r="43" spans="2:7" x14ac:dyDescent="0.25">
      <c r="B43" s="8">
        <v>310.928</v>
      </c>
      <c r="C43" s="12">
        <v>30.953267419572796</v>
      </c>
      <c r="D43" s="14"/>
      <c r="E43" s="14"/>
      <c r="F43" s="14">
        <f t="shared" si="10"/>
        <v>0.15890000000000004</v>
      </c>
      <c r="G43" s="14">
        <v>0.84109999999999996</v>
      </c>
    </row>
    <row r="44" spans="2:7" x14ac:dyDescent="0.25">
      <c r="B44" s="8">
        <v>310.928</v>
      </c>
      <c r="C44" s="12">
        <v>36.177415573849615</v>
      </c>
      <c r="D44" s="14">
        <f t="shared" ref="D44:D45" si="11">1-E44</f>
        <v>0.64019999999999999</v>
      </c>
      <c r="E44" s="14">
        <v>0.35980000000000001</v>
      </c>
      <c r="F44" s="14"/>
      <c r="G44" s="14"/>
    </row>
    <row r="45" spans="2:7" x14ac:dyDescent="0.25">
      <c r="B45" s="8">
        <v>310.928</v>
      </c>
      <c r="C45" s="12">
        <v>36.177415573849615</v>
      </c>
      <c r="D45" s="14">
        <f t="shared" si="11"/>
        <v>0.64070000000000005</v>
      </c>
      <c r="E45" s="14">
        <v>0.35930000000000001</v>
      </c>
      <c r="F45" s="14"/>
      <c r="G45" s="14"/>
    </row>
    <row r="46" spans="2:7" x14ac:dyDescent="0.25">
      <c r="B46" s="8">
        <v>310.928</v>
      </c>
      <c r="C46" s="12">
        <v>36.191894537983146</v>
      </c>
      <c r="D46" s="14"/>
      <c r="E46" s="14"/>
      <c r="F46" s="14">
        <f t="shared" ref="F46:F49" si="12">1-G46</f>
        <v>0.16679999999999995</v>
      </c>
      <c r="G46" s="14">
        <v>0.83320000000000005</v>
      </c>
    </row>
    <row r="47" spans="2:7" x14ac:dyDescent="0.25">
      <c r="B47" s="8">
        <v>310.928</v>
      </c>
      <c r="C47" s="12">
        <v>36.191894537983146</v>
      </c>
      <c r="D47" s="14"/>
      <c r="E47" s="14"/>
      <c r="F47" s="14">
        <f t="shared" si="12"/>
        <v>0.16549999999999998</v>
      </c>
      <c r="G47" s="14">
        <v>0.83450000000000002</v>
      </c>
    </row>
    <row r="48" spans="2:7" x14ac:dyDescent="0.25">
      <c r="B48" s="8">
        <v>310.928</v>
      </c>
      <c r="C48" s="12">
        <v>42.823949585625833</v>
      </c>
      <c r="D48" s="14"/>
      <c r="E48" s="14"/>
      <c r="F48" s="14">
        <f t="shared" si="12"/>
        <v>0.18259999999999998</v>
      </c>
      <c r="G48" s="14">
        <v>0.81740000000000002</v>
      </c>
    </row>
    <row r="49" spans="2:7" x14ac:dyDescent="0.25">
      <c r="B49" s="8">
        <v>310.928</v>
      </c>
      <c r="C49" s="12">
        <v>42.823949585625833</v>
      </c>
      <c r="D49" s="14"/>
      <c r="E49" s="14"/>
      <c r="F49" s="14">
        <f t="shared" si="12"/>
        <v>0.18240000000000001</v>
      </c>
      <c r="G49" s="14">
        <v>0.81759999999999999</v>
      </c>
    </row>
    <row r="50" spans="2:7" x14ac:dyDescent="0.25">
      <c r="B50" s="8">
        <v>310.928</v>
      </c>
      <c r="C50" s="12">
        <v>42.828775907003681</v>
      </c>
      <c r="D50" s="14">
        <f t="shared" ref="D50:D51" si="13">1-E50</f>
        <v>0.56840000000000002</v>
      </c>
      <c r="E50" s="14">
        <v>0.43159999999999998</v>
      </c>
      <c r="F50" s="14"/>
      <c r="G50" s="14"/>
    </row>
    <row r="51" spans="2:7" x14ac:dyDescent="0.25">
      <c r="B51" s="8">
        <v>310.928</v>
      </c>
      <c r="C51" s="12">
        <v>42.828775907003681</v>
      </c>
      <c r="D51" s="14">
        <f t="shared" si="13"/>
        <v>0.56780000000000008</v>
      </c>
      <c r="E51" s="14">
        <v>0.43219999999999997</v>
      </c>
      <c r="F51" s="14"/>
      <c r="G51" s="14"/>
    </row>
    <row r="52" spans="2:7" x14ac:dyDescent="0.25">
      <c r="B52" s="8">
        <v>310.928</v>
      </c>
      <c r="C52" s="12">
        <v>49.666983824928636</v>
      </c>
      <c r="D52" s="14"/>
      <c r="E52" s="14"/>
      <c r="F52" s="14">
        <f t="shared" ref="F52:F53" si="14">1-G52</f>
        <v>0.21730000000000005</v>
      </c>
      <c r="G52" s="14">
        <v>0.78269999999999995</v>
      </c>
    </row>
    <row r="53" spans="2:7" x14ac:dyDescent="0.25">
      <c r="B53" s="8">
        <v>310.928</v>
      </c>
      <c r="C53" s="12">
        <v>49.666983824928636</v>
      </c>
      <c r="D53" s="14"/>
      <c r="E53" s="14"/>
      <c r="F53" s="14">
        <f t="shared" si="14"/>
        <v>0.21699999999999997</v>
      </c>
      <c r="G53" s="14">
        <v>0.78300000000000003</v>
      </c>
    </row>
    <row r="54" spans="2:7" x14ac:dyDescent="0.25">
      <c r="B54" s="8">
        <v>310.928</v>
      </c>
      <c r="C54" s="12">
        <v>49.700078600091004</v>
      </c>
      <c r="D54" s="14">
        <f t="shared" ref="D54:D55" si="15">1-E54</f>
        <v>0.48839999999999995</v>
      </c>
      <c r="E54" s="14">
        <v>0.51160000000000005</v>
      </c>
      <c r="F54" s="14"/>
      <c r="G54" s="14"/>
    </row>
    <row r="55" spans="2:7" x14ac:dyDescent="0.25">
      <c r="B55" s="8">
        <v>310.928</v>
      </c>
      <c r="C55" s="12">
        <v>49.700078600091004</v>
      </c>
      <c r="D55" s="14">
        <f t="shared" si="15"/>
        <v>0.48750000000000004</v>
      </c>
      <c r="E55" s="14">
        <v>0.51249999999999996</v>
      </c>
      <c r="F55" s="14"/>
      <c r="G55" s="14"/>
    </row>
    <row r="56" spans="2:7" x14ac:dyDescent="0.25">
      <c r="B56" s="8">
        <v>310.928</v>
      </c>
      <c r="C56" s="12">
        <v>52.624139880583016</v>
      </c>
      <c r="D56" s="14"/>
      <c r="E56" s="14"/>
      <c r="F56" s="14">
        <f t="shared" ref="F56:F57" si="16">1-G56</f>
        <v>0.26100000000000001</v>
      </c>
      <c r="G56" s="14">
        <v>0.73899999999999999</v>
      </c>
    </row>
    <row r="57" spans="2:7" x14ac:dyDescent="0.25">
      <c r="B57" s="8">
        <v>310.928</v>
      </c>
      <c r="C57" s="12">
        <v>52.624139880583016</v>
      </c>
      <c r="D57" s="14"/>
      <c r="E57" s="14"/>
      <c r="F57" s="14">
        <f t="shared" si="16"/>
        <v>0.26229999999999998</v>
      </c>
      <c r="G57" s="14">
        <v>0.73770000000000002</v>
      </c>
    </row>
    <row r="58" spans="2:7" x14ac:dyDescent="0.25">
      <c r="B58" s="8">
        <v>310.928</v>
      </c>
      <c r="C58" s="12">
        <v>52.757897930197593</v>
      </c>
      <c r="D58" s="14">
        <f t="shared" ref="D58:D61" si="17">1-E58</f>
        <v>0.42610000000000003</v>
      </c>
      <c r="E58" s="14">
        <v>0.57389999999999997</v>
      </c>
      <c r="F58" s="14"/>
      <c r="G58" s="14"/>
    </row>
    <row r="59" spans="2:7" x14ac:dyDescent="0.25">
      <c r="B59" s="8">
        <v>310.928</v>
      </c>
      <c r="C59" s="12">
        <v>52.757897930197593</v>
      </c>
      <c r="D59" s="14">
        <f t="shared" si="17"/>
        <v>0.42610000000000003</v>
      </c>
      <c r="E59" s="14">
        <v>0.57389999999999997</v>
      </c>
      <c r="F59" s="14"/>
      <c r="G59" s="14"/>
    </row>
    <row r="60" spans="2:7" x14ac:dyDescent="0.25">
      <c r="B60" s="8">
        <v>344.26100000000002</v>
      </c>
      <c r="C60" s="12">
        <v>3.9320729739792326</v>
      </c>
      <c r="D60" s="14">
        <f t="shared" si="17"/>
        <v>0.98</v>
      </c>
      <c r="E60" s="14">
        <v>0.02</v>
      </c>
      <c r="F60" s="14"/>
      <c r="G60" s="14"/>
    </row>
    <row r="61" spans="2:7" x14ac:dyDescent="0.25">
      <c r="B61" s="8">
        <v>344.26100000000002</v>
      </c>
      <c r="C61" s="12">
        <v>3.9320729739792326</v>
      </c>
      <c r="D61" s="14">
        <f t="shared" si="17"/>
        <v>0.97960000000000003</v>
      </c>
      <c r="E61" s="14">
        <v>2.0400000000000001E-2</v>
      </c>
      <c r="F61" s="14"/>
      <c r="G61" s="14"/>
    </row>
    <row r="62" spans="2:7" x14ac:dyDescent="0.25">
      <c r="B62" s="8">
        <v>344.26100000000002</v>
      </c>
      <c r="C62" s="12">
        <v>3.9334519229443314</v>
      </c>
      <c r="D62" s="14"/>
      <c r="E62" s="14"/>
      <c r="F62" s="14">
        <f t="shared" ref="F62:F65" si="18">1-G62</f>
        <v>0.78980000000000006</v>
      </c>
      <c r="G62" s="14">
        <v>0.2102</v>
      </c>
    </row>
    <row r="63" spans="2:7" x14ac:dyDescent="0.25">
      <c r="B63" s="8">
        <v>344.26100000000002</v>
      </c>
      <c r="C63" s="12">
        <v>3.9334519229443314</v>
      </c>
      <c r="D63" s="14"/>
      <c r="E63" s="14"/>
      <c r="F63" s="14">
        <f t="shared" si="18"/>
        <v>0.79</v>
      </c>
      <c r="G63" s="14">
        <v>0.21</v>
      </c>
    </row>
    <row r="64" spans="2:7" x14ac:dyDescent="0.25">
      <c r="B64" s="8">
        <v>344.26100000000002</v>
      </c>
      <c r="C64" s="12">
        <v>5.8329541223679309</v>
      </c>
      <c r="D64" s="14"/>
      <c r="E64" s="14"/>
      <c r="F64" s="14">
        <f t="shared" si="18"/>
        <v>0.62729999999999997</v>
      </c>
      <c r="G64" s="14">
        <v>0.37269999999999998</v>
      </c>
    </row>
    <row r="65" spans="2:7" x14ac:dyDescent="0.25">
      <c r="B65" s="8">
        <v>344.26100000000002</v>
      </c>
      <c r="C65" s="12">
        <v>5.8329541223679309</v>
      </c>
      <c r="D65" s="14"/>
      <c r="E65" s="14"/>
      <c r="F65" s="14">
        <f t="shared" si="18"/>
        <v>0.62519999999999998</v>
      </c>
      <c r="G65" s="14">
        <v>0.37480000000000002</v>
      </c>
    </row>
    <row r="66" spans="2:7" x14ac:dyDescent="0.25">
      <c r="B66" s="8">
        <v>344.26100000000002</v>
      </c>
      <c r="C66" s="12">
        <v>5.8336435968504805</v>
      </c>
      <c r="D66" s="14">
        <f t="shared" ref="D66:D79" si="19">1-E66</f>
        <v>0.94720000000000004</v>
      </c>
      <c r="E66" s="14">
        <v>5.28E-2</v>
      </c>
      <c r="F66" s="14"/>
      <c r="G66" s="14"/>
    </row>
    <row r="67" spans="2:7" x14ac:dyDescent="0.25">
      <c r="B67" s="8">
        <v>344.26100000000002</v>
      </c>
      <c r="C67" s="12">
        <v>5.8336435968504805</v>
      </c>
      <c r="D67" s="14">
        <f t="shared" si="19"/>
        <v>0.94689999999999996</v>
      </c>
      <c r="E67" s="14">
        <v>5.3100000000000001E-2</v>
      </c>
      <c r="F67" s="14"/>
      <c r="G67" s="14"/>
    </row>
    <row r="68" spans="2:7" x14ac:dyDescent="0.25">
      <c r="B68" s="8">
        <v>344.26100000000002</v>
      </c>
      <c r="C68" s="12">
        <v>8.0475461603166067</v>
      </c>
      <c r="D68" s="14">
        <f t="shared" si="19"/>
        <v>0.91100000000000003</v>
      </c>
      <c r="E68" s="14">
        <v>8.8999999999999996E-2</v>
      </c>
      <c r="F68" s="14">
        <f t="shared" ref="F68:F77" si="20">1-G68</f>
        <v>0.52200000000000002</v>
      </c>
      <c r="G68" s="14">
        <v>0.47799999999999998</v>
      </c>
    </row>
    <row r="69" spans="2:7" x14ac:dyDescent="0.25">
      <c r="B69" s="8">
        <v>344.26100000000002</v>
      </c>
      <c r="C69" s="12">
        <v>11.752092555054537</v>
      </c>
      <c r="D69" s="14">
        <f t="shared" si="19"/>
        <v>0.84789999999999999</v>
      </c>
      <c r="E69" s="14">
        <v>0.15210000000000001</v>
      </c>
      <c r="F69" s="14">
        <f t="shared" si="20"/>
        <v>0.44159999999999999</v>
      </c>
      <c r="G69" s="14">
        <v>0.55840000000000001</v>
      </c>
    </row>
    <row r="70" spans="2:7" x14ac:dyDescent="0.25">
      <c r="B70" s="8">
        <v>344.26100000000002</v>
      </c>
      <c r="C70" s="12">
        <v>15.074670086460099</v>
      </c>
      <c r="D70" s="14">
        <f t="shared" si="19"/>
        <v>0.79220000000000002</v>
      </c>
      <c r="E70" s="14">
        <v>0.20780000000000001</v>
      </c>
      <c r="F70" s="14">
        <f t="shared" si="20"/>
        <v>0.40920000000000001</v>
      </c>
      <c r="G70" s="14">
        <v>0.59079999999999999</v>
      </c>
    </row>
    <row r="71" spans="2:7" x14ac:dyDescent="0.25">
      <c r="B71" s="8">
        <v>344.26100000000002</v>
      </c>
      <c r="C71" s="12">
        <v>18.269005364111472</v>
      </c>
      <c r="D71" s="14">
        <f t="shared" si="19"/>
        <v>0.73419999999999996</v>
      </c>
      <c r="E71" s="14">
        <v>0.26579999999999998</v>
      </c>
      <c r="F71" s="14">
        <f t="shared" si="20"/>
        <v>0.40480000000000005</v>
      </c>
      <c r="G71" s="14">
        <v>0.59519999999999995</v>
      </c>
    </row>
    <row r="72" spans="2:7" x14ac:dyDescent="0.25">
      <c r="B72" s="8">
        <v>344.26100000000002</v>
      </c>
      <c r="C72" s="12">
        <v>19.335622388615395</v>
      </c>
      <c r="D72" s="14">
        <f t="shared" si="19"/>
        <v>0.71379999999999999</v>
      </c>
      <c r="E72" s="14">
        <v>0.28620000000000001</v>
      </c>
      <c r="F72" s="14">
        <f t="shared" si="20"/>
        <v>0.40549999999999997</v>
      </c>
      <c r="G72" s="14">
        <v>0.59450000000000003</v>
      </c>
    </row>
    <row r="73" spans="2:7" x14ac:dyDescent="0.25">
      <c r="B73" s="8">
        <v>344.26100000000002</v>
      </c>
      <c r="C73" s="12">
        <v>19.335622388615395</v>
      </c>
      <c r="D73" s="14">
        <f t="shared" si="19"/>
        <v>0.71340000000000003</v>
      </c>
      <c r="E73" s="14">
        <v>0.28660000000000002</v>
      </c>
      <c r="F73" s="14">
        <f t="shared" si="20"/>
        <v>0.40559999999999996</v>
      </c>
      <c r="G73" s="14">
        <v>0.59440000000000004</v>
      </c>
    </row>
    <row r="74" spans="2:7" x14ac:dyDescent="0.25">
      <c r="B74" s="8">
        <v>344.26100000000002</v>
      </c>
      <c r="C74" s="12">
        <v>22.373446958728056</v>
      </c>
      <c r="D74" s="14">
        <f t="shared" si="19"/>
        <v>0.63369999999999993</v>
      </c>
      <c r="E74" s="14">
        <v>0.36630000000000001</v>
      </c>
      <c r="F74" s="14">
        <f t="shared" si="20"/>
        <v>0.44899999999999995</v>
      </c>
      <c r="G74" s="14">
        <v>0.55100000000000005</v>
      </c>
    </row>
    <row r="75" spans="2:7" x14ac:dyDescent="0.25">
      <c r="B75" s="8">
        <v>344.26100000000002</v>
      </c>
      <c r="C75" s="12">
        <v>22.373446958728056</v>
      </c>
      <c r="D75" s="14">
        <f t="shared" si="19"/>
        <v>0.6341</v>
      </c>
      <c r="E75" s="14">
        <v>0.3659</v>
      </c>
      <c r="F75" s="14">
        <f t="shared" si="20"/>
        <v>0.44869999999999999</v>
      </c>
      <c r="G75" s="14">
        <v>0.55130000000000001</v>
      </c>
    </row>
    <row r="76" spans="2:7" x14ac:dyDescent="0.25">
      <c r="B76" s="8">
        <v>344.26100000000002</v>
      </c>
      <c r="C76" s="12">
        <v>22.789200071705345</v>
      </c>
      <c r="D76" s="14">
        <f t="shared" si="19"/>
        <v>0.60719999999999996</v>
      </c>
      <c r="E76" s="14">
        <v>0.39279999999999998</v>
      </c>
      <c r="F76" s="14">
        <f t="shared" si="20"/>
        <v>0.47130000000000005</v>
      </c>
      <c r="G76" s="14">
        <v>0.52869999999999995</v>
      </c>
    </row>
    <row r="77" spans="2:7" x14ac:dyDescent="0.25">
      <c r="B77" s="8">
        <v>344.26100000000002</v>
      </c>
      <c r="C77" s="12">
        <v>22.789200071705345</v>
      </c>
      <c r="D77" s="14">
        <f t="shared" si="19"/>
        <v>0.60759999999999992</v>
      </c>
      <c r="E77" s="14">
        <v>0.39240000000000003</v>
      </c>
      <c r="F77" s="14">
        <f t="shared" si="20"/>
        <v>0.47099999999999997</v>
      </c>
      <c r="G77" s="14">
        <v>0.52900000000000003</v>
      </c>
    </row>
    <row r="78" spans="2:7" x14ac:dyDescent="0.25">
      <c r="B78" s="8">
        <v>360.928</v>
      </c>
      <c r="C78" s="12">
        <v>4.9614583764254885</v>
      </c>
      <c r="D78" s="14">
        <f t="shared" si="19"/>
        <v>0.97</v>
      </c>
      <c r="E78" s="14">
        <v>0.03</v>
      </c>
      <c r="F78" s="14"/>
      <c r="G78" s="14"/>
    </row>
    <row r="79" spans="2:7" x14ac:dyDescent="0.25">
      <c r="B79" s="8">
        <v>360.928</v>
      </c>
      <c r="C79" s="12">
        <v>4.9614583764254885</v>
      </c>
      <c r="D79" s="14">
        <f t="shared" si="19"/>
        <v>0.96960000000000002</v>
      </c>
      <c r="E79" s="14">
        <v>3.04E-2</v>
      </c>
      <c r="F79" s="14"/>
      <c r="G79" s="14"/>
    </row>
    <row r="80" spans="2:7" x14ac:dyDescent="0.25">
      <c r="B80" s="8">
        <v>360.928</v>
      </c>
      <c r="C80" s="12">
        <v>4.9621478509080381</v>
      </c>
      <c r="D80" s="14"/>
      <c r="E80" s="14"/>
      <c r="F80" s="14">
        <f t="shared" ref="F80" si="21">1-G80</f>
        <v>0.87180000000000002</v>
      </c>
      <c r="G80" s="14">
        <v>0.12820000000000001</v>
      </c>
    </row>
    <row r="81" spans="2:7" x14ac:dyDescent="0.25">
      <c r="B81" s="8">
        <v>360.928</v>
      </c>
      <c r="C81" s="12">
        <v>6.943008039272466</v>
      </c>
      <c r="D81" s="14">
        <f t="shared" ref="D81:D82" si="22">1-E81</f>
        <v>0.92249999999999999</v>
      </c>
      <c r="E81" s="14">
        <v>7.7499999999999999E-2</v>
      </c>
      <c r="F81" s="14"/>
      <c r="G81" s="14"/>
    </row>
    <row r="82" spans="2:7" x14ac:dyDescent="0.25">
      <c r="B82" s="8">
        <v>360.928</v>
      </c>
      <c r="C82" s="12">
        <v>6.943008039272466</v>
      </c>
      <c r="D82" s="14">
        <f t="shared" si="22"/>
        <v>0.92279999999999995</v>
      </c>
      <c r="E82" s="14">
        <v>7.7200000000000005E-2</v>
      </c>
      <c r="F82" s="14"/>
      <c r="G82" s="14"/>
    </row>
    <row r="83" spans="2:7" x14ac:dyDescent="0.25">
      <c r="B83" s="8">
        <v>360.928</v>
      </c>
      <c r="C83" s="12">
        <v>6.9436975137550156</v>
      </c>
      <c r="D83" s="14"/>
      <c r="E83" s="14"/>
      <c r="F83" s="14">
        <f t="shared" ref="F83" si="23">1-G83</f>
        <v>0.76280000000000003</v>
      </c>
      <c r="G83" s="14">
        <v>0.23719999999999999</v>
      </c>
    </row>
    <row r="84" spans="2:7" x14ac:dyDescent="0.25">
      <c r="B84" s="8">
        <v>360.928</v>
      </c>
      <c r="C84" s="12">
        <v>8.7390890663136549</v>
      </c>
      <c r="D84" s="14">
        <f t="shared" ref="D84:D85" si="24">1-E84</f>
        <v>0.87690000000000001</v>
      </c>
      <c r="E84" s="14">
        <v>0.1231</v>
      </c>
      <c r="F84" s="14"/>
      <c r="G84" s="14"/>
    </row>
    <row r="85" spans="2:7" x14ac:dyDescent="0.25">
      <c r="B85" s="8">
        <v>360.928</v>
      </c>
      <c r="C85" s="12">
        <v>8.7390890663136549</v>
      </c>
      <c r="D85" s="14">
        <f t="shared" si="24"/>
        <v>0.87729999999999997</v>
      </c>
      <c r="E85" s="14">
        <v>0.1227</v>
      </c>
      <c r="F85" s="14"/>
      <c r="G85" s="14"/>
    </row>
    <row r="86" spans="2:7" x14ac:dyDescent="0.25">
      <c r="B86" s="8">
        <v>360.928</v>
      </c>
      <c r="C86" s="12">
        <v>8.7528785559646423</v>
      </c>
      <c r="D86" s="14"/>
      <c r="E86" s="14"/>
      <c r="F86" s="14">
        <f t="shared" ref="F86:F87" si="25">1-G86</f>
        <v>0.72099999999999997</v>
      </c>
      <c r="G86" s="14">
        <v>0.27900000000000003</v>
      </c>
    </row>
    <row r="87" spans="2:7" x14ac:dyDescent="0.25">
      <c r="B87" s="8">
        <v>360.928</v>
      </c>
      <c r="C87" s="12">
        <v>8.7528785559646423</v>
      </c>
      <c r="D87" s="14"/>
      <c r="E87" s="14"/>
      <c r="F87" s="14">
        <f t="shared" si="25"/>
        <v>0.72009999999999996</v>
      </c>
      <c r="G87" s="14">
        <v>0.27989999999999998</v>
      </c>
    </row>
    <row r="88" spans="2:7" x14ac:dyDescent="0.25">
      <c r="B88" s="8">
        <v>360.928</v>
      </c>
      <c r="C88" s="12">
        <v>9.5768005626111776</v>
      </c>
      <c r="D88" s="14">
        <f>1-E88</f>
        <v>0.84860000000000002</v>
      </c>
      <c r="E88" s="14">
        <v>0.15140000000000001</v>
      </c>
      <c r="F88" s="14"/>
      <c r="G88" s="14"/>
    </row>
    <row r="89" spans="2:7" x14ac:dyDescent="0.25">
      <c r="B89" s="8">
        <v>360.928</v>
      </c>
      <c r="C89" s="12">
        <v>9.5768005626111776</v>
      </c>
      <c r="D89" s="14">
        <f>1-E89</f>
        <v>0.84729999999999994</v>
      </c>
      <c r="E89" s="14">
        <v>0.1527</v>
      </c>
      <c r="F89" s="14"/>
      <c r="G89" s="14"/>
    </row>
    <row r="90" spans="2:7" x14ac:dyDescent="0.25">
      <c r="B90" s="8">
        <v>360.928</v>
      </c>
      <c r="C90" s="12">
        <v>9.5781795115762769</v>
      </c>
      <c r="D90" s="14"/>
      <c r="E90" s="14"/>
      <c r="F90" s="14">
        <f t="shared" ref="F90:F93" si="26">1-G90</f>
        <v>0.71100000000000008</v>
      </c>
      <c r="G90" s="14">
        <v>0.28899999999999998</v>
      </c>
    </row>
    <row r="91" spans="2:7" x14ac:dyDescent="0.25">
      <c r="B91" s="8">
        <v>360.928</v>
      </c>
      <c r="C91" s="12">
        <v>9.5781795115762769</v>
      </c>
      <c r="D91" s="14"/>
      <c r="E91" s="14"/>
      <c r="F91" s="14">
        <f t="shared" si="26"/>
        <v>0.71189999999999998</v>
      </c>
      <c r="G91" s="14">
        <v>0.28810000000000002</v>
      </c>
    </row>
    <row r="92" spans="2:7" x14ac:dyDescent="0.25">
      <c r="B92" s="8">
        <v>360.928</v>
      </c>
      <c r="C92" s="12">
        <v>10.126311725203049</v>
      </c>
      <c r="D92" s="14">
        <f>1-E92</f>
        <v>0.82309999999999994</v>
      </c>
      <c r="E92" s="14">
        <v>0.1769</v>
      </c>
      <c r="F92" s="14">
        <f t="shared" si="26"/>
        <v>0.71450000000000002</v>
      </c>
      <c r="G92" s="14">
        <v>0.28549999999999998</v>
      </c>
    </row>
    <row r="93" spans="2:7" x14ac:dyDescent="0.25">
      <c r="B93" s="8">
        <v>360.928</v>
      </c>
      <c r="C93" s="12">
        <v>10.126311725203049</v>
      </c>
      <c r="D93" s="14">
        <f>1-E93</f>
        <v>0.82420000000000004</v>
      </c>
      <c r="E93" s="14">
        <v>0.17580000000000001</v>
      </c>
      <c r="F93" s="14">
        <f t="shared" si="26"/>
        <v>0.71710000000000007</v>
      </c>
      <c r="G93" s="14">
        <v>0.28289999999999998</v>
      </c>
    </row>
    <row r="94" spans="2:7" x14ac:dyDescent="0.25">
      <c r="B94" s="8">
        <v>360.928</v>
      </c>
      <c r="C94" s="12">
        <v>10.517933231291108</v>
      </c>
      <c r="D94" s="14">
        <f>1-E94</f>
        <v>0.79420000000000002</v>
      </c>
      <c r="E94" s="14">
        <v>0.20580000000000001</v>
      </c>
      <c r="F94" s="14"/>
      <c r="G94" s="14"/>
    </row>
    <row r="95" spans="2:7" x14ac:dyDescent="0.25">
      <c r="B95" s="8">
        <v>360.928</v>
      </c>
      <c r="C95" s="12">
        <v>10.517933231291108</v>
      </c>
      <c r="D95" s="14">
        <f>1-E95</f>
        <v>0.79200000000000004</v>
      </c>
      <c r="E95" s="14">
        <v>0.20799999999999999</v>
      </c>
      <c r="F95" s="14"/>
      <c r="G95" s="14"/>
    </row>
    <row r="96" spans="2:7" x14ac:dyDescent="0.25">
      <c r="B96" s="8">
        <v>360.928</v>
      </c>
      <c r="C96" s="12">
        <v>10.518622705773659</v>
      </c>
      <c r="D96" s="14"/>
      <c r="E96" s="14"/>
      <c r="F96" s="14">
        <f t="shared" ref="F96:F97" si="27">1-G96</f>
        <v>0.73219999999999996</v>
      </c>
      <c r="G96" s="14">
        <v>0.26779999999999998</v>
      </c>
    </row>
    <row r="97" spans="1:7" ht="15.75" thickBot="1" x14ac:dyDescent="0.3">
      <c r="A97" s="9"/>
      <c r="B97" s="9">
        <v>360.928</v>
      </c>
      <c r="C97" s="15">
        <v>10.518622705773659</v>
      </c>
      <c r="D97" s="16"/>
      <c r="E97" s="16"/>
      <c r="F97" s="16">
        <f t="shared" si="27"/>
        <v>0.73360000000000003</v>
      </c>
      <c r="G97" s="16">
        <v>0.26640000000000003</v>
      </c>
    </row>
    <row r="98" spans="1:7" x14ac:dyDescent="0.25">
      <c r="A98" s="18" t="s">
        <v>63</v>
      </c>
      <c r="B98" s="8">
        <f>-175+273.15</f>
        <v>98.149999999999977</v>
      </c>
      <c r="C98" s="12">
        <v>1.3510318505758774</v>
      </c>
      <c r="D98" s="14"/>
      <c r="E98" s="14"/>
      <c r="F98" s="14"/>
      <c r="G98" s="14"/>
    </row>
    <row r="99" spans="1:7" x14ac:dyDescent="0.25">
      <c r="B99" s="8">
        <f t="shared" ref="B99:B107" si="28">-175+273.15</f>
        <v>98.149999999999977</v>
      </c>
      <c r="C99" s="12">
        <v>1.6887898132198467</v>
      </c>
      <c r="D99" s="14">
        <f t="shared" ref="D99:D161" si="29">1-E99</f>
        <v>0.99790000000000001</v>
      </c>
      <c r="E99" s="14">
        <v>2.0999999999999999E-3</v>
      </c>
      <c r="F99" s="14"/>
    </row>
    <row r="100" spans="1:7" x14ac:dyDescent="0.25">
      <c r="B100" s="8">
        <f t="shared" si="28"/>
        <v>98.149999999999977</v>
      </c>
      <c r="C100" s="12">
        <v>3.3775796264396933</v>
      </c>
      <c r="D100" s="14"/>
      <c r="E100" s="14"/>
      <c r="F100" s="14"/>
    </row>
    <row r="101" spans="1:7" x14ac:dyDescent="0.25">
      <c r="B101" s="8">
        <f t="shared" si="28"/>
        <v>98.149999999999977</v>
      </c>
      <c r="C101" s="12">
        <v>5.0663694396595398</v>
      </c>
      <c r="D101" s="14"/>
      <c r="E101" s="14"/>
      <c r="F101" s="14"/>
    </row>
    <row r="102" spans="1:7" x14ac:dyDescent="0.25">
      <c r="B102" s="8">
        <f t="shared" si="28"/>
        <v>98.149999999999977</v>
      </c>
      <c r="C102" s="12">
        <v>6.7551592528793867</v>
      </c>
      <c r="D102" s="14">
        <f t="shared" si="29"/>
        <v>0.99439999999999995</v>
      </c>
      <c r="E102" s="14">
        <v>5.6000000000000008E-3</v>
      </c>
      <c r="F102" s="14"/>
    </row>
    <row r="103" spans="1:7" x14ac:dyDescent="0.25">
      <c r="B103" s="8">
        <f t="shared" si="28"/>
        <v>98.149999999999977</v>
      </c>
      <c r="C103" s="12">
        <v>10.13273887931908</v>
      </c>
      <c r="D103" s="14">
        <f t="shared" si="29"/>
        <v>0.99260000000000004</v>
      </c>
      <c r="E103" s="14">
        <v>7.4000000000000003E-3</v>
      </c>
      <c r="F103" s="14"/>
    </row>
    <row r="104" spans="1:7" x14ac:dyDescent="0.25">
      <c r="B104" s="8">
        <f t="shared" si="28"/>
        <v>98.149999999999977</v>
      </c>
      <c r="C104" s="12">
        <v>13.510318505758773</v>
      </c>
      <c r="D104" s="14"/>
      <c r="E104" s="14"/>
      <c r="F104" s="14"/>
    </row>
    <row r="105" spans="1:7" x14ac:dyDescent="0.25">
      <c r="B105" s="8">
        <f t="shared" si="28"/>
        <v>98.149999999999977</v>
      </c>
      <c r="C105" s="12">
        <v>15.19910831897862</v>
      </c>
      <c r="D105" s="14">
        <f t="shared" si="29"/>
        <v>0.98919999999999997</v>
      </c>
      <c r="E105" s="14">
        <v>1.0800000000000001E-2</v>
      </c>
      <c r="F105" s="14"/>
    </row>
    <row r="106" spans="1:7" x14ac:dyDescent="0.25">
      <c r="B106" s="8">
        <f t="shared" si="28"/>
        <v>98.149999999999977</v>
      </c>
      <c r="C106" s="12">
        <v>16.887898132198465</v>
      </c>
      <c r="D106" s="14"/>
      <c r="E106" s="14"/>
      <c r="F106" s="14"/>
    </row>
    <row r="107" spans="1:7" x14ac:dyDescent="0.25">
      <c r="B107" s="8">
        <f t="shared" si="28"/>
        <v>98.149999999999977</v>
      </c>
      <c r="C107" s="12">
        <v>20.265477758638159</v>
      </c>
      <c r="D107" s="14">
        <f t="shared" si="29"/>
        <v>0.98660000000000003</v>
      </c>
      <c r="E107" s="14">
        <v>1.34E-2</v>
      </c>
      <c r="F107" s="14"/>
    </row>
    <row r="108" spans="1:7" x14ac:dyDescent="0.25">
      <c r="B108" s="8">
        <f>-160+273.15</f>
        <v>113.14999999999998</v>
      </c>
      <c r="C108" s="12">
        <v>1.6887898132198467</v>
      </c>
      <c r="D108" s="14"/>
      <c r="E108" s="14"/>
      <c r="F108" s="14"/>
    </row>
    <row r="109" spans="1:7" x14ac:dyDescent="0.25">
      <c r="B109" s="8">
        <f t="shared" ref="B109:B117" si="30">-160+273.15</f>
        <v>113.14999999999998</v>
      </c>
      <c r="C109" s="12">
        <v>2.0265477758638162</v>
      </c>
      <c r="D109" s="14">
        <f t="shared" si="29"/>
        <v>0.99729999999999996</v>
      </c>
      <c r="E109" s="14">
        <v>2.7000000000000001E-3</v>
      </c>
      <c r="F109" s="14"/>
    </row>
    <row r="110" spans="1:7" x14ac:dyDescent="0.25">
      <c r="B110" s="8">
        <f t="shared" si="30"/>
        <v>113.14999999999998</v>
      </c>
      <c r="C110" s="12">
        <v>3.3775796264396933</v>
      </c>
      <c r="D110" s="14"/>
      <c r="E110" s="14"/>
      <c r="F110" s="14"/>
    </row>
    <row r="111" spans="1:7" x14ac:dyDescent="0.25">
      <c r="B111" s="8">
        <f t="shared" si="30"/>
        <v>113.14999999999998</v>
      </c>
      <c r="C111" s="12">
        <v>6.7551592528793867</v>
      </c>
      <c r="D111" s="14">
        <f t="shared" si="29"/>
        <v>0.99070000000000003</v>
      </c>
      <c r="E111" s="14">
        <v>9.300000000000001E-3</v>
      </c>
      <c r="F111" s="14"/>
    </row>
    <row r="112" spans="1:7" x14ac:dyDescent="0.25">
      <c r="B112" s="8">
        <f t="shared" si="30"/>
        <v>113.14999999999998</v>
      </c>
      <c r="C112" s="12">
        <v>10.13273887931908</v>
      </c>
      <c r="D112" s="14"/>
      <c r="E112" s="14"/>
      <c r="F112" s="14"/>
    </row>
    <row r="113" spans="2:6" x14ac:dyDescent="0.25">
      <c r="B113" s="8">
        <f t="shared" si="30"/>
        <v>113.14999999999998</v>
      </c>
      <c r="C113" s="12">
        <v>11.483770729894957</v>
      </c>
      <c r="D113" s="14">
        <f t="shared" si="29"/>
        <v>0.98529999999999995</v>
      </c>
      <c r="E113" s="14">
        <v>1.47E-2</v>
      </c>
      <c r="F113" s="14"/>
    </row>
    <row r="114" spans="2:6" x14ac:dyDescent="0.25">
      <c r="B114" s="8">
        <f t="shared" si="30"/>
        <v>113.14999999999998</v>
      </c>
      <c r="C114" s="12">
        <v>13.510318505758773</v>
      </c>
      <c r="D114" s="14"/>
      <c r="E114" s="14"/>
      <c r="F114" s="14"/>
    </row>
    <row r="115" spans="2:6" x14ac:dyDescent="0.25">
      <c r="B115" s="8">
        <f t="shared" si="30"/>
        <v>113.14999999999998</v>
      </c>
      <c r="C115" s="12">
        <v>16.887898132198465</v>
      </c>
      <c r="D115" s="14"/>
      <c r="E115" s="14"/>
      <c r="F115" s="14"/>
    </row>
    <row r="116" spans="2:6" x14ac:dyDescent="0.25">
      <c r="B116" s="8">
        <f t="shared" si="30"/>
        <v>113.14999999999998</v>
      </c>
      <c r="C116" s="12">
        <v>17.563414057486405</v>
      </c>
      <c r="D116" s="14">
        <f t="shared" si="29"/>
        <v>0.97860000000000003</v>
      </c>
      <c r="E116" s="14">
        <v>2.1400000000000002E-2</v>
      </c>
      <c r="F116" s="14"/>
    </row>
    <row r="117" spans="2:6" x14ac:dyDescent="0.25">
      <c r="B117" s="8">
        <f t="shared" si="30"/>
        <v>113.14999999999998</v>
      </c>
      <c r="C117" s="12">
        <v>20.265477758638159</v>
      </c>
      <c r="D117" s="14"/>
      <c r="E117" s="14"/>
      <c r="F117" s="14"/>
    </row>
    <row r="118" spans="2:6" x14ac:dyDescent="0.25">
      <c r="B118" s="8">
        <f>-150+273.15</f>
        <v>123.14999999999998</v>
      </c>
      <c r="C118" s="12">
        <v>1.6887898132198467</v>
      </c>
      <c r="D118" s="14">
        <f t="shared" si="29"/>
        <v>0.99690000000000001</v>
      </c>
      <c r="E118" s="14">
        <v>3.0999999999999999E-3</v>
      </c>
      <c r="F118" s="14"/>
    </row>
    <row r="119" spans="2:6" x14ac:dyDescent="0.25">
      <c r="B119" s="8">
        <f t="shared" ref="B119:B125" si="31">-150+273.15</f>
        <v>123.14999999999998</v>
      </c>
      <c r="C119" s="12">
        <v>2.0265477758638162</v>
      </c>
      <c r="D119" s="14"/>
      <c r="E119" s="14"/>
      <c r="F119" s="14"/>
    </row>
    <row r="120" spans="2:6" x14ac:dyDescent="0.25">
      <c r="B120" s="8">
        <f t="shared" si="31"/>
        <v>123.14999999999998</v>
      </c>
      <c r="C120" s="12">
        <v>3.3775796264396933</v>
      </c>
      <c r="D120" s="14"/>
      <c r="E120" s="14"/>
      <c r="F120" s="14"/>
    </row>
    <row r="121" spans="2:6" x14ac:dyDescent="0.25">
      <c r="B121" s="8">
        <f t="shared" si="31"/>
        <v>123.14999999999998</v>
      </c>
      <c r="C121" s="12">
        <v>6.7551592528793867</v>
      </c>
      <c r="D121" s="14">
        <f t="shared" si="29"/>
        <v>0.98899999999999999</v>
      </c>
      <c r="E121" s="14">
        <v>1.1000000000000001E-2</v>
      </c>
      <c r="F121" s="14"/>
    </row>
    <row r="122" spans="2:6" x14ac:dyDescent="0.25">
      <c r="B122" s="8">
        <f t="shared" si="31"/>
        <v>123.14999999999998</v>
      </c>
      <c r="C122" s="12">
        <v>10.13273887931908</v>
      </c>
      <c r="D122" s="14"/>
      <c r="E122" s="14"/>
      <c r="F122" s="14"/>
    </row>
    <row r="123" spans="2:6" x14ac:dyDescent="0.25">
      <c r="B123" s="8">
        <f t="shared" si="31"/>
        <v>123.14999999999998</v>
      </c>
      <c r="C123" s="12">
        <v>13.510318505758773</v>
      </c>
      <c r="D123" s="14">
        <f t="shared" si="29"/>
        <v>0.97929999999999995</v>
      </c>
      <c r="E123" s="14">
        <v>2.07E-2</v>
      </c>
      <c r="F123" s="14"/>
    </row>
    <row r="124" spans="2:6" x14ac:dyDescent="0.25">
      <c r="B124" s="8">
        <f t="shared" si="31"/>
        <v>123.14999999999998</v>
      </c>
      <c r="C124" s="12">
        <v>16.887898132198465</v>
      </c>
      <c r="D124" s="14">
        <f t="shared" si="29"/>
        <v>0.9758</v>
      </c>
      <c r="E124" s="14">
        <v>2.4199999999999999E-2</v>
      </c>
      <c r="F124" s="14"/>
    </row>
    <row r="125" spans="2:6" x14ac:dyDescent="0.25">
      <c r="B125" s="8">
        <f t="shared" si="31"/>
        <v>123.14999999999998</v>
      </c>
      <c r="C125" s="12">
        <v>20.265477758638159</v>
      </c>
      <c r="D125" s="14">
        <f t="shared" si="29"/>
        <v>0.97189999999999999</v>
      </c>
      <c r="E125" s="14">
        <v>2.81E-2</v>
      </c>
      <c r="F125" s="14"/>
    </row>
    <row r="126" spans="2:6" x14ac:dyDescent="0.25">
      <c r="B126" s="8">
        <f>-125+273.15</f>
        <v>148.14999999999998</v>
      </c>
      <c r="C126" s="12">
        <v>1.0132738879319081</v>
      </c>
      <c r="D126" s="14">
        <f t="shared" si="29"/>
        <v>0.99750000000000005</v>
      </c>
      <c r="E126" s="14">
        <v>2.5000000000000001E-3</v>
      </c>
      <c r="F126" s="14"/>
    </row>
    <row r="127" spans="2:6" x14ac:dyDescent="0.25">
      <c r="B127" s="8">
        <f t="shared" ref="B127:B141" si="32">-125+273.15</f>
        <v>148.14999999999998</v>
      </c>
      <c r="C127" s="12">
        <v>1.6887898132198467</v>
      </c>
      <c r="D127" s="14"/>
      <c r="E127" s="14"/>
      <c r="F127" s="14"/>
    </row>
    <row r="128" spans="2:6" x14ac:dyDescent="0.25">
      <c r="B128" s="8">
        <f t="shared" si="32"/>
        <v>148.14999999999998</v>
      </c>
      <c r="C128" s="12">
        <v>2.0265477758638162</v>
      </c>
      <c r="D128" s="14">
        <f t="shared" si="29"/>
        <v>0.99480000000000002</v>
      </c>
      <c r="E128" s="14">
        <v>5.1999999999999998E-3</v>
      </c>
      <c r="F128" s="14"/>
    </row>
    <row r="129" spans="2:7" x14ac:dyDescent="0.25">
      <c r="B129" s="8">
        <f t="shared" si="32"/>
        <v>148.14999999999998</v>
      </c>
      <c r="C129" s="12">
        <v>2.7020637011517548</v>
      </c>
      <c r="D129" s="14"/>
      <c r="E129" s="14"/>
      <c r="F129" s="14"/>
    </row>
    <row r="130" spans="2:7" x14ac:dyDescent="0.25">
      <c r="B130" s="8">
        <f t="shared" si="32"/>
        <v>148.14999999999998</v>
      </c>
      <c r="C130" s="12">
        <v>3.3775796264396933</v>
      </c>
      <c r="D130" s="14"/>
      <c r="E130" s="14"/>
      <c r="F130" s="14"/>
    </row>
    <row r="131" spans="2:7" x14ac:dyDescent="0.25">
      <c r="B131" s="8">
        <f t="shared" si="32"/>
        <v>148.14999999999998</v>
      </c>
      <c r="C131" s="12">
        <v>4.0530955517276324</v>
      </c>
      <c r="D131" s="14">
        <f t="shared" si="29"/>
        <v>0.98939999999999995</v>
      </c>
      <c r="E131" s="14">
        <v>1.06E-2</v>
      </c>
      <c r="F131" s="14"/>
    </row>
    <row r="132" spans="2:7" x14ac:dyDescent="0.25">
      <c r="B132" s="8">
        <f t="shared" si="32"/>
        <v>148.14999999999998</v>
      </c>
      <c r="C132" s="12">
        <v>6.0796433275914481</v>
      </c>
      <c r="D132" s="14">
        <f t="shared" si="29"/>
        <v>0.98460000000000003</v>
      </c>
      <c r="E132" s="14">
        <v>1.54E-2</v>
      </c>
      <c r="F132" s="14"/>
    </row>
    <row r="133" spans="2:7" x14ac:dyDescent="0.25">
      <c r="B133" s="8">
        <f t="shared" si="32"/>
        <v>148.14999999999998</v>
      </c>
      <c r="C133" s="12">
        <v>6.7551592528793867</v>
      </c>
      <c r="D133" s="14"/>
      <c r="E133" s="14"/>
      <c r="F133" s="14"/>
    </row>
    <row r="134" spans="2:7" x14ac:dyDescent="0.25">
      <c r="B134" s="8">
        <f t="shared" si="32"/>
        <v>148.14999999999998</v>
      </c>
      <c r="C134" s="12">
        <v>8.7817070287432024</v>
      </c>
      <c r="D134" s="14">
        <f t="shared" si="29"/>
        <v>0.97819999999999996</v>
      </c>
      <c r="E134" s="14">
        <v>2.18E-2</v>
      </c>
      <c r="F134" s="14"/>
    </row>
    <row r="135" spans="2:7" x14ac:dyDescent="0.25">
      <c r="B135" s="8">
        <f t="shared" si="32"/>
        <v>148.14999999999998</v>
      </c>
      <c r="C135" s="12">
        <v>10.13273887931908</v>
      </c>
      <c r="D135" s="14"/>
      <c r="E135" s="14"/>
      <c r="F135" s="14"/>
    </row>
    <row r="136" spans="2:7" x14ac:dyDescent="0.25">
      <c r="B136" s="8">
        <f t="shared" si="32"/>
        <v>148.14999999999998</v>
      </c>
      <c r="C136" s="12">
        <v>11.483770729894957</v>
      </c>
      <c r="D136" s="14">
        <f t="shared" si="29"/>
        <v>0.97260000000000002</v>
      </c>
      <c r="E136" s="14">
        <v>2.7400000000000001E-2</v>
      </c>
      <c r="F136" s="14"/>
    </row>
    <row r="137" spans="2:7" x14ac:dyDescent="0.25">
      <c r="B137" s="8">
        <f t="shared" si="32"/>
        <v>148.14999999999998</v>
      </c>
      <c r="C137" s="12">
        <v>13.510318505758773</v>
      </c>
      <c r="D137" s="14"/>
      <c r="E137" s="14"/>
      <c r="F137" s="14"/>
    </row>
    <row r="138" spans="2:7" x14ac:dyDescent="0.25">
      <c r="B138" s="8">
        <f t="shared" si="32"/>
        <v>148.14999999999998</v>
      </c>
      <c r="C138" s="12">
        <v>14.185834431046713</v>
      </c>
      <c r="D138" s="14">
        <f t="shared" si="29"/>
        <v>0.96709999999999996</v>
      </c>
      <c r="E138" s="14">
        <v>3.2899999999999999E-2</v>
      </c>
      <c r="F138" s="14"/>
    </row>
    <row r="139" spans="2:7" x14ac:dyDescent="0.25">
      <c r="B139" s="8">
        <f t="shared" si="32"/>
        <v>148.14999999999998</v>
      </c>
      <c r="C139" s="12">
        <v>16.887898132198465</v>
      </c>
      <c r="D139" s="14"/>
      <c r="E139" s="14"/>
      <c r="F139" s="14"/>
    </row>
    <row r="140" spans="2:7" x14ac:dyDescent="0.25">
      <c r="B140" s="8">
        <f t="shared" si="32"/>
        <v>148.14999999999998</v>
      </c>
      <c r="C140" s="12">
        <v>18.914445908062284</v>
      </c>
      <c r="D140" s="14">
        <f t="shared" si="29"/>
        <v>0.95569999999999999</v>
      </c>
      <c r="E140" s="14">
        <v>4.4299999999999999E-2</v>
      </c>
      <c r="F140" s="14"/>
    </row>
    <row r="141" spans="2:7" x14ac:dyDescent="0.25">
      <c r="B141" s="8">
        <f t="shared" si="32"/>
        <v>148.14999999999998</v>
      </c>
      <c r="C141" s="12">
        <v>20.265477758638159</v>
      </c>
      <c r="D141" s="14">
        <f t="shared" si="29"/>
        <v>0.95269999999999999</v>
      </c>
      <c r="E141" s="14">
        <v>4.7300000000000002E-2</v>
      </c>
      <c r="F141" s="14"/>
    </row>
    <row r="142" spans="2:7" x14ac:dyDescent="0.25">
      <c r="B142" s="8">
        <f>-100+273.15</f>
        <v>173.14999999999998</v>
      </c>
      <c r="C142" s="12">
        <v>1.6887898132198467</v>
      </c>
      <c r="D142" s="14">
        <f t="shared" si="29"/>
        <v>0.99390000000000001</v>
      </c>
      <c r="E142" s="14">
        <v>6.0999999999999995E-3</v>
      </c>
      <c r="F142" s="14">
        <v>2.1700000000000001E-3</v>
      </c>
      <c r="G142" s="8">
        <f>1-F142</f>
        <v>0.99782999999999999</v>
      </c>
    </row>
    <row r="143" spans="2:7" x14ac:dyDescent="0.25">
      <c r="B143" s="8">
        <f t="shared" ref="B143:B151" si="33">-100+273.15</f>
        <v>173.14999999999998</v>
      </c>
      <c r="C143" s="12">
        <v>2.0265477758638162</v>
      </c>
      <c r="D143" s="14">
        <f t="shared" si="29"/>
        <v>0.99229999999999996</v>
      </c>
      <c r="E143" s="14">
        <v>7.7000000000000002E-3</v>
      </c>
      <c r="F143" s="14">
        <v>1.8799999999999999E-3</v>
      </c>
      <c r="G143" s="8">
        <f t="shared" ref="G143:G205" si="34">1-F143</f>
        <v>0.99812000000000001</v>
      </c>
    </row>
    <row r="144" spans="2:7" x14ac:dyDescent="0.25">
      <c r="B144" s="8">
        <f t="shared" si="33"/>
        <v>173.14999999999998</v>
      </c>
      <c r="C144" s="12">
        <v>3.3775796264396933</v>
      </c>
      <c r="D144" s="14">
        <f t="shared" si="29"/>
        <v>0.9879</v>
      </c>
      <c r="E144" s="14">
        <v>1.21E-2</v>
      </c>
      <c r="F144" s="14">
        <v>1.3500000000000001E-3</v>
      </c>
      <c r="G144" s="8">
        <f t="shared" si="34"/>
        <v>0.99865000000000004</v>
      </c>
    </row>
    <row r="145" spans="2:7" x14ac:dyDescent="0.25">
      <c r="B145" s="8">
        <f t="shared" si="33"/>
        <v>173.14999999999998</v>
      </c>
      <c r="C145" s="12">
        <v>6.7551592528793867</v>
      </c>
      <c r="D145" s="14">
        <f t="shared" si="29"/>
        <v>0.97589999999999999</v>
      </c>
      <c r="E145" s="14">
        <v>2.41E-2</v>
      </c>
      <c r="F145" s="14">
        <v>1.01E-3</v>
      </c>
      <c r="G145" s="8">
        <f t="shared" si="34"/>
        <v>0.99899000000000004</v>
      </c>
    </row>
    <row r="146" spans="2:7" x14ac:dyDescent="0.25">
      <c r="B146" s="8">
        <f t="shared" si="33"/>
        <v>173.14999999999998</v>
      </c>
      <c r="C146" s="12">
        <v>10.13273887931908</v>
      </c>
      <c r="D146" s="14"/>
      <c r="E146" s="14"/>
      <c r="F146" s="14"/>
    </row>
    <row r="147" spans="2:7" x14ac:dyDescent="0.25">
      <c r="B147" s="8">
        <f t="shared" si="33"/>
        <v>173.14999999999998</v>
      </c>
      <c r="C147" s="12">
        <v>13.510318505758773</v>
      </c>
      <c r="D147" s="14">
        <f t="shared" si="29"/>
        <v>0.95589999999999997</v>
      </c>
      <c r="E147" s="14">
        <v>4.41E-2</v>
      </c>
      <c r="F147" s="14">
        <v>9.8999999999999999E-4</v>
      </c>
      <c r="G147" s="8">
        <f t="shared" si="34"/>
        <v>0.99900999999999995</v>
      </c>
    </row>
    <row r="148" spans="2:7" x14ac:dyDescent="0.25">
      <c r="B148" s="8">
        <f t="shared" si="33"/>
        <v>173.14999999999998</v>
      </c>
      <c r="C148" s="12">
        <v>16.887898132198465</v>
      </c>
      <c r="D148" s="14">
        <f t="shared" si="29"/>
        <v>0.94550000000000001</v>
      </c>
      <c r="E148" s="14">
        <v>5.45E-2</v>
      </c>
      <c r="F148" s="14"/>
    </row>
    <row r="149" spans="2:7" x14ac:dyDescent="0.25">
      <c r="B149" s="8">
        <f t="shared" si="33"/>
        <v>173.14999999999998</v>
      </c>
      <c r="C149" s="12">
        <v>17.563414057486405</v>
      </c>
      <c r="D149" s="14"/>
      <c r="E149" s="14"/>
      <c r="F149" s="14">
        <v>1.1200000000000001E-3</v>
      </c>
      <c r="G149" s="8">
        <f t="shared" si="34"/>
        <v>0.99887999999999999</v>
      </c>
    </row>
    <row r="150" spans="2:7" x14ac:dyDescent="0.25">
      <c r="B150" s="8">
        <f t="shared" si="33"/>
        <v>173.14999999999998</v>
      </c>
      <c r="C150" s="12">
        <v>19.589961833350223</v>
      </c>
      <c r="D150" s="14">
        <f t="shared" si="29"/>
        <v>0.93820000000000003</v>
      </c>
      <c r="E150" s="14">
        <v>6.1799999999999994E-2</v>
      </c>
      <c r="F150" s="14">
        <v>1.16E-3</v>
      </c>
      <c r="G150" s="8">
        <f t="shared" si="34"/>
        <v>0.99883999999999995</v>
      </c>
    </row>
    <row r="151" spans="2:7" x14ac:dyDescent="0.25">
      <c r="B151" s="8">
        <f t="shared" si="33"/>
        <v>173.14999999999998</v>
      </c>
      <c r="C151" s="12">
        <v>20.265477758638159</v>
      </c>
      <c r="D151" s="14">
        <f t="shared" si="29"/>
        <v>0.9355</v>
      </c>
      <c r="E151" s="14">
        <v>6.4500000000000002E-2</v>
      </c>
      <c r="F151" s="14">
        <v>1.1999999999999999E-3</v>
      </c>
      <c r="G151" s="8">
        <f t="shared" si="34"/>
        <v>0.99880000000000002</v>
      </c>
    </row>
    <row r="152" spans="2:7" x14ac:dyDescent="0.25">
      <c r="B152" s="8">
        <f>-75+273.15</f>
        <v>198.14999999999998</v>
      </c>
      <c r="C152" s="12">
        <v>1.6887898132198467</v>
      </c>
      <c r="D152" s="14"/>
      <c r="E152" s="14"/>
      <c r="F152" s="14">
        <v>1.2880000000000001E-2</v>
      </c>
      <c r="G152" s="8">
        <f t="shared" si="34"/>
        <v>0.98712</v>
      </c>
    </row>
    <row r="153" spans="2:7" x14ac:dyDescent="0.25">
      <c r="B153" s="8">
        <f t="shared" ref="B153:B163" si="35">-75+273.15</f>
        <v>198.14999999999998</v>
      </c>
      <c r="C153" s="12">
        <v>1.8238929982774343</v>
      </c>
      <c r="D153" s="14">
        <f t="shared" si="29"/>
        <v>0.99092000000000002</v>
      </c>
      <c r="E153" s="14">
        <v>9.0799999999999995E-3</v>
      </c>
      <c r="F153" s="14"/>
    </row>
    <row r="154" spans="2:7" x14ac:dyDescent="0.25">
      <c r="B154" s="8">
        <f t="shared" si="35"/>
        <v>198.14999999999998</v>
      </c>
      <c r="C154" s="12">
        <v>3.3775796264396933</v>
      </c>
      <c r="D154" s="14">
        <f t="shared" si="29"/>
        <v>0.98341000000000001</v>
      </c>
      <c r="E154" s="14">
        <v>1.6590000000000001E-2</v>
      </c>
      <c r="F154" s="14">
        <v>6.9999999999999993E-3</v>
      </c>
      <c r="G154" s="8">
        <f t="shared" si="34"/>
        <v>0.99299999999999999</v>
      </c>
    </row>
    <row r="155" spans="2:7" x14ac:dyDescent="0.25">
      <c r="B155" s="8">
        <f t="shared" si="35"/>
        <v>198.14999999999998</v>
      </c>
      <c r="C155" s="12">
        <v>5.0663694396595398</v>
      </c>
      <c r="D155" s="14"/>
      <c r="E155" s="14"/>
      <c r="F155" s="14"/>
    </row>
    <row r="156" spans="2:7" x14ac:dyDescent="0.25">
      <c r="B156" s="8">
        <f t="shared" si="35"/>
        <v>198.14999999999998</v>
      </c>
      <c r="C156" s="12">
        <v>6.7551592528793867</v>
      </c>
      <c r="D156" s="14">
        <f t="shared" si="29"/>
        <v>0.96840999999999999</v>
      </c>
      <c r="E156" s="14">
        <v>3.159E-2</v>
      </c>
      <c r="F156" s="14">
        <v>4.6999999999999993E-3</v>
      </c>
      <c r="G156" s="8">
        <f t="shared" si="34"/>
        <v>0.99529999999999996</v>
      </c>
    </row>
    <row r="157" spans="2:7" x14ac:dyDescent="0.25">
      <c r="B157" s="8">
        <f t="shared" si="35"/>
        <v>198.14999999999998</v>
      </c>
      <c r="C157" s="12">
        <v>8.4439490660992327</v>
      </c>
      <c r="D157" s="14"/>
      <c r="E157" s="14"/>
      <c r="F157" s="14"/>
    </row>
    <row r="158" spans="2:7" x14ac:dyDescent="0.25">
      <c r="B158" s="8">
        <f t="shared" si="35"/>
        <v>198.14999999999998</v>
      </c>
      <c r="C158" s="12">
        <v>10.13273887931908</v>
      </c>
      <c r="D158" s="14"/>
      <c r="E158" s="14"/>
      <c r="F158" s="14">
        <v>4.1900000000000001E-3</v>
      </c>
      <c r="G158" s="8">
        <f t="shared" si="34"/>
        <v>0.99580999999999997</v>
      </c>
    </row>
    <row r="159" spans="2:7" x14ac:dyDescent="0.25">
      <c r="B159" s="8">
        <f t="shared" si="35"/>
        <v>198.14999999999998</v>
      </c>
      <c r="C159" s="12">
        <v>13.510318505758773</v>
      </c>
      <c r="D159" s="14"/>
      <c r="E159" s="14"/>
      <c r="F159" s="14">
        <v>3.98E-3</v>
      </c>
      <c r="G159" s="8">
        <f t="shared" si="34"/>
        <v>0.99602000000000002</v>
      </c>
    </row>
    <row r="160" spans="2:7" x14ac:dyDescent="0.25">
      <c r="B160" s="8">
        <f t="shared" si="35"/>
        <v>198.14999999999998</v>
      </c>
      <c r="C160" s="12">
        <v>15.19910831897862</v>
      </c>
      <c r="D160" s="14"/>
      <c r="E160" s="14"/>
      <c r="F160" s="14"/>
    </row>
    <row r="161" spans="2:7" x14ac:dyDescent="0.25">
      <c r="B161" s="8">
        <f t="shared" si="35"/>
        <v>198.14999999999998</v>
      </c>
      <c r="C161" s="12">
        <v>16.887898132198465</v>
      </c>
      <c r="D161" s="14">
        <f t="shared" si="29"/>
        <v>0.92779999999999996</v>
      </c>
      <c r="E161" s="14">
        <v>7.22E-2</v>
      </c>
      <c r="F161" s="14">
        <v>4.0799999999999994E-3</v>
      </c>
      <c r="G161" s="8">
        <f t="shared" si="34"/>
        <v>0.99592000000000003</v>
      </c>
    </row>
    <row r="162" spans="2:7" x14ac:dyDescent="0.25">
      <c r="B162" s="8">
        <f t="shared" si="35"/>
        <v>198.14999999999998</v>
      </c>
      <c r="C162" s="12">
        <v>18.238929982774344</v>
      </c>
      <c r="D162" s="14"/>
      <c r="E162" s="14"/>
      <c r="F162" s="14"/>
    </row>
    <row r="163" spans="2:7" x14ac:dyDescent="0.25">
      <c r="B163" s="8">
        <f t="shared" si="35"/>
        <v>198.14999999999998</v>
      </c>
      <c r="C163" s="12">
        <v>20.265477758638159</v>
      </c>
      <c r="D163" s="14">
        <f t="shared" ref="D163:D226" si="36">1-E163</f>
        <v>0.91532000000000002</v>
      </c>
      <c r="E163" s="14">
        <v>8.4680000000000005E-2</v>
      </c>
      <c r="F163" s="14">
        <v>4.3E-3</v>
      </c>
      <c r="G163" s="8">
        <f t="shared" si="34"/>
        <v>0.99570000000000003</v>
      </c>
    </row>
    <row r="164" spans="2:7" x14ac:dyDescent="0.25">
      <c r="B164" s="8">
        <f>-50+273.15</f>
        <v>223.14999999999998</v>
      </c>
      <c r="C164" s="12">
        <v>1.3510318505758774</v>
      </c>
      <c r="D164" s="14">
        <f t="shared" si="36"/>
        <v>0.99222999999999995</v>
      </c>
      <c r="E164" s="14">
        <v>7.77E-3</v>
      </c>
      <c r="F164" s="14">
        <v>4.3799999999999999E-2</v>
      </c>
      <c r="G164" s="8">
        <f t="shared" si="34"/>
        <v>0.95620000000000005</v>
      </c>
    </row>
    <row r="165" spans="2:7" x14ac:dyDescent="0.25">
      <c r="B165" s="8">
        <f t="shared" ref="B165:B173" si="37">-50+273.15</f>
        <v>223.14999999999998</v>
      </c>
      <c r="C165" s="12">
        <v>1.6887898132198467</v>
      </c>
      <c r="D165" s="14"/>
      <c r="E165" s="14"/>
      <c r="F165" s="14"/>
    </row>
    <row r="166" spans="2:7" x14ac:dyDescent="0.25">
      <c r="B166" s="8">
        <f t="shared" si="37"/>
        <v>223.14999999999998</v>
      </c>
      <c r="C166" s="12">
        <v>3.3775796264396933</v>
      </c>
      <c r="D166" s="14">
        <f t="shared" si="36"/>
        <v>0.97953000000000001</v>
      </c>
      <c r="E166" s="14">
        <v>2.0470000000000002E-2</v>
      </c>
      <c r="F166" s="14">
        <v>2.5779999999999997E-2</v>
      </c>
      <c r="G166" s="8">
        <f t="shared" si="34"/>
        <v>0.97421999999999997</v>
      </c>
    </row>
    <row r="167" spans="2:7" x14ac:dyDescent="0.25">
      <c r="B167" s="8">
        <f t="shared" si="37"/>
        <v>223.14999999999998</v>
      </c>
      <c r="C167" s="12">
        <v>5.0663694396595398</v>
      </c>
      <c r="D167" s="14">
        <f t="shared" si="36"/>
        <v>0.97048000000000001</v>
      </c>
      <c r="E167" s="14">
        <v>2.9520000000000001E-2</v>
      </c>
      <c r="F167" s="14">
        <v>1.873E-2</v>
      </c>
      <c r="G167" s="8">
        <f>1-F167</f>
        <v>0.98126999999999998</v>
      </c>
    </row>
    <row r="168" spans="2:7" x14ac:dyDescent="0.25">
      <c r="B168" s="8">
        <f t="shared" si="37"/>
        <v>223.14999999999998</v>
      </c>
      <c r="C168" s="12">
        <v>6.7551592528793867</v>
      </c>
      <c r="D168" s="14">
        <f t="shared" si="36"/>
        <v>0.96040000000000003</v>
      </c>
      <c r="E168" s="14">
        <v>3.9599999999999996E-2</v>
      </c>
      <c r="F168" s="14">
        <v>1.4150000000000001E-2</v>
      </c>
      <c r="G168" s="8">
        <f t="shared" si="34"/>
        <v>0.98585</v>
      </c>
    </row>
    <row r="169" spans="2:7" x14ac:dyDescent="0.25">
      <c r="B169" s="8">
        <f t="shared" si="37"/>
        <v>223.14999999999998</v>
      </c>
      <c r="C169" s="12">
        <v>10.13273887931908</v>
      </c>
      <c r="D169" s="14">
        <f t="shared" si="36"/>
        <v>0.94238999999999995</v>
      </c>
      <c r="E169" s="14">
        <v>5.7610000000000001E-2</v>
      </c>
      <c r="F169" s="14"/>
    </row>
    <row r="170" spans="2:7" x14ac:dyDescent="0.25">
      <c r="B170" s="8">
        <f t="shared" si="37"/>
        <v>223.14999999999998</v>
      </c>
      <c r="C170" s="12">
        <v>13.510318505758773</v>
      </c>
      <c r="D170" s="14">
        <f t="shared" si="36"/>
        <v>0.92581999999999998</v>
      </c>
      <c r="E170" s="14">
        <v>7.4179999999999996E-2</v>
      </c>
      <c r="F170" s="14">
        <v>1.1080000000000001E-2</v>
      </c>
      <c r="G170" s="8">
        <f t="shared" si="34"/>
        <v>0.98892000000000002</v>
      </c>
    </row>
    <row r="171" spans="2:7" x14ac:dyDescent="0.25">
      <c r="B171" s="8">
        <f t="shared" si="37"/>
        <v>223.14999999999998</v>
      </c>
      <c r="C171" s="12">
        <v>15.19910831897862</v>
      </c>
      <c r="D171" s="14"/>
      <c r="E171" s="14"/>
      <c r="F171" s="14"/>
    </row>
    <row r="172" spans="2:7" x14ac:dyDescent="0.25">
      <c r="B172" s="8">
        <f t="shared" si="37"/>
        <v>223.14999999999998</v>
      </c>
      <c r="C172" s="12">
        <v>16.887898132198465</v>
      </c>
      <c r="D172" s="14">
        <f t="shared" si="36"/>
        <v>0.91131000000000006</v>
      </c>
      <c r="E172" s="14">
        <v>8.8689999999999991E-2</v>
      </c>
      <c r="F172" s="14">
        <v>9.3100000000000006E-3</v>
      </c>
      <c r="G172" s="8">
        <f t="shared" si="34"/>
        <v>0.99068999999999996</v>
      </c>
    </row>
    <row r="173" spans="2:7" x14ac:dyDescent="0.25">
      <c r="B173" s="8">
        <f t="shared" si="37"/>
        <v>223.14999999999998</v>
      </c>
      <c r="C173" s="12">
        <v>20.265477758638159</v>
      </c>
      <c r="D173" s="14">
        <f t="shared" si="36"/>
        <v>0.89249999999999996</v>
      </c>
      <c r="E173" s="14">
        <v>0.1075</v>
      </c>
      <c r="F173" s="14">
        <v>1.0360000000000001E-2</v>
      </c>
      <c r="G173" s="8">
        <f t="shared" si="34"/>
        <v>0.98963999999999996</v>
      </c>
    </row>
    <row r="174" spans="2:7" x14ac:dyDescent="0.25">
      <c r="B174" s="8">
        <f>-25+273.15</f>
        <v>248.14999999999998</v>
      </c>
      <c r="C174" s="12">
        <v>1.6887898132198467</v>
      </c>
      <c r="D174" s="14">
        <f t="shared" si="36"/>
        <v>0.98934999999999995</v>
      </c>
      <c r="E174" s="14">
        <v>1.065E-2</v>
      </c>
      <c r="F174" s="14">
        <v>4.3799999999999999E-2</v>
      </c>
      <c r="G174" s="8">
        <f t="shared" si="34"/>
        <v>0.95620000000000005</v>
      </c>
    </row>
    <row r="175" spans="2:7" x14ac:dyDescent="0.25">
      <c r="B175" s="8">
        <f t="shared" ref="B175:B183" si="38">-25+273.15</f>
        <v>248.14999999999998</v>
      </c>
      <c r="C175" s="12">
        <v>2.0265477758638162</v>
      </c>
      <c r="D175" s="14"/>
      <c r="E175" s="14"/>
      <c r="F175" s="14"/>
    </row>
    <row r="176" spans="2:7" x14ac:dyDescent="0.25">
      <c r="B176" s="8">
        <f t="shared" si="38"/>
        <v>248.14999999999998</v>
      </c>
      <c r="C176" s="12">
        <v>3.3775796264396933</v>
      </c>
      <c r="D176" s="14">
        <f t="shared" si="36"/>
        <v>0.97572999999999999</v>
      </c>
      <c r="E176" s="14">
        <v>2.427E-2</v>
      </c>
      <c r="F176" s="14">
        <v>2.5779999999999997E-2</v>
      </c>
      <c r="G176" s="8">
        <f t="shared" si="34"/>
        <v>0.97421999999999997</v>
      </c>
    </row>
    <row r="177" spans="2:7" x14ac:dyDescent="0.25">
      <c r="B177" s="8">
        <f t="shared" si="38"/>
        <v>248.14999999999998</v>
      </c>
      <c r="C177" s="12">
        <v>6.7551592528793867</v>
      </c>
      <c r="D177" s="14">
        <f t="shared" si="36"/>
        <v>0.95248999999999995</v>
      </c>
      <c r="E177" s="14">
        <v>4.7510000000000004E-2</v>
      </c>
      <c r="F177" s="14">
        <v>1.873E-2</v>
      </c>
      <c r="G177" s="8">
        <f t="shared" si="34"/>
        <v>0.98126999999999998</v>
      </c>
    </row>
    <row r="178" spans="2:7" x14ac:dyDescent="0.25">
      <c r="B178" s="8">
        <f t="shared" si="38"/>
        <v>248.14999999999998</v>
      </c>
      <c r="C178" s="12">
        <v>10.13273887931908</v>
      </c>
      <c r="D178" s="14"/>
      <c r="E178" s="14"/>
      <c r="F178" s="14">
        <v>1.4150000000000001E-2</v>
      </c>
      <c r="G178" s="8">
        <f t="shared" si="34"/>
        <v>0.98585</v>
      </c>
    </row>
    <row r="179" spans="2:7" x14ac:dyDescent="0.25">
      <c r="B179" s="8">
        <f t="shared" si="38"/>
        <v>248.14999999999998</v>
      </c>
      <c r="C179" s="12">
        <v>11.483770729894957</v>
      </c>
      <c r="D179" s="14"/>
      <c r="E179" s="14"/>
      <c r="F179" s="14"/>
    </row>
    <row r="180" spans="2:7" x14ac:dyDescent="0.25">
      <c r="B180" s="8">
        <f t="shared" si="38"/>
        <v>248.14999999999998</v>
      </c>
      <c r="C180" s="12">
        <v>13.510318505758773</v>
      </c>
      <c r="D180" s="14">
        <f t="shared" si="36"/>
        <v>0.90966000000000002</v>
      </c>
      <c r="E180" s="14">
        <v>9.0340000000000004E-2</v>
      </c>
      <c r="F180" s="14">
        <v>1.1080000000000001E-2</v>
      </c>
      <c r="G180" s="8">
        <f t="shared" si="34"/>
        <v>0.98892000000000002</v>
      </c>
    </row>
    <row r="181" spans="2:7" x14ac:dyDescent="0.25">
      <c r="B181" s="8">
        <f t="shared" si="38"/>
        <v>248.14999999999998</v>
      </c>
      <c r="C181" s="12">
        <v>16.887898132198465</v>
      </c>
      <c r="D181" s="14"/>
      <c r="E181" s="14"/>
      <c r="F181" s="14"/>
    </row>
    <row r="182" spans="2:7" x14ac:dyDescent="0.25">
      <c r="B182" s="8">
        <f t="shared" si="38"/>
        <v>248.14999999999998</v>
      </c>
      <c r="C182" s="12">
        <v>17.563414057486405</v>
      </c>
      <c r="D182" s="14"/>
      <c r="E182" s="14"/>
      <c r="F182" s="14">
        <v>9.3100000000000006E-3</v>
      </c>
      <c r="G182" s="8">
        <f t="shared" si="34"/>
        <v>0.99068999999999996</v>
      </c>
    </row>
    <row r="183" spans="2:7" x14ac:dyDescent="0.25">
      <c r="B183" s="8">
        <f t="shared" si="38"/>
        <v>248.14999999999998</v>
      </c>
      <c r="C183" s="12">
        <v>20.265477758638159</v>
      </c>
      <c r="D183" s="14">
        <f t="shared" si="36"/>
        <v>0.86599999999999999</v>
      </c>
      <c r="E183" s="14">
        <v>0.13400000000000001</v>
      </c>
      <c r="F183" s="14">
        <v>1.0360000000000001E-2</v>
      </c>
      <c r="G183" s="8">
        <f t="shared" si="34"/>
        <v>0.98963999999999996</v>
      </c>
    </row>
    <row r="184" spans="2:7" x14ac:dyDescent="0.25">
      <c r="B184" s="8">
        <f>0+273.15</f>
        <v>273.14999999999998</v>
      </c>
      <c r="C184" s="12">
        <v>1.6887898132198467</v>
      </c>
      <c r="D184" s="14"/>
      <c r="E184" s="14"/>
      <c r="F184" s="14"/>
    </row>
    <row r="185" spans="2:7" x14ac:dyDescent="0.25">
      <c r="B185" s="8">
        <f t="shared" ref="B185:B191" si="39">0+273.15</f>
        <v>273.14999999999998</v>
      </c>
      <c r="C185" s="12">
        <v>2.0265477758638162</v>
      </c>
      <c r="D185" s="14">
        <f t="shared" si="36"/>
        <v>0.98658000000000001</v>
      </c>
      <c r="E185" s="14">
        <v>1.3420000000000001E-2</v>
      </c>
      <c r="F185" s="14">
        <v>0.27550000000000002</v>
      </c>
      <c r="G185" s="8">
        <f t="shared" si="34"/>
        <v>0.72449999999999992</v>
      </c>
    </row>
    <row r="186" spans="2:7" x14ac:dyDescent="0.25">
      <c r="B186" s="8">
        <f t="shared" si="39"/>
        <v>273.14999999999998</v>
      </c>
      <c r="C186" s="12">
        <v>3.3775796264396933</v>
      </c>
      <c r="D186" s="14">
        <f t="shared" si="36"/>
        <v>0.97626999999999997</v>
      </c>
      <c r="E186" s="14">
        <v>2.3730000000000001E-2</v>
      </c>
      <c r="F186" s="14">
        <v>0.19370000000000001</v>
      </c>
      <c r="G186" s="8">
        <f t="shared" si="34"/>
        <v>0.80630000000000002</v>
      </c>
    </row>
    <row r="187" spans="2:7" x14ac:dyDescent="0.25">
      <c r="B187" s="8">
        <f t="shared" si="39"/>
        <v>273.14999999999998</v>
      </c>
      <c r="C187" s="12">
        <v>6.7551592528793867</v>
      </c>
      <c r="D187" s="14">
        <f t="shared" si="36"/>
        <v>0.94779999999999998</v>
      </c>
      <c r="E187" s="14">
        <v>5.2199999999999996E-2</v>
      </c>
      <c r="F187" s="14">
        <v>0.10300000000000001</v>
      </c>
      <c r="G187" s="8">
        <f t="shared" si="34"/>
        <v>0.89700000000000002</v>
      </c>
    </row>
    <row r="188" spans="2:7" x14ac:dyDescent="0.25">
      <c r="B188" s="8">
        <f t="shared" si="39"/>
        <v>273.14999999999998</v>
      </c>
      <c r="C188" s="12">
        <v>10.13273887931908</v>
      </c>
      <c r="D188" s="14">
        <f t="shared" si="36"/>
        <v>0.92276000000000002</v>
      </c>
      <c r="E188" s="14">
        <v>7.7240000000000003E-2</v>
      </c>
      <c r="F188" s="14">
        <v>8.0879999999999994E-2</v>
      </c>
      <c r="G188" s="8">
        <f t="shared" si="34"/>
        <v>0.91912000000000005</v>
      </c>
    </row>
    <row r="189" spans="2:7" x14ac:dyDescent="0.25">
      <c r="B189" s="8">
        <f t="shared" si="39"/>
        <v>273.14999999999998</v>
      </c>
      <c r="C189" s="12">
        <v>13.510318505758773</v>
      </c>
      <c r="D189" s="14">
        <f t="shared" si="36"/>
        <v>0.89080000000000004</v>
      </c>
      <c r="E189" s="14">
        <v>0.10920000000000001</v>
      </c>
      <c r="F189" s="14">
        <v>7.1599999999999997E-2</v>
      </c>
      <c r="G189" s="8">
        <f t="shared" si="34"/>
        <v>0.9284</v>
      </c>
    </row>
    <row r="190" spans="2:7" x14ac:dyDescent="0.25">
      <c r="B190" s="8">
        <f t="shared" si="39"/>
        <v>273.14999999999998</v>
      </c>
      <c r="C190" s="12">
        <v>16.887898132198465</v>
      </c>
      <c r="D190" s="14">
        <f t="shared" si="36"/>
        <v>0.86599999999999999</v>
      </c>
      <c r="E190" s="14">
        <v>0.13400000000000001</v>
      </c>
      <c r="F190" s="14">
        <v>6.8080000000000002E-2</v>
      </c>
      <c r="G190" s="8">
        <f t="shared" si="34"/>
        <v>0.93191999999999997</v>
      </c>
    </row>
    <row r="191" spans="2:7" x14ac:dyDescent="0.25">
      <c r="B191" s="8">
        <f t="shared" si="39"/>
        <v>273.14999999999998</v>
      </c>
      <c r="C191" s="12">
        <v>20.265477758638159</v>
      </c>
      <c r="D191" s="14">
        <f t="shared" si="36"/>
        <v>0.84140000000000004</v>
      </c>
      <c r="E191" s="14">
        <v>0.15859999999999999</v>
      </c>
      <c r="F191" s="14">
        <v>6.6559999999999994E-2</v>
      </c>
      <c r="G191" s="8">
        <f>1-F191</f>
        <v>0.93344000000000005</v>
      </c>
    </row>
    <row r="192" spans="2:7" x14ac:dyDescent="0.25">
      <c r="B192" s="8">
        <f>25+273.15</f>
        <v>298.14999999999998</v>
      </c>
      <c r="C192" s="12">
        <v>1.0132738879319081</v>
      </c>
      <c r="D192" s="14"/>
      <c r="E192" s="14"/>
      <c r="F192" s="14"/>
    </row>
    <row r="193" spans="2:7" x14ac:dyDescent="0.25">
      <c r="B193" s="8">
        <f t="shared" ref="B193:B207" si="40">25+273.15</f>
        <v>298.14999999999998</v>
      </c>
      <c r="C193" s="12">
        <v>1.6887898132198467</v>
      </c>
      <c r="D193" s="14">
        <f t="shared" si="36"/>
        <v>0.99116000000000004</v>
      </c>
      <c r="E193" s="14">
        <v>8.8400000000000006E-3</v>
      </c>
      <c r="F193" s="14"/>
    </row>
    <row r="194" spans="2:7" x14ac:dyDescent="0.25">
      <c r="B194" s="8">
        <f t="shared" si="40"/>
        <v>298.14999999999998</v>
      </c>
      <c r="C194" s="12">
        <v>2.0265477758638162</v>
      </c>
      <c r="D194" s="14"/>
      <c r="E194" s="14"/>
      <c r="F194" s="14"/>
    </row>
    <row r="195" spans="2:7" x14ac:dyDescent="0.25">
      <c r="B195" s="8">
        <f t="shared" si="40"/>
        <v>298.14999999999998</v>
      </c>
      <c r="C195" s="12">
        <v>2.7020637011517548</v>
      </c>
      <c r="D195" s="14"/>
      <c r="E195" s="14"/>
      <c r="F195" s="14">
        <v>0.42399999999999999</v>
      </c>
      <c r="G195" s="8">
        <f t="shared" si="34"/>
        <v>0.57600000000000007</v>
      </c>
    </row>
    <row r="196" spans="2:7" x14ac:dyDescent="0.25">
      <c r="B196" s="8">
        <f t="shared" si="40"/>
        <v>298.14999999999998</v>
      </c>
      <c r="C196" s="12">
        <v>3.3775796264396933</v>
      </c>
      <c r="D196" s="14">
        <f t="shared" si="36"/>
        <v>0.97514000000000001</v>
      </c>
      <c r="E196" s="14">
        <v>2.4860000000000004E-2</v>
      </c>
      <c r="F196" s="14"/>
    </row>
    <row r="197" spans="2:7" x14ac:dyDescent="0.25">
      <c r="B197" s="8">
        <f t="shared" si="40"/>
        <v>298.14999999999998</v>
      </c>
      <c r="C197" s="12">
        <v>4.0530955517276324</v>
      </c>
      <c r="D197" s="14"/>
      <c r="E197" s="14"/>
      <c r="F197" s="14"/>
    </row>
    <row r="198" spans="2:7" x14ac:dyDescent="0.25">
      <c r="B198" s="8">
        <f t="shared" si="40"/>
        <v>298.14999999999998</v>
      </c>
      <c r="C198" s="12">
        <v>6.0796433275914481</v>
      </c>
      <c r="D198" s="14"/>
      <c r="E198" s="14"/>
      <c r="F198" s="14"/>
    </row>
    <row r="199" spans="2:7" x14ac:dyDescent="0.25">
      <c r="B199" s="8">
        <f t="shared" si="40"/>
        <v>298.14999999999998</v>
      </c>
      <c r="C199" s="12">
        <v>6.7551592528793867</v>
      </c>
      <c r="D199" s="14">
        <f t="shared" si="36"/>
        <v>0.93979999999999997</v>
      </c>
      <c r="E199" s="14">
        <v>6.0199999999999997E-2</v>
      </c>
      <c r="F199" s="14">
        <v>0.19980000000000001</v>
      </c>
      <c r="G199" s="8">
        <f t="shared" si="34"/>
        <v>0.80020000000000002</v>
      </c>
    </row>
    <row r="200" spans="2:7" x14ac:dyDescent="0.25">
      <c r="B200" s="8">
        <f t="shared" si="40"/>
        <v>298.14999999999998</v>
      </c>
      <c r="C200" s="12">
        <v>8.7817070287432024</v>
      </c>
      <c r="D200" s="14"/>
      <c r="E200" s="14"/>
      <c r="F200" s="14"/>
    </row>
    <row r="201" spans="2:7" x14ac:dyDescent="0.25">
      <c r="B201" s="8">
        <f t="shared" si="40"/>
        <v>298.14999999999998</v>
      </c>
      <c r="C201" s="12">
        <v>10.13273887931908</v>
      </c>
      <c r="D201" s="14">
        <f t="shared" si="36"/>
        <v>0.90288000000000002</v>
      </c>
      <c r="E201" s="14">
        <v>9.7119999999999998E-2</v>
      </c>
      <c r="F201" s="14">
        <v>0.1545</v>
      </c>
      <c r="G201" s="8">
        <f t="shared" si="34"/>
        <v>0.84550000000000003</v>
      </c>
    </row>
    <row r="202" spans="2:7" x14ac:dyDescent="0.25">
      <c r="B202" s="8">
        <f t="shared" si="40"/>
        <v>298.14999999999998</v>
      </c>
      <c r="C202" s="12">
        <v>11.483770729894957</v>
      </c>
      <c r="D202" s="14"/>
      <c r="E202" s="14"/>
      <c r="F202" s="14"/>
    </row>
    <row r="203" spans="2:7" x14ac:dyDescent="0.25">
      <c r="B203" s="8">
        <f t="shared" si="40"/>
        <v>298.14999999999998</v>
      </c>
      <c r="C203" s="12">
        <v>13.510318505758773</v>
      </c>
      <c r="D203" s="14">
        <f t="shared" si="36"/>
        <v>0.87609999999999999</v>
      </c>
      <c r="E203" s="14">
        <v>0.12390000000000001</v>
      </c>
      <c r="F203" s="14">
        <v>0.14269999999999999</v>
      </c>
      <c r="G203" s="8">
        <f t="shared" si="34"/>
        <v>0.85729999999999995</v>
      </c>
    </row>
    <row r="204" spans="2:7" x14ac:dyDescent="0.25">
      <c r="B204" s="8">
        <f t="shared" si="40"/>
        <v>298.14999999999998</v>
      </c>
      <c r="C204" s="12">
        <v>14.185834431046713</v>
      </c>
      <c r="D204" s="14"/>
      <c r="E204" s="14"/>
      <c r="F204" s="14"/>
    </row>
    <row r="205" spans="2:7" x14ac:dyDescent="0.25">
      <c r="B205" s="8">
        <f t="shared" si="40"/>
        <v>298.14999999999998</v>
      </c>
      <c r="C205" s="12">
        <v>16.887898132198465</v>
      </c>
      <c r="D205" s="14">
        <f t="shared" si="36"/>
        <v>0.83509999999999995</v>
      </c>
      <c r="E205" s="14">
        <v>0.16489999999999999</v>
      </c>
      <c r="F205" s="14">
        <v>0.1207</v>
      </c>
      <c r="G205" s="8">
        <f t="shared" si="34"/>
        <v>0.87929999999999997</v>
      </c>
    </row>
    <row r="206" spans="2:7" x14ac:dyDescent="0.25">
      <c r="B206" s="8">
        <f t="shared" si="40"/>
        <v>298.14999999999998</v>
      </c>
      <c r="C206" s="12">
        <v>18.914445908062284</v>
      </c>
      <c r="D206" s="14"/>
      <c r="E206" s="14"/>
      <c r="F206" s="14"/>
    </row>
    <row r="207" spans="2:7" x14ac:dyDescent="0.25">
      <c r="B207" s="8">
        <f t="shared" si="40"/>
        <v>298.14999999999998</v>
      </c>
      <c r="C207" s="12">
        <v>20.265477758638159</v>
      </c>
      <c r="D207" s="14">
        <f t="shared" si="36"/>
        <v>0.80549999999999999</v>
      </c>
      <c r="E207" s="14">
        <v>0.19450000000000001</v>
      </c>
      <c r="F207" s="14">
        <v>0.11320000000000001</v>
      </c>
      <c r="G207" s="8">
        <f t="shared" ref="G207:G212" si="41">1-F207</f>
        <v>0.88680000000000003</v>
      </c>
    </row>
    <row r="208" spans="2:7" x14ac:dyDescent="0.25">
      <c r="B208" s="8">
        <f>50+273.15</f>
        <v>323.14999999999998</v>
      </c>
      <c r="C208" s="12">
        <v>1.6887898132198467</v>
      </c>
      <c r="D208" s="14"/>
      <c r="E208" s="14"/>
      <c r="F208" s="14"/>
    </row>
    <row r="209" spans="2:7" x14ac:dyDescent="0.25">
      <c r="B209" s="8">
        <f t="shared" ref="B209:B217" si="42">50+273.15</f>
        <v>323.14999999999998</v>
      </c>
      <c r="C209" s="12">
        <v>2.0265477758638162</v>
      </c>
      <c r="D209" s="14"/>
      <c r="E209" s="14"/>
      <c r="F209" s="14"/>
    </row>
    <row r="210" spans="2:7" x14ac:dyDescent="0.25">
      <c r="B210" s="8">
        <f t="shared" si="42"/>
        <v>323.14999999999998</v>
      </c>
      <c r="C210" s="12">
        <v>3.3775796264396933</v>
      </c>
      <c r="D210" s="14">
        <f t="shared" si="36"/>
        <v>0.97716000000000003</v>
      </c>
      <c r="E210" s="14">
        <v>2.2839999999999999E-2</v>
      </c>
      <c r="F210" s="14">
        <v>0.61159999999999992</v>
      </c>
      <c r="G210" s="8">
        <f t="shared" si="41"/>
        <v>0.38840000000000008</v>
      </c>
    </row>
    <row r="211" spans="2:7" x14ac:dyDescent="0.25">
      <c r="B211" s="8">
        <f t="shared" si="42"/>
        <v>323.14999999999998</v>
      </c>
      <c r="C211" s="12">
        <v>6.7551592528793867</v>
      </c>
      <c r="D211" s="14">
        <f t="shared" si="36"/>
        <v>0.93206</v>
      </c>
      <c r="E211" s="14">
        <v>6.794E-2</v>
      </c>
      <c r="F211" s="14">
        <v>0.3987</v>
      </c>
      <c r="G211" s="8">
        <f t="shared" si="41"/>
        <v>0.60129999999999995</v>
      </c>
    </row>
    <row r="212" spans="2:7" x14ac:dyDescent="0.25">
      <c r="B212" s="8">
        <f t="shared" si="42"/>
        <v>323.14999999999998</v>
      </c>
      <c r="C212" s="12">
        <v>10.13273887931908</v>
      </c>
      <c r="D212" s="14">
        <f t="shared" si="36"/>
        <v>0.88860000000000006</v>
      </c>
      <c r="E212" s="14">
        <v>0.1114</v>
      </c>
      <c r="F212" s="14">
        <v>0.3024</v>
      </c>
      <c r="G212" s="8">
        <f t="shared" si="41"/>
        <v>0.6976</v>
      </c>
    </row>
    <row r="213" spans="2:7" x14ac:dyDescent="0.25">
      <c r="B213" s="8">
        <f t="shared" si="42"/>
        <v>323.14999999999998</v>
      </c>
      <c r="C213" s="12">
        <v>13.510318505758773</v>
      </c>
      <c r="D213" s="14">
        <f t="shared" si="36"/>
        <v>0.84529999999999994</v>
      </c>
      <c r="E213" s="14">
        <v>0.1547</v>
      </c>
      <c r="F213" s="14">
        <v>0.26590000000000003</v>
      </c>
      <c r="G213" s="8">
        <f>1-F213</f>
        <v>0.73409999999999997</v>
      </c>
    </row>
    <row r="214" spans="2:7" x14ac:dyDescent="0.25">
      <c r="B214" s="8">
        <f t="shared" si="42"/>
        <v>323.14999999999998</v>
      </c>
      <c r="C214" s="12">
        <v>16.887898132198465</v>
      </c>
      <c r="D214" s="14">
        <f t="shared" si="36"/>
        <v>0.79899999999999993</v>
      </c>
      <c r="E214" s="14">
        <v>0.20100000000000001</v>
      </c>
      <c r="F214" s="14">
        <v>0.23980000000000001</v>
      </c>
      <c r="G214" s="8">
        <f t="shared" ref="G214:G228" si="43">1-F214</f>
        <v>0.76019999999999999</v>
      </c>
    </row>
    <row r="215" spans="2:7" x14ac:dyDescent="0.25">
      <c r="B215" s="8">
        <f t="shared" si="42"/>
        <v>323.14999999999998</v>
      </c>
      <c r="C215" s="12">
        <v>17.563414057486405</v>
      </c>
      <c r="D215" s="14"/>
      <c r="E215" s="14"/>
      <c r="F215" s="14"/>
    </row>
    <row r="216" spans="2:7" x14ac:dyDescent="0.25">
      <c r="B216" s="8">
        <f t="shared" si="42"/>
        <v>323.14999999999998</v>
      </c>
      <c r="C216" s="12">
        <v>19.589961833350223</v>
      </c>
      <c r="D216" s="14"/>
      <c r="E216" s="14"/>
      <c r="F216" s="14"/>
    </row>
    <row r="217" spans="2:7" x14ac:dyDescent="0.25">
      <c r="B217" s="8">
        <f t="shared" si="42"/>
        <v>323.14999999999998</v>
      </c>
      <c r="C217" s="12">
        <v>20.265477758638159</v>
      </c>
      <c r="D217" s="14">
        <f t="shared" si="36"/>
        <v>0.75539999999999996</v>
      </c>
      <c r="E217" s="14">
        <v>0.24460000000000001</v>
      </c>
      <c r="F217" s="14">
        <v>0.22500000000000001</v>
      </c>
      <c r="G217" s="8">
        <f t="shared" si="43"/>
        <v>0.77500000000000002</v>
      </c>
    </row>
    <row r="218" spans="2:7" x14ac:dyDescent="0.25">
      <c r="B218" s="8">
        <f>75+273.15</f>
        <v>348.15</v>
      </c>
      <c r="C218" s="12">
        <v>1.6887898132198467</v>
      </c>
      <c r="D218" s="14"/>
      <c r="E218" s="14"/>
      <c r="F218" s="14"/>
    </row>
    <row r="219" spans="2:7" x14ac:dyDescent="0.25">
      <c r="B219" s="8">
        <f t="shared" ref="B219:B229" si="44">75+273.15</f>
        <v>348.15</v>
      </c>
      <c r="C219" s="12">
        <v>1.8238929982774343</v>
      </c>
      <c r="D219" s="14"/>
      <c r="E219" s="14"/>
      <c r="F219" s="14"/>
    </row>
    <row r="220" spans="2:7" x14ac:dyDescent="0.25">
      <c r="B220" s="8">
        <f t="shared" si="44"/>
        <v>348.15</v>
      </c>
      <c r="C220" s="12">
        <v>3.3775796264396933</v>
      </c>
      <c r="D220" s="14"/>
      <c r="E220" s="14"/>
      <c r="F220" s="14"/>
    </row>
    <row r="221" spans="2:7" x14ac:dyDescent="0.25">
      <c r="B221" s="8">
        <f t="shared" si="44"/>
        <v>348.15</v>
      </c>
      <c r="C221" s="12">
        <v>5.0663694396595398</v>
      </c>
      <c r="D221" s="14">
        <f t="shared" si="36"/>
        <v>0.96181000000000005</v>
      </c>
      <c r="E221" s="14">
        <v>3.8190000000000002E-2</v>
      </c>
      <c r="F221" s="14">
        <v>0.74129999999999996</v>
      </c>
      <c r="G221" s="8">
        <f t="shared" si="43"/>
        <v>0.25870000000000004</v>
      </c>
    </row>
    <row r="222" spans="2:7" x14ac:dyDescent="0.25">
      <c r="B222" s="8">
        <f t="shared" si="44"/>
        <v>348.15</v>
      </c>
      <c r="C222" s="12">
        <v>6.7551592528793867</v>
      </c>
      <c r="D222" s="14">
        <f t="shared" si="36"/>
        <v>0.93196000000000001</v>
      </c>
      <c r="E222" s="14">
        <v>6.8040000000000003E-2</v>
      </c>
      <c r="F222" s="14">
        <v>0.61599999999999999</v>
      </c>
      <c r="G222" s="8">
        <f t="shared" si="43"/>
        <v>0.38400000000000001</v>
      </c>
    </row>
    <row r="223" spans="2:7" x14ac:dyDescent="0.25">
      <c r="B223" s="8">
        <f t="shared" si="44"/>
        <v>348.15</v>
      </c>
      <c r="C223" s="12">
        <v>8.4439490660992327</v>
      </c>
      <c r="D223" s="14">
        <f t="shared" si="36"/>
        <v>0.90244999999999997</v>
      </c>
      <c r="E223" s="14">
        <v>9.7550000000000012E-2</v>
      </c>
      <c r="F223" s="14">
        <v>0.56999999999999995</v>
      </c>
      <c r="G223" s="8">
        <f t="shared" si="43"/>
        <v>0.43000000000000005</v>
      </c>
    </row>
    <row r="224" spans="2:7" x14ac:dyDescent="0.25">
      <c r="B224" s="8">
        <f t="shared" si="44"/>
        <v>348.15</v>
      </c>
      <c r="C224" s="12">
        <v>10.13273887931908</v>
      </c>
      <c r="D224" s="14">
        <f t="shared" si="36"/>
        <v>0.86949999999999994</v>
      </c>
      <c r="E224" s="14">
        <v>0.1305</v>
      </c>
      <c r="F224" s="14">
        <v>0.51080000000000003</v>
      </c>
      <c r="G224" s="8">
        <f t="shared" si="43"/>
        <v>0.48919999999999997</v>
      </c>
    </row>
    <row r="225" spans="1:7" x14ac:dyDescent="0.25">
      <c r="B225" s="8">
        <f t="shared" si="44"/>
        <v>348.15</v>
      </c>
      <c r="C225" s="12">
        <v>13.510318505758773</v>
      </c>
      <c r="D225" s="14"/>
      <c r="E225" s="14"/>
      <c r="F225" s="14"/>
    </row>
    <row r="226" spans="1:7" x14ac:dyDescent="0.25">
      <c r="B226" s="8">
        <f t="shared" si="44"/>
        <v>348.15</v>
      </c>
      <c r="C226" s="12">
        <v>15.19910831897862</v>
      </c>
      <c r="D226" s="14">
        <f t="shared" si="36"/>
        <v>0.76350000000000007</v>
      </c>
      <c r="E226" s="14">
        <v>0.23649999999999999</v>
      </c>
      <c r="F226" s="14">
        <v>0.47770000000000001</v>
      </c>
      <c r="G226" s="8">
        <f t="shared" si="43"/>
        <v>0.52229999999999999</v>
      </c>
    </row>
    <row r="227" spans="1:7" x14ac:dyDescent="0.25">
      <c r="B227" s="8">
        <f t="shared" si="44"/>
        <v>348.15</v>
      </c>
      <c r="C227" s="12">
        <v>16.887898132198465</v>
      </c>
      <c r="D227" s="14"/>
      <c r="E227" s="14"/>
      <c r="F227" s="14"/>
    </row>
    <row r="228" spans="1:7" x14ac:dyDescent="0.25">
      <c r="B228" s="8">
        <f t="shared" si="44"/>
        <v>348.15</v>
      </c>
      <c r="C228" s="12">
        <v>18.238929982774344</v>
      </c>
      <c r="D228" s="14"/>
      <c r="E228" s="14"/>
      <c r="F228" s="14">
        <v>0.47689999999999999</v>
      </c>
      <c r="G228" s="8">
        <f t="shared" si="43"/>
        <v>0.52310000000000001</v>
      </c>
    </row>
    <row r="229" spans="1:7" ht="15.75" thickBot="1" x14ac:dyDescent="0.3">
      <c r="A229" s="9"/>
      <c r="B229" s="9">
        <f t="shared" si="44"/>
        <v>348.15</v>
      </c>
      <c r="C229" s="15">
        <v>20.265477758638159</v>
      </c>
      <c r="D229" s="16">
        <f t="shared" ref="D229" si="45">1-E229</f>
        <v>0.64739999999999998</v>
      </c>
      <c r="E229" s="16">
        <v>0.35259999999999997</v>
      </c>
      <c r="F229" s="16"/>
      <c r="G229" s="9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93720-48ED-4616-9088-B00EB1D83F47}">
  <sheetPr codeName="Hoja6"/>
  <dimension ref="A1:I12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6.7109375" style="8" bestFit="1" customWidth="1"/>
    <col min="2" max="2" width="8" style="8" bestFit="1" customWidth="1"/>
    <col min="3" max="3" width="12" style="8" bestFit="1" customWidth="1"/>
    <col min="4" max="4" width="7.28515625" style="8" bestFit="1" customWidth="1"/>
    <col min="5" max="5" width="9.42578125" style="8" bestFit="1" customWidth="1"/>
    <col min="6" max="6" width="7.28515625" style="8" bestFit="1" customWidth="1"/>
    <col min="7" max="7" width="9.42578125" style="8" bestFit="1" customWidth="1"/>
    <col min="9" max="9" width="16.7109375" bestFit="1" customWidth="1"/>
  </cols>
  <sheetData>
    <row r="1" spans="1:9" ht="18" x14ac:dyDescent="0.25">
      <c r="A1" s="8" t="s">
        <v>0</v>
      </c>
      <c r="B1" s="10" t="s">
        <v>3</v>
      </c>
      <c r="C1" s="12" t="s">
        <v>4</v>
      </c>
      <c r="D1" s="8" t="s">
        <v>15</v>
      </c>
      <c r="E1" s="8" t="s">
        <v>2</v>
      </c>
      <c r="F1" s="8" t="s">
        <v>16</v>
      </c>
      <c r="G1" s="8" t="s">
        <v>7</v>
      </c>
      <c r="I1" s="8" t="s">
        <v>0</v>
      </c>
    </row>
    <row r="2" spans="1:9" x14ac:dyDescent="0.25">
      <c r="A2" s="18" t="s">
        <v>67</v>
      </c>
      <c r="B2" s="13">
        <f>273.15+23.9</f>
        <v>297.04999999999995</v>
      </c>
      <c r="C2" s="12">
        <v>2.2494149999999999</v>
      </c>
      <c r="D2" s="10">
        <f>1-E2</f>
        <v>0.98</v>
      </c>
      <c r="E2" s="10">
        <v>0.02</v>
      </c>
      <c r="F2" s="10">
        <f>1-G2</f>
        <v>0.16799999999999993</v>
      </c>
      <c r="G2" s="10">
        <v>0.83200000000000007</v>
      </c>
      <c r="I2" t="s">
        <v>67</v>
      </c>
    </row>
    <row r="3" spans="1:9" x14ac:dyDescent="0.25">
      <c r="B3" s="13">
        <f t="shared" ref="B3:B4" si="0">273.15+23.9</f>
        <v>297.04999999999995</v>
      </c>
      <c r="C3" s="12">
        <v>7.9641449999999994</v>
      </c>
      <c r="D3" s="10">
        <f t="shared" ref="D3:D14" si="1">1-E3</f>
        <v>0.93799999999999994</v>
      </c>
      <c r="E3" s="10">
        <v>6.2E-2</v>
      </c>
      <c r="F3" s="10"/>
      <c r="G3" s="10"/>
      <c r="I3" t="s">
        <v>65</v>
      </c>
    </row>
    <row r="4" spans="1:9" x14ac:dyDescent="0.25">
      <c r="B4" s="13">
        <f t="shared" si="0"/>
        <v>297.04999999999995</v>
      </c>
      <c r="C4" s="12">
        <v>10.436475</v>
      </c>
      <c r="D4" s="10">
        <f t="shared" si="1"/>
        <v>0.92599999999999993</v>
      </c>
      <c r="E4" s="10">
        <v>7.400000000000001E-2</v>
      </c>
      <c r="F4" s="10"/>
      <c r="G4" s="10"/>
      <c r="I4" t="s">
        <v>66</v>
      </c>
    </row>
    <row r="5" spans="1:9" x14ac:dyDescent="0.25">
      <c r="B5" s="13">
        <f>273.15+82.2</f>
        <v>355.34999999999997</v>
      </c>
      <c r="C5" s="12">
        <v>4.3164449999999999</v>
      </c>
      <c r="D5" s="10">
        <f t="shared" si="1"/>
        <v>0.96</v>
      </c>
      <c r="E5" s="10">
        <v>0.04</v>
      </c>
      <c r="F5" s="10">
        <f t="shared" ref="F5:F14" si="2">1-G5</f>
        <v>0.373</v>
      </c>
      <c r="G5" s="10">
        <v>0.627</v>
      </c>
    </row>
    <row r="6" spans="1:9" x14ac:dyDescent="0.25">
      <c r="B6" s="13">
        <f t="shared" ref="B6:B9" si="3">273.15+82.2</f>
        <v>355.34999999999997</v>
      </c>
      <c r="C6" s="12">
        <v>6.1605600000000003</v>
      </c>
      <c r="D6" s="10">
        <f t="shared" si="1"/>
        <v>0.93700000000000006</v>
      </c>
      <c r="E6" s="10">
        <v>6.3E-2</v>
      </c>
      <c r="F6" s="10"/>
      <c r="G6" s="10"/>
    </row>
    <row r="7" spans="1:9" x14ac:dyDescent="0.25">
      <c r="B7" s="13">
        <f t="shared" si="3"/>
        <v>355.34999999999997</v>
      </c>
      <c r="C7" s="12">
        <v>6.9914249999999996</v>
      </c>
      <c r="D7" s="10">
        <f t="shared" si="1"/>
        <v>0.92999999999999994</v>
      </c>
      <c r="E7" s="10">
        <v>7.0000000000000007E-2</v>
      </c>
      <c r="F7" s="10"/>
      <c r="G7" s="10"/>
    </row>
    <row r="8" spans="1:9" x14ac:dyDescent="0.25">
      <c r="B8" s="13">
        <f t="shared" si="3"/>
        <v>355.34999999999997</v>
      </c>
      <c r="C8" s="12">
        <v>9.4840199999999992</v>
      </c>
      <c r="D8" s="10">
        <f t="shared" si="1"/>
        <v>0.90100000000000002</v>
      </c>
      <c r="E8" s="10">
        <v>9.9000000000000005E-2</v>
      </c>
      <c r="F8" s="10">
        <f t="shared" si="2"/>
        <v>0.16700000000000004</v>
      </c>
      <c r="G8" s="10">
        <v>0.83299999999999996</v>
      </c>
    </row>
    <row r="9" spans="1:9" x14ac:dyDescent="0.25">
      <c r="B9" s="13">
        <f t="shared" si="3"/>
        <v>355.34999999999997</v>
      </c>
      <c r="C9" s="12">
        <v>10.720185000000001</v>
      </c>
      <c r="D9" s="10">
        <f t="shared" si="1"/>
        <v>0.88900000000000001</v>
      </c>
      <c r="E9" s="10">
        <v>0.111</v>
      </c>
      <c r="F9" s="10"/>
      <c r="G9" s="10"/>
    </row>
    <row r="10" spans="1:9" x14ac:dyDescent="0.25">
      <c r="B10" s="13">
        <f>273.15+115.6</f>
        <v>388.75</v>
      </c>
      <c r="C10" s="12">
        <v>3.9111449999999999</v>
      </c>
      <c r="D10" s="10">
        <f t="shared" si="1"/>
        <v>0.96799999999999997</v>
      </c>
      <c r="E10" s="10">
        <v>3.2000000000000001E-2</v>
      </c>
      <c r="F10" s="10"/>
      <c r="G10" s="10"/>
    </row>
    <row r="11" spans="1:9" x14ac:dyDescent="0.25">
      <c r="B11" s="13">
        <f t="shared" ref="B11:B14" si="4">273.15+115.6</f>
        <v>388.75</v>
      </c>
      <c r="C11" s="12">
        <v>4.9547924999999999</v>
      </c>
      <c r="D11" s="10">
        <f t="shared" si="1"/>
        <v>0.94899999999999995</v>
      </c>
      <c r="E11" s="10">
        <v>5.0999999999999997E-2</v>
      </c>
      <c r="F11" s="10">
        <f t="shared" si="2"/>
        <v>0.58000000000000007</v>
      </c>
      <c r="G11" s="10">
        <v>0.42</v>
      </c>
    </row>
    <row r="12" spans="1:9" x14ac:dyDescent="0.25">
      <c r="B12" s="13">
        <f t="shared" si="4"/>
        <v>388.75</v>
      </c>
      <c r="C12" s="12">
        <v>6.6773175000000009</v>
      </c>
      <c r="D12" s="10">
        <f t="shared" si="1"/>
        <v>0.92500000000000004</v>
      </c>
      <c r="E12" s="10">
        <v>7.4999999999999997E-2</v>
      </c>
      <c r="F12" s="10"/>
      <c r="G12" s="10"/>
    </row>
    <row r="13" spans="1:9" x14ac:dyDescent="0.25">
      <c r="B13" s="13">
        <f t="shared" si="4"/>
        <v>388.75</v>
      </c>
      <c r="C13" s="12">
        <v>7.1940749999999998</v>
      </c>
      <c r="D13" s="10">
        <f t="shared" si="1"/>
        <v>0.91700000000000004</v>
      </c>
      <c r="E13" s="10">
        <v>8.3000000000000004E-2</v>
      </c>
      <c r="F13" s="10"/>
      <c r="G13" s="10"/>
    </row>
    <row r="14" spans="1:9" ht="15.75" thickBot="1" x14ac:dyDescent="0.3">
      <c r="A14" s="9"/>
      <c r="B14" s="17">
        <f t="shared" si="4"/>
        <v>388.75</v>
      </c>
      <c r="C14" s="15">
        <v>9.3016349999999992</v>
      </c>
      <c r="D14" s="11">
        <f t="shared" si="1"/>
        <v>0.88900000000000001</v>
      </c>
      <c r="E14" s="11">
        <v>0.111</v>
      </c>
      <c r="F14" s="11">
        <f t="shared" si="2"/>
        <v>0.376</v>
      </c>
      <c r="G14" s="11">
        <v>0.624</v>
      </c>
    </row>
    <row r="15" spans="1:9" x14ac:dyDescent="0.25">
      <c r="A15" s="18" t="s">
        <v>65</v>
      </c>
      <c r="B15" s="8">
        <v>297.03899999999999</v>
      </c>
      <c r="C15" s="12">
        <v>2.2407920682855527</v>
      </c>
      <c r="D15" s="10">
        <f>1-E15</f>
        <v>0.98099999999999998</v>
      </c>
      <c r="E15" s="10">
        <v>1.9E-2</v>
      </c>
      <c r="F15" s="10">
        <f>1-G15</f>
        <v>0.13099999999999989</v>
      </c>
      <c r="G15" s="10">
        <v>0.86900000000000011</v>
      </c>
    </row>
    <row r="16" spans="1:9" x14ac:dyDescent="0.25">
      <c r="B16" s="8">
        <v>297.03899999999999</v>
      </c>
      <c r="C16" s="12">
        <v>7.7910616528082288</v>
      </c>
      <c r="D16" s="10">
        <f t="shared" ref="D16:D59" si="5">1-E16</f>
        <v>0.93799999999999994</v>
      </c>
      <c r="E16" s="10">
        <v>6.2E-2</v>
      </c>
      <c r="F16" s="10">
        <f t="shared" ref="F16:F57" si="6">1-G16</f>
        <v>4.599999999999993E-2</v>
      </c>
      <c r="G16" s="10">
        <v>0.95400000000000007</v>
      </c>
    </row>
    <row r="17" spans="2:7" x14ac:dyDescent="0.25">
      <c r="B17" s="8">
        <v>297.03899999999999</v>
      </c>
      <c r="C17" s="12">
        <v>10.445538410623422</v>
      </c>
      <c r="D17" s="10">
        <f t="shared" si="5"/>
        <v>0.92</v>
      </c>
      <c r="E17" s="10">
        <v>0.08</v>
      </c>
      <c r="F17" s="10">
        <f t="shared" si="6"/>
        <v>3.5999999999999921E-2</v>
      </c>
      <c r="G17" s="10">
        <v>0.96400000000000008</v>
      </c>
    </row>
    <row r="18" spans="2:7" x14ac:dyDescent="0.25">
      <c r="B18" s="8">
        <v>297.03899999999999</v>
      </c>
      <c r="C18" s="12">
        <v>52.331113225499521</v>
      </c>
      <c r="D18" s="10">
        <f t="shared" si="5"/>
        <v>0.65900000000000003</v>
      </c>
      <c r="E18" s="10">
        <v>0.34100000000000003</v>
      </c>
      <c r="F18" s="10">
        <f t="shared" si="6"/>
        <v>2.5000000000000022E-2</v>
      </c>
      <c r="G18" s="10">
        <v>0.97499999999999998</v>
      </c>
    </row>
    <row r="19" spans="2:7" x14ac:dyDescent="0.25">
      <c r="B19" s="8">
        <v>297.03899999999999</v>
      </c>
      <c r="C19" s="12">
        <v>31.026351714723035</v>
      </c>
      <c r="D19" s="10">
        <f t="shared" si="5"/>
        <v>0.78400000000000003</v>
      </c>
      <c r="E19" s="10">
        <v>0.21600000000000003</v>
      </c>
      <c r="F19" s="10">
        <f t="shared" si="6"/>
        <v>2.5999999999999912E-2</v>
      </c>
      <c r="G19" s="10">
        <v>0.97400000000000009</v>
      </c>
    </row>
    <row r="20" spans="2:7" x14ac:dyDescent="0.25">
      <c r="B20" s="8">
        <v>277.59399999999999</v>
      </c>
      <c r="C20" s="12">
        <v>2.1373708959031426</v>
      </c>
      <c r="D20" s="10">
        <f t="shared" si="5"/>
        <v>0.98399999999999999</v>
      </c>
      <c r="E20" s="10">
        <v>1.6E-2</v>
      </c>
      <c r="F20" s="10">
        <f t="shared" si="6"/>
        <v>6.9000000000000061E-2</v>
      </c>
      <c r="G20" s="10">
        <v>0.93099999999999994</v>
      </c>
    </row>
    <row r="21" spans="2:7" x14ac:dyDescent="0.25">
      <c r="B21" s="8">
        <v>277.59399999999999</v>
      </c>
      <c r="C21" s="12">
        <v>5.467532646616748</v>
      </c>
      <c r="D21" s="10">
        <f t="shared" si="5"/>
        <v>0.96399999999999997</v>
      </c>
      <c r="E21" s="10">
        <v>3.6000000000000004E-2</v>
      </c>
      <c r="F21" s="10">
        <f t="shared" si="6"/>
        <v>3.2999999999999918E-2</v>
      </c>
      <c r="G21" s="10">
        <v>0.96700000000000008</v>
      </c>
    </row>
    <row r="22" spans="2:7" x14ac:dyDescent="0.25">
      <c r="B22" s="8">
        <v>277.59399999999999</v>
      </c>
      <c r="C22" s="12">
        <v>16.478440132930679</v>
      </c>
      <c r="D22" s="10">
        <f t="shared" si="5"/>
        <v>0.88900000000000001</v>
      </c>
      <c r="E22" s="10">
        <v>0.111</v>
      </c>
      <c r="F22" s="10">
        <f t="shared" si="6"/>
        <v>1.7000000000000015E-2</v>
      </c>
      <c r="G22" s="10">
        <v>0.98299999999999998</v>
      </c>
    </row>
    <row r="23" spans="2:7" x14ac:dyDescent="0.25">
      <c r="B23" s="8">
        <v>277.59399999999999</v>
      </c>
      <c r="C23" s="12">
        <v>28.613191025800134</v>
      </c>
      <c r="D23" s="10">
        <f t="shared" si="5"/>
        <v>0.81800000000000006</v>
      </c>
      <c r="E23" s="10">
        <v>0.182</v>
      </c>
      <c r="F23" s="10">
        <f t="shared" si="6"/>
        <v>1.5999999999999903E-2</v>
      </c>
      <c r="G23" s="10">
        <v>0.9840000000000001</v>
      </c>
    </row>
    <row r="24" spans="2:7" x14ac:dyDescent="0.25">
      <c r="B24" s="8">
        <v>277.59399999999999</v>
      </c>
      <c r="C24" s="12">
        <v>54.12374688012796</v>
      </c>
      <c r="D24" s="10">
        <f t="shared" si="5"/>
        <v>0.69799999999999995</v>
      </c>
      <c r="E24" s="10">
        <v>0.30199999999999999</v>
      </c>
      <c r="F24" s="10"/>
      <c r="G24" s="10"/>
    </row>
    <row r="25" spans="2:7" x14ac:dyDescent="0.25">
      <c r="B25" s="8">
        <v>260.928</v>
      </c>
      <c r="C25" s="12">
        <v>2.1097919166011665</v>
      </c>
      <c r="D25" s="10">
        <f t="shared" si="5"/>
        <v>0.98350000000000004</v>
      </c>
      <c r="E25" s="10">
        <v>1.6500000000000001E-2</v>
      </c>
      <c r="F25" s="10">
        <f t="shared" si="6"/>
        <v>4.2000000000000037E-2</v>
      </c>
      <c r="G25" s="10">
        <v>0.95799999999999996</v>
      </c>
    </row>
    <row r="26" spans="2:7" x14ac:dyDescent="0.25">
      <c r="B26" s="8">
        <v>260.928</v>
      </c>
      <c r="C26" s="12">
        <v>5.6674802465560745</v>
      </c>
      <c r="D26" s="10">
        <f t="shared" si="5"/>
        <v>0.96</v>
      </c>
      <c r="E26" s="10">
        <v>0.04</v>
      </c>
      <c r="F26" s="10">
        <f t="shared" si="6"/>
        <v>2.0999999999999908E-2</v>
      </c>
      <c r="G26" s="10">
        <v>0.97900000000000009</v>
      </c>
    </row>
    <row r="27" spans="2:7" x14ac:dyDescent="0.25">
      <c r="B27" s="8">
        <v>260.928</v>
      </c>
      <c r="C27" s="12">
        <v>16.61633502944056</v>
      </c>
      <c r="D27" s="10">
        <f t="shared" si="5"/>
        <v>0.89500000000000002</v>
      </c>
      <c r="E27" s="10">
        <v>0.105</v>
      </c>
      <c r="F27" s="10">
        <f t="shared" si="6"/>
        <v>1.0999999999999899E-2</v>
      </c>
      <c r="G27" s="10">
        <v>0.9890000000000001</v>
      </c>
    </row>
    <row r="28" spans="2:7" x14ac:dyDescent="0.25">
      <c r="B28" s="8">
        <v>260.928</v>
      </c>
      <c r="C28" s="12">
        <v>27.441084405466153</v>
      </c>
      <c r="D28" s="10">
        <f t="shared" si="5"/>
        <v>0.83699999999999997</v>
      </c>
      <c r="E28" s="10">
        <v>0.16300000000000001</v>
      </c>
      <c r="F28" s="10">
        <f t="shared" si="6"/>
        <v>1.0999999999999899E-2</v>
      </c>
      <c r="G28" s="10">
        <v>0.9890000000000001</v>
      </c>
    </row>
    <row r="29" spans="2:7" x14ac:dyDescent="0.25">
      <c r="B29" s="8">
        <v>260.928</v>
      </c>
      <c r="C29" s="12">
        <v>28.957928267074834</v>
      </c>
      <c r="D29" s="10">
        <f t="shared" si="5"/>
        <v>0.83799999999999997</v>
      </c>
      <c r="E29" s="10">
        <v>0.16200000000000001</v>
      </c>
      <c r="F29" s="10">
        <f t="shared" si="6"/>
        <v>1.0999999999999899E-2</v>
      </c>
      <c r="G29" s="10">
        <v>0.9890000000000001</v>
      </c>
    </row>
    <row r="30" spans="2:7" x14ac:dyDescent="0.25">
      <c r="B30" s="8">
        <v>260.928</v>
      </c>
      <c r="C30" s="12">
        <v>50.193742329596375</v>
      </c>
      <c r="D30" s="10">
        <f t="shared" si="5"/>
        <v>0.74</v>
      </c>
      <c r="E30" s="10">
        <v>0.26</v>
      </c>
      <c r="F30" s="10">
        <f t="shared" si="6"/>
        <v>1.0000000000000009E-2</v>
      </c>
      <c r="G30" s="10">
        <v>0.99</v>
      </c>
    </row>
    <row r="31" spans="2:7" x14ac:dyDescent="0.25">
      <c r="B31" s="8">
        <v>260.928</v>
      </c>
      <c r="C31" s="12">
        <v>52.40006067375446</v>
      </c>
      <c r="D31" s="10">
        <f t="shared" si="5"/>
        <v>0.73199999999999998</v>
      </c>
      <c r="E31" s="10">
        <v>0.26800000000000002</v>
      </c>
      <c r="F31" s="10">
        <f t="shared" si="6"/>
        <v>1.2000000000000011E-2</v>
      </c>
      <c r="G31" s="10">
        <v>0.98799999999999999</v>
      </c>
    </row>
    <row r="32" spans="2:7" x14ac:dyDescent="0.25">
      <c r="B32" s="8">
        <v>260.928</v>
      </c>
      <c r="C32" s="12">
        <v>53.43427239757856</v>
      </c>
      <c r="D32" s="10">
        <f t="shared" si="5"/>
        <v>0.72599999999999998</v>
      </c>
      <c r="E32" s="10">
        <v>0.27399999999999997</v>
      </c>
      <c r="F32" s="10">
        <f t="shared" si="6"/>
        <v>1.2000000000000011E-2</v>
      </c>
      <c r="G32" s="10">
        <v>0.98799999999999999</v>
      </c>
    </row>
    <row r="33" spans="2:7" x14ac:dyDescent="0.25">
      <c r="B33" s="8">
        <v>244.261</v>
      </c>
      <c r="C33" s="12">
        <v>2.1718446200306123</v>
      </c>
      <c r="D33" s="10">
        <f t="shared" si="5"/>
        <v>0.98499999999999999</v>
      </c>
      <c r="E33" s="10">
        <v>1.4999999999999999E-2</v>
      </c>
      <c r="F33" s="10">
        <f t="shared" si="6"/>
        <v>2.0999999999999908E-2</v>
      </c>
      <c r="G33" s="10">
        <v>0.97900000000000009</v>
      </c>
    </row>
    <row r="34" spans="2:7" x14ac:dyDescent="0.25">
      <c r="B34" s="8">
        <v>244.261</v>
      </c>
      <c r="C34" s="12">
        <v>5.8467436120189191</v>
      </c>
      <c r="D34" s="10">
        <f t="shared" si="5"/>
        <v>0.96399999999999997</v>
      </c>
      <c r="E34" s="10">
        <v>3.6000000000000004E-2</v>
      </c>
      <c r="F34" s="10">
        <f t="shared" si="6"/>
        <v>1.0000000000000009E-2</v>
      </c>
      <c r="G34" s="10">
        <v>0.99</v>
      </c>
    </row>
    <row r="35" spans="2:7" x14ac:dyDescent="0.25">
      <c r="B35" s="8">
        <v>244.261</v>
      </c>
      <c r="C35" s="12">
        <v>13.651594754478136</v>
      </c>
      <c r="D35" s="10">
        <f t="shared" si="5"/>
        <v>0.92599999999999993</v>
      </c>
      <c r="E35" s="10">
        <v>7.400000000000001E-2</v>
      </c>
      <c r="F35" s="10">
        <f t="shared" si="6"/>
        <v>7.0000000000000062E-3</v>
      </c>
      <c r="G35" s="10">
        <v>0.99299999999999999</v>
      </c>
    </row>
    <row r="36" spans="2:7" x14ac:dyDescent="0.25">
      <c r="B36" s="8">
        <v>244.261</v>
      </c>
      <c r="C36" s="12">
        <v>28.820033370564953</v>
      </c>
      <c r="D36" s="10">
        <f t="shared" si="5"/>
        <v>0.85550000000000004</v>
      </c>
      <c r="E36" s="10">
        <v>0.14449999999999999</v>
      </c>
      <c r="F36" s="10">
        <f t="shared" si="6"/>
        <v>5.9999999999998943E-3</v>
      </c>
      <c r="G36" s="10">
        <v>0.99400000000000011</v>
      </c>
    </row>
    <row r="37" spans="2:7" x14ac:dyDescent="0.25">
      <c r="B37" s="8">
        <v>244.261</v>
      </c>
      <c r="C37" s="12">
        <v>51.36584894993036</v>
      </c>
      <c r="D37" s="10">
        <f t="shared" si="5"/>
        <v>0.77100000000000002</v>
      </c>
      <c r="E37" s="10">
        <v>0.22899999999999998</v>
      </c>
      <c r="F37" s="10">
        <f t="shared" si="6"/>
        <v>5.0000000000000044E-3</v>
      </c>
      <c r="G37" s="10">
        <v>0.995</v>
      </c>
    </row>
    <row r="38" spans="2:7" x14ac:dyDescent="0.25">
      <c r="B38" s="8">
        <v>227.59399999999999</v>
      </c>
      <c r="C38" s="12">
        <v>2.7647926750230973</v>
      </c>
      <c r="D38" s="10">
        <f t="shared" si="5"/>
        <v>0.98299999999999998</v>
      </c>
      <c r="E38" s="10">
        <v>1.7000000000000001E-2</v>
      </c>
      <c r="F38" s="10">
        <f t="shared" si="6"/>
        <v>8.0000000000000071E-3</v>
      </c>
      <c r="G38" s="10">
        <v>0.99199999999999999</v>
      </c>
    </row>
    <row r="39" spans="2:7" x14ac:dyDescent="0.25">
      <c r="B39" s="8">
        <v>227.59399999999999</v>
      </c>
      <c r="C39" s="12">
        <v>5.5157958603952064</v>
      </c>
      <c r="D39" s="10">
        <f t="shared" si="5"/>
        <v>0.97</v>
      </c>
      <c r="E39" s="10">
        <v>0.03</v>
      </c>
      <c r="F39" s="10">
        <f t="shared" si="6"/>
        <v>5.9999999999998943E-3</v>
      </c>
      <c r="G39" s="10">
        <v>0.99400000000000011</v>
      </c>
    </row>
    <row r="40" spans="2:7" x14ac:dyDescent="0.25">
      <c r="B40" s="8">
        <v>227.59399999999999</v>
      </c>
      <c r="C40" s="12">
        <v>14.065279444007777</v>
      </c>
      <c r="D40" s="10">
        <f t="shared" si="5"/>
        <v>0.92999999999999994</v>
      </c>
      <c r="E40" s="10">
        <v>7.0000000000000007E-2</v>
      </c>
      <c r="F40" s="10">
        <f t="shared" si="6"/>
        <v>4.0000000000000036E-3</v>
      </c>
      <c r="G40" s="10">
        <v>0.996</v>
      </c>
    </row>
    <row r="41" spans="2:7" x14ac:dyDescent="0.25">
      <c r="B41" s="8">
        <v>227.59399999999999</v>
      </c>
      <c r="C41" s="12">
        <v>26.20003033687723</v>
      </c>
      <c r="D41" s="10">
        <f t="shared" si="5"/>
        <v>0.88100000000000001</v>
      </c>
      <c r="E41" s="10">
        <v>0.11900000000000001</v>
      </c>
      <c r="F41" s="10">
        <f t="shared" si="6"/>
        <v>4.0000000000000036E-3</v>
      </c>
      <c r="G41" s="10">
        <v>0.996</v>
      </c>
    </row>
    <row r="42" spans="2:7" x14ac:dyDescent="0.25">
      <c r="B42" s="8">
        <v>227.59399999999999</v>
      </c>
      <c r="C42" s="12">
        <v>44.126366883161651</v>
      </c>
      <c r="D42" s="10">
        <f t="shared" si="5"/>
        <v>0.82000000000000006</v>
      </c>
      <c r="E42" s="10">
        <v>0.18</v>
      </c>
      <c r="F42" s="10">
        <f t="shared" si="6"/>
        <v>3.0000000000000027E-3</v>
      </c>
      <c r="G42" s="10">
        <v>0.997</v>
      </c>
    </row>
    <row r="43" spans="2:7" x14ac:dyDescent="0.25">
      <c r="B43" s="8">
        <v>199.81700000000001</v>
      </c>
      <c r="C43" s="12">
        <v>2.3235290061914808</v>
      </c>
      <c r="D43" s="10">
        <f t="shared" si="5"/>
        <v>0.98699999999999999</v>
      </c>
      <c r="E43" s="10">
        <v>1.3000000000000001E-2</v>
      </c>
      <c r="F43" s="10">
        <f t="shared" si="6"/>
        <v>2.0000000000000018E-3</v>
      </c>
      <c r="G43" s="10">
        <v>0.998</v>
      </c>
    </row>
    <row r="44" spans="2:7" x14ac:dyDescent="0.25">
      <c r="B44" s="8">
        <v>199.81700000000001</v>
      </c>
      <c r="C44" s="12">
        <v>5.5571643293481703</v>
      </c>
      <c r="D44" s="10">
        <f t="shared" si="5"/>
        <v>0.97599999999999998</v>
      </c>
      <c r="E44" s="10">
        <v>2.4E-2</v>
      </c>
      <c r="F44" s="10">
        <f t="shared" si="6"/>
        <v>2.0000000000000018E-3</v>
      </c>
      <c r="G44" s="10">
        <v>0.998</v>
      </c>
    </row>
    <row r="45" spans="2:7" x14ac:dyDescent="0.25">
      <c r="B45" s="8">
        <v>199.81700000000001</v>
      </c>
      <c r="C45" s="12">
        <v>9.9973799969663109</v>
      </c>
      <c r="D45" s="10">
        <f t="shared" si="5"/>
        <v>0.96</v>
      </c>
      <c r="E45" s="10">
        <v>0.04</v>
      </c>
      <c r="F45" s="10">
        <f t="shared" si="6"/>
        <v>2.0000000000000018E-3</v>
      </c>
      <c r="G45" s="10">
        <v>0.998</v>
      </c>
    </row>
    <row r="46" spans="2:7" x14ac:dyDescent="0.25">
      <c r="B46" s="8">
        <v>199.81700000000001</v>
      </c>
      <c r="C46" s="12">
        <v>19.374232959638164</v>
      </c>
      <c r="D46" s="10">
        <f t="shared" si="5"/>
        <v>0.92900000000000005</v>
      </c>
      <c r="E46" s="10">
        <v>7.0999999999999994E-2</v>
      </c>
      <c r="F46" s="10">
        <f t="shared" si="6"/>
        <v>2.0000000000000018E-3</v>
      </c>
      <c r="G46" s="10">
        <v>0.998</v>
      </c>
    </row>
    <row r="47" spans="2:7" x14ac:dyDescent="0.25">
      <c r="B47" s="8">
        <v>199.81700000000001</v>
      </c>
      <c r="C47" s="12">
        <v>28.199506336270492</v>
      </c>
      <c r="D47" s="10">
        <f t="shared" si="5"/>
        <v>0.90400000000000003</v>
      </c>
      <c r="E47" s="10">
        <v>9.6000000000000002E-2</v>
      </c>
      <c r="F47" s="10">
        <f t="shared" si="6"/>
        <v>4.0000000000000036E-3</v>
      </c>
      <c r="G47" s="10">
        <v>0.996</v>
      </c>
    </row>
    <row r="48" spans="2:7" x14ac:dyDescent="0.25">
      <c r="B48" s="8">
        <v>199.81700000000001</v>
      </c>
      <c r="C48" s="12">
        <v>48.263213778458052</v>
      </c>
      <c r="D48" s="10">
        <f t="shared" si="5"/>
        <v>0.85099999999999998</v>
      </c>
      <c r="E48" s="10">
        <v>0.14899999999999999</v>
      </c>
      <c r="F48" s="10">
        <f t="shared" si="6"/>
        <v>1.5000000000000568E-3</v>
      </c>
      <c r="G48" s="10">
        <v>0.99849999999999994</v>
      </c>
    </row>
    <row r="49" spans="1:7" x14ac:dyDescent="0.25">
      <c r="B49" s="8">
        <v>172.03899999999999</v>
      </c>
      <c r="C49" s="12">
        <v>2.0684234476482022</v>
      </c>
      <c r="D49" s="10">
        <f t="shared" si="5"/>
        <v>0.99</v>
      </c>
      <c r="E49" s="10">
        <v>0.01</v>
      </c>
      <c r="F49" s="10">
        <f t="shared" si="6"/>
        <v>0</v>
      </c>
      <c r="G49" s="10">
        <v>1</v>
      </c>
    </row>
    <row r="50" spans="1:7" x14ac:dyDescent="0.25">
      <c r="B50" s="8">
        <v>172.03899999999999</v>
      </c>
      <c r="C50" s="12">
        <v>2.0684234476482022</v>
      </c>
      <c r="D50" s="10">
        <f t="shared" si="5"/>
        <v>0.99199999999999999</v>
      </c>
      <c r="E50" s="10">
        <v>8.0000000000000002E-3</v>
      </c>
      <c r="F50" s="10"/>
      <c r="G50" s="10"/>
    </row>
    <row r="51" spans="1:7" x14ac:dyDescent="0.25">
      <c r="B51" s="8">
        <v>172.03899999999999</v>
      </c>
      <c r="C51" s="12">
        <v>5.7571119292874968</v>
      </c>
      <c r="D51" s="10">
        <f t="shared" si="5"/>
        <v>0.98</v>
      </c>
      <c r="E51" s="10">
        <v>0.02</v>
      </c>
      <c r="F51" s="10">
        <f t="shared" si="6"/>
        <v>0</v>
      </c>
      <c r="G51" s="10">
        <v>1</v>
      </c>
    </row>
    <row r="52" spans="1:7" x14ac:dyDescent="0.25">
      <c r="B52" s="8">
        <v>172.03899999999999</v>
      </c>
      <c r="C52" s="12">
        <v>12.962120271928734</v>
      </c>
      <c r="D52" s="10">
        <f t="shared" si="5"/>
        <v>0.96299999999999997</v>
      </c>
      <c r="E52" s="10">
        <v>3.7000000000000005E-2</v>
      </c>
      <c r="F52" s="10"/>
      <c r="G52" s="10"/>
    </row>
    <row r="53" spans="1:7" x14ac:dyDescent="0.25">
      <c r="B53" s="8">
        <v>172.03899999999999</v>
      </c>
      <c r="C53" s="12">
        <v>12.962120271928734</v>
      </c>
      <c r="D53" s="10">
        <f t="shared" si="5"/>
        <v>0.96199999999999997</v>
      </c>
      <c r="E53" s="10">
        <v>3.7999999999999999E-2</v>
      </c>
      <c r="F53" s="10"/>
      <c r="G53" s="10"/>
    </row>
    <row r="54" spans="1:7" x14ac:dyDescent="0.25">
      <c r="B54" s="8">
        <v>172.03899999999999</v>
      </c>
      <c r="C54" s="12">
        <v>29.302665508349534</v>
      </c>
      <c r="D54" s="10">
        <f>1-E54</f>
        <v>0.92700000000000005</v>
      </c>
      <c r="E54" s="10">
        <v>7.2999999999999995E-2</v>
      </c>
      <c r="F54" s="10">
        <f t="shared" si="6"/>
        <v>0</v>
      </c>
      <c r="G54" s="10">
        <v>1</v>
      </c>
    </row>
    <row r="55" spans="1:7" x14ac:dyDescent="0.25">
      <c r="B55" s="8">
        <v>172.03899999999999</v>
      </c>
      <c r="C55" s="12">
        <v>50.883216812145776</v>
      </c>
      <c r="D55" s="10">
        <f t="shared" si="5"/>
        <v>0.88400000000000001</v>
      </c>
      <c r="E55" s="10">
        <v>0.11599999999999999</v>
      </c>
      <c r="F55" s="10">
        <f t="shared" si="6"/>
        <v>0</v>
      </c>
      <c r="G55" s="10">
        <v>1</v>
      </c>
    </row>
    <row r="56" spans="1:7" x14ac:dyDescent="0.25">
      <c r="B56" s="8">
        <v>144.261</v>
      </c>
      <c r="C56" s="12">
        <v>3.7576359298942341</v>
      </c>
      <c r="D56" s="10">
        <f t="shared" si="5"/>
        <v>0.99</v>
      </c>
      <c r="E56" s="10">
        <v>0.01</v>
      </c>
      <c r="F56" s="10">
        <f t="shared" si="6"/>
        <v>0</v>
      </c>
      <c r="G56" s="10">
        <v>1</v>
      </c>
    </row>
    <row r="57" spans="1:7" x14ac:dyDescent="0.25">
      <c r="B57" s="8">
        <v>144.261</v>
      </c>
      <c r="C57" s="12">
        <v>14.134226892262717</v>
      </c>
      <c r="D57" s="10">
        <f t="shared" si="5"/>
        <v>0.97</v>
      </c>
      <c r="E57" s="10">
        <v>0.03</v>
      </c>
      <c r="F57" s="10">
        <f t="shared" si="6"/>
        <v>0</v>
      </c>
      <c r="G57" s="10">
        <v>1</v>
      </c>
    </row>
    <row r="58" spans="1:7" x14ac:dyDescent="0.25">
      <c r="B58" s="8">
        <v>144.261</v>
      </c>
      <c r="C58" s="12">
        <v>28.613191025800134</v>
      </c>
      <c r="D58" s="10">
        <f t="shared" si="5"/>
        <v>0.95</v>
      </c>
      <c r="E58" s="10">
        <v>0.05</v>
      </c>
      <c r="F58" s="10"/>
      <c r="G58" s="10"/>
    </row>
    <row r="59" spans="1:7" x14ac:dyDescent="0.25">
      <c r="B59" s="8">
        <v>144.261</v>
      </c>
      <c r="C59" s="12">
        <v>28.613191025800134</v>
      </c>
      <c r="D59" s="10">
        <f t="shared" si="5"/>
        <v>0.94699999999999995</v>
      </c>
      <c r="E59" s="10">
        <v>5.2999999999999999E-2</v>
      </c>
      <c r="F59" s="10"/>
      <c r="G59" s="10"/>
    </row>
    <row r="60" spans="1:7" ht="15.75" thickBot="1" x14ac:dyDescent="0.3">
      <c r="A60" s="9"/>
      <c r="B60" s="9">
        <v>144.261</v>
      </c>
      <c r="C60" s="15">
        <v>49.297425502282159</v>
      </c>
      <c r="D60" s="11">
        <f>1-E60</f>
        <v>0.93300000000000005</v>
      </c>
      <c r="E60" s="11">
        <v>6.7000000000000004E-2</v>
      </c>
      <c r="F60" s="11">
        <v>0</v>
      </c>
      <c r="G60" s="11">
        <v>1</v>
      </c>
    </row>
    <row r="61" spans="1:7" x14ac:dyDescent="0.25">
      <c r="A61" s="18" t="s">
        <v>66</v>
      </c>
      <c r="B61" s="10">
        <f>54.5+273.15</f>
        <v>327.64999999999998</v>
      </c>
      <c r="C61" s="8">
        <v>3.1268894999999999</v>
      </c>
      <c r="D61" s="8">
        <f>1-E61</f>
        <v>0.97499999999999998</v>
      </c>
      <c r="E61" s="8">
        <v>2.5000000000000001E-2</v>
      </c>
      <c r="F61" s="8">
        <f>1-G61</f>
        <v>0.22299999999999998</v>
      </c>
      <c r="G61" s="8">
        <v>0.77700000000000002</v>
      </c>
    </row>
    <row r="62" spans="1:7" x14ac:dyDescent="0.25">
      <c r="B62" s="10">
        <f t="shared" ref="B62:B73" si="7">54.5+273.15</f>
        <v>327.64999999999998</v>
      </c>
      <c r="C62" s="8">
        <v>4.2536234999999998</v>
      </c>
      <c r="D62" s="8">
        <f t="shared" ref="D62:D120" si="8">1-E62</f>
        <v>0.96399999999999997</v>
      </c>
      <c r="E62" s="8">
        <v>3.5999999999999997E-2</v>
      </c>
      <c r="F62" s="8">
        <f t="shared" ref="F62:F120" si="9">1-G62</f>
        <v>0.17200000000000004</v>
      </c>
      <c r="G62" s="8">
        <v>0.82799999999999996</v>
      </c>
    </row>
    <row r="63" spans="1:7" x14ac:dyDescent="0.25">
      <c r="B63" s="10">
        <f t="shared" si="7"/>
        <v>327.64999999999998</v>
      </c>
      <c r="C63" s="8">
        <v>5.5850340000000003</v>
      </c>
      <c r="D63" s="8">
        <f t="shared" si="8"/>
        <v>0.95299999999999996</v>
      </c>
      <c r="E63" s="8">
        <v>4.7E-2</v>
      </c>
      <c r="F63" s="8">
        <f t="shared" si="9"/>
        <v>0.13700000000000001</v>
      </c>
      <c r="G63" s="8">
        <v>0.86299999999999999</v>
      </c>
    </row>
    <row r="64" spans="1:7" x14ac:dyDescent="0.25">
      <c r="B64" s="10">
        <f t="shared" si="7"/>
        <v>327.64999999999998</v>
      </c>
      <c r="C64" s="8">
        <v>6.8688217500000013</v>
      </c>
      <c r="D64" s="8">
        <f t="shared" si="8"/>
        <v>0.93700000000000006</v>
      </c>
      <c r="E64" s="8">
        <v>6.3E-2</v>
      </c>
      <c r="F64" s="8">
        <f t="shared" si="9"/>
        <v>0.121</v>
      </c>
      <c r="G64" s="8">
        <v>0.879</v>
      </c>
    </row>
    <row r="65" spans="2:7" x14ac:dyDescent="0.25">
      <c r="B65" s="10">
        <f t="shared" si="7"/>
        <v>327.64999999999998</v>
      </c>
      <c r="C65" s="8">
        <v>8.3755244999999992</v>
      </c>
      <c r="D65" s="8">
        <f t="shared" si="8"/>
        <v>0.92600000000000005</v>
      </c>
      <c r="E65" s="8">
        <v>7.3999999999999996E-2</v>
      </c>
      <c r="F65" s="8">
        <f t="shared" si="9"/>
        <v>0.10399999999999998</v>
      </c>
      <c r="G65" s="8">
        <v>0.89600000000000002</v>
      </c>
    </row>
    <row r="66" spans="2:7" x14ac:dyDescent="0.25">
      <c r="B66" s="10">
        <f t="shared" si="7"/>
        <v>327.64999999999998</v>
      </c>
      <c r="C66" s="8">
        <v>9.2479327500000004</v>
      </c>
      <c r="D66" s="8">
        <f t="shared" si="8"/>
        <v>0.91400000000000003</v>
      </c>
      <c r="E66" s="8">
        <v>8.5999999999999993E-2</v>
      </c>
      <c r="F66" s="8">
        <f t="shared" si="9"/>
        <v>9.6999999999999975E-2</v>
      </c>
      <c r="G66" s="8">
        <v>0.90300000000000002</v>
      </c>
    </row>
    <row r="67" spans="2:7" x14ac:dyDescent="0.25">
      <c r="B67" s="10">
        <f t="shared" si="7"/>
        <v>327.64999999999998</v>
      </c>
      <c r="C67" s="8">
        <v>10.431408749999999</v>
      </c>
      <c r="D67" s="8">
        <f t="shared" si="8"/>
        <v>0.90600000000000003</v>
      </c>
      <c r="E67" s="8">
        <v>9.4E-2</v>
      </c>
      <c r="F67" s="8">
        <f t="shared" si="9"/>
        <v>8.9999999999999969E-2</v>
      </c>
      <c r="G67" s="8">
        <v>0.91</v>
      </c>
    </row>
    <row r="68" spans="2:7" x14ac:dyDescent="0.25">
      <c r="B68" s="10">
        <f t="shared" si="7"/>
        <v>327.64999999999998</v>
      </c>
      <c r="C68" s="8">
        <v>11.741541</v>
      </c>
      <c r="D68" s="8">
        <f t="shared" si="8"/>
        <v>0.89</v>
      </c>
      <c r="E68" s="8">
        <v>0.11</v>
      </c>
      <c r="F68" s="8">
        <f t="shared" si="9"/>
        <v>8.3999999999999964E-2</v>
      </c>
      <c r="G68" s="8">
        <v>0.91600000000000004</v>
      </c>
    </row>
    <row r="69" spans="2:7" x14ac:dyDescent="0.25">
      <c r="B69" s="10">
        <f t="shared" si="7"/>
        <v>327.64999999999998</v>
      </c>
      <c r="C69" s="8">
        <v>13.031408250000002</v>
      </c>
      <c r="D69" s="8">
        <f t="shared" si="8"/>
        <v>0.877</v>
      </c>
      <c r="E69" s="8">
        <v>0.123</v>
      </c>
      <c r="F69" s="8">
        <f t="shared" si="9"/>
        <v>6.7999999999999949E-2</v>
      </c>
      <c r="G69" s="8">
        <v>0.93200000000000005</v>
      </c>
    </row>
    <row r="70" spans="2:7" x14ac:dyDescent="0.25">
      <c r="B70" s="10">
        <f t="shared" si="7"/>
        <v>327.64999999999998</v>
      </c>
      <c r="C70" s="8">
        <v>13.803504749999998</v>
      </c>
      <c r="D70" s="8">
        <f t="shared" si="8"/>
        <v>0.872</v>
      </c>
      <c r="E70" s="8">
        <v>0.128</v>
      </c>
      <c r="F70" s="8">
        <f t="shared" si="9"/>
        <v>7.5999999999999956E-2</v>
      </c>
      <c r="G70" s="8">
        <v>0.92400000000000004</v>
      </c>
    </row>
    <row r="71" spans="2:7" x14ac:dyDescent="0.25">
      <c r="B71" s="10">
        <f t="shared" si="7"/>
        <v>327.64999999999998</v>
      </c>
      <c r="C71" s="8">
        <v>13.820729999999999</v>
      </c>
      <c r="D71" s="8">
        <f t="shared" si="8"/>
        <v>0.871</v>
      </c>
      <c r="E71" s="8">
        <v>0.129</v>
      </c>
      <c r="F71" s="8">
        <f t="shared" si="9"/>
        <v>7.4999999999999956E-2</v>
      </c>
      <c r="G71" s="8">
        <v>0.92500000000000004</v>
      </c>
    </row>
    <row r="72" spans="2:7" x14ac:dyDescent="0.25">
      <c r="B72" s="10">
        <f t="shared" si="7"/>
        <v>327.64999999999998</v>
      </c>
      <c r="C72" s="8">
        <v>15.77731575</v>
      </c>
      <c r="D72" s="8">
        <f t="shared" si="8"/>
        <v>0.85299999999999998</v>
      </c>
      <c r="E72" s="8">
        <v>0.14699999999999999</v>
      </c>
      <c r="F72" s="8">
        <f t="shared" si="9"/>
        <v>6.9999999999999951E-2</v>
      </c>
      <c r="G72" s="8">
        <v>0.93</v>
      </c>
    </row>
    <row r="73" spans="2:7" x14ac:dyDescent="0.25">
      <c r="B73" s="10">
        <f t="shared" si="7"/>
        <v>327.64999999999998</v>
      </c>
      <c r="C73" s="8">
        <v>16.847307749999999</v>
      </c>
      <c r="D73" s="8">
        <f t="shared" si="8"/>
        <v>0.84</v>
      </c>
      <c r="E73" s="8">
        <v>0.16</v>
      </c>
      <c r="F73" s="8">
        <f t="shared" si="9"/>
        <v>6.7999999999999949E-2</v>
      </c>
      <c r="G73" s="8">
        <v>0.93200000000000005</v>
      </c>
    </row>
    <row r="74" spans="2:7" x14ac:dyDescent="0.25">
      <c r="B74" s="10">
        <f>71.1+273.15</f>
        <v>344.25</v>
      </c>
      <c r="C74" s="8">
        <v>2.7783315000000002</v>
      </c>
      <c r="D74" s="8">
        <f t="shared" si="8"/>
        <v>0.97799999999999998</v>
      </c>
      <c r="E74" s="8">
        <v>2.1999999999999999E-2</v>
      </c>
      <c r="F74" s="8">
        <f t="shared" si="9"/>
        <v>0.36199999999999999</v>
      </c>
      <c r="G74" s="8">
        <v>0.63800000000000001</v>
      </c>
    </row>
    <row r="75" spans="2:7" x14ac:dyDescent="0.25">
      <c r="B75" s="10">
        <f t="shared" ref="B75:B85" si="10">71.1+273.15</f>
        <v>344.25</v>
      </c>
      <c r="C75" s="8">
        <v>4.1766164999999997</v>
      </c>
      <c r="D75" s="8">
        <f t="shared" si="8"/>
        <v>0.96399999999999997</v>
      </c>
      <c r="E75" s="8">
        <v>3.5999999999999997E-2</v>
      </c>
      <c r="F75" s="8">
        <f t="shared" si="9"/>
        <v>0.25900000000000001</v>
      </c>
      <c r="G75" s="8">
        <v>0.74099999999999999</v>
      </c>
    </row>
    <row r="76" spans="2:7" x14ac:dyDescent="0.25">
      <c r="B76" s="10">
        <f t="shared" si="10"/>
        <v>344.25</v>
      </c>
      <c r="C76" s="8">
        <v>5.4968812500000004</v>
      </c>
      <c r="D76" s="8">
        <f t="shared" si="8"/>
        <v>0.94699999999999995</v>
      </c>
      <c r="E76" s="8">
        <v>5.2999999999999999E-2</v>
      </c>
      <c r="F76" s="8">
        <f t="shared" si="9"/>
        <v>0.20899999999999996</v>
      </c>
      <c r="G76" s="8">
        <v>0.79100000000000004</v>
      </c>
    </row>
    <row r="77" spans="2:7" x14ac:dyDescent="0.25">
      <c r="B77" s="10">
        <f t="shared" si="10"/>
        <v>344.25</v>
      </c>
      <c r="C77" s="8">
        <v>6.9296167500000001</v>
      </c>
      <c r="D77" s="8">
        <f t="shared" si="8"/>
        <v>0.93199999999999994</v>
      </c>
      <c r="E77" s="8">
        <v>6.8000000000000005E-2</v>
      </c>
      <c r="F77" s="8">
        <f t="shared" si="9"/>
        <v>0.17500000000000004</v>
      </c>
      <c r="G77" s="8">
        <v>0.82499999999999996</v>
      </c>
    </row>
    <row r="78" spans="2:7" x14ac:dyDescent="0.25">
      <c r="B78" s="10">
        <f t="shared" si="10"/>
        <v>344.25</v>
      </c>
      <c r="C78" s="8">
        <v>8.3461402499999995</v>
      </c>
      <c r="D78" s="8">
        <f t="shared" si="8"/>
        <v>0.91900000000000004</v>
      </c>
      <c r="E78" s="8">
        <v>8.1000000000000003E-2</v>
      </c>
      <c r="F78" s="8">
        <f t="shared" si="9"/>
        <v>0.15400000000000003</v>
      </c>
      <c r="G78" s="8">
        <v>0.84599999999999997</v>
      </c>
    </row>
    <row r="79" spans="2:7" x14ac:dyDescent="0.25">
      <c r="B79" s="10">
        <f t="shared" si="10"/>
        <v>344.25</v>
      </c>
      <c r="C79" s="8">
        <v>9.6785639999999997</v>
      </c>
      <c r="D79" s="8">
        <f t="shared" si="8"/>
        <v>0.90200000000000002</v>
      </c>
      <c r="E79" s="8">
        <v>9.8000000000000004E-2</v>
      </c>
      <c r="F79" s="8">
        <f t="shared" si="9"/>
        <v>0.14000000000000001</v>
      </c>
      <c r="G79" s="8">
        <v>0.86</v>
      </c>
    </row>
    <row r="80" spans="2:7" x14ac:dyDescent="0.25">
      <c r="B80" s="10">
        <f t="shared" si="10"/>
        <v>344.25</v>
      </c>
      <c r="C80" s="8">
        <v>10.627979249999999</v>
      </c>
      <c r="D80" s="8">
        <f t="shared" si="8"/>
        <v>0.89100000000000001</v>
      </c>
      <c r="E80" s="8">
        <v>0.109</v>
      </c>
      <c r="F80" s="8">
        <f t="shared" si="9"/>
        <v>0.129</v>
      </c>
      <c r="G80" s="8">
        <v>0.871</v>
      </c>
    </row>
    <row r="81" spans="2:7" x14ac:dyDescent="0.25">
      <c r="B81" s="10">
        <f t="shared" si="10"/>
        <v>344.25</v>
      </c>
      <c r="C81" s="8">
        <v>11.101167</v>
      </c>
      <c r="D81" s="8">
        <f t="shared" si="8"/>
        <v>0.88700000000000001</v>
      </c>
      <c r="E81" s="8">
        <v>0.113</v>
      </c>
      <c r="F81" s="8">
        <f t="shared" si="9"/>
        <v>0.125</v>
      </c>
      <c r="G81" s="8">
        <v>0.875</v>
      </c>
    </row>
    <row r="82" spans="2:7" x14ac:dyDescent="0.25">
      <c r="B82" s="10">
        <f t="shared" si="10"/>
        <v>344.25</v>
      </c>
      <c r="C82" s="8">
        <v>12.46398825</v>
      </c>
      <c r="D82" s="8">
        <f t="shared" si="8"/>
        <v>0.871</v>
      </c>
      <c r="E82" s="8">
        <v>0.129</v>
      </c>
      <c r="F82" s="8">
        <f t="shared" si="9"/>
        <v>0.11899999999999999</v>
      </c>
      <c r="G82" s="8">
        <v>0.88100000000000001</v>
      </c>
    </row>
    <row r="83" spans="2:7" x14ac:dyDescent="0.25">
      <c r="B83" s="10">
        <f t="shared" si="10"/>
        <v>344.25</v>
      </c>
      <c r="C83" s="8">
        <v>13.980823499999998</v>
      </c>
      <c r="D83" s="8">
        <f t="shared" si="8"/>
        <v>0.85899999999999999</v>
      </c>
      <c r="E83" s="8">
        <v>0.14099999999999999</v>
      </c>
      <c r="F83" s="8">
        <f t="shared" si="9"/>
        <v>0.11199999999999999</v>
      </c>
      <c r="G83" s="8">
        <v>0.88800000000000001</v>
      </c>
    </row>
    <row r="84" spans="2:7" x14ac:dyDescent="0.25">
      <c r="B84" s="10">
        <f t="shared" si="10"/>
        <v>344.25</v>
      </c>
      <c r="C84" s="8">
        <v>15.084252749999999</v>
      </c>
      <c r="D84" s="8">
        <f>1-E84</f>
        <v>0.84099999999999997</v>
      </c>
      <c r="E84" s="8">
        <v>0.159</v>
      </c>
      <c r="F84" s="8">
        <f>1-G84</f>
        <v>0.10899999999999999</v>
      </c>
      <c r="G84" s="8">
        <v>0.89100000000000001</v>
      </c>
    </row>
    <row r="85" spans="2:7" x14ac:dyDescent="0.25">
      <c r="B85" s="10">
        <f t="shared" si="10"/>
        <v>344.25</v>
      </c>
      <c r="C85" s="8">
        <v>16.652763749999998</v>
      </c>
      <c r="D85" s="8">
        <f t="shared" si="8"/>
        <v>0.82699999999999996</v>
      </c>
      <c r="E85" s="8">
        <v>0.17299999999999999</v>
      </c>
      <c r="F85" s="8">
        <f t="shared" si="9"/>
        <v>0.10599999999999998</v>
      </c>
      <c r="G85" s="8">
        <v>0.89400000000000002</v>
      </c>
    </row>
    <row r="86" spans="2:7" x14ac:dyDescent="0.25">
      <c r="B86" s="10">
        <f>87.8+273.15</f>
        <v>360.95</v>
      </c>
      <c r="C86" s="8">
        <v>2.7925170000000001</v>
      </c>
      <c r="D86" s="8">
        <f t="shared" si="8"/>
        <v>0.97899999999999998</v>
      </c>
      <c r="E86" s="8">
        <v>2.1000000000000001E-2</v>
      </c>
      <c r="F86" s="8">
        <f t="shared" si="9"/>
        <v>0.51700000000000002</v>
      </c>
      <c r="G86" s="8">
        <v>0.48299999999999998</v>
      </c>
    </row>
    <row r="87" spans="2:7" x14ac:dyDescent="0.25">
      <c r="B87" s="10">
        <f t="shared" ref="B87:B96" si="11">87.8+273.15</f>
        <v>360.95</v>
      </c>
      <c r="C87" s="8">
        <v>4.1168347500000007</v>
      </c>
      <c r="D87" s="8">
        <f t="shared" si="8"/>
        <v>0.96299999999999997</v>
      </c>
      <c r="E87" s="8">
        <v>3.6999999999999998E-2</v>
      </c>
      <c r="F87" s="8">
        <f t="shared" si="9"/>
        <v>0.38100000000000001</v>
      </c>
      <c r="G87" s="8">
        <v>0.61899999999999999</v>
      </c>
    </row>
    <row r="88" spans="2:7" x14ac:dyDescent="0.25">
      <c r="B88" s="10">
        <f t="shared" si="11"/>
        <v>360.95</v>
      </c>
      <c r="C88" s="8">
        <v>5.6174580000000001</v>
      </c>
      <c r="D88" s="8">
        <f t="shared" si="8"/>
        <v>0.94199999999999995</v>
      </c>
      <c r="E88" s="8">
        <v>5.8000000000000003E-2</v>
      </c>
      <c r="F88" s="8">
        <f t="shared" si="9"/>
        <v>0.29400000000000004</v>
      </c>
      <c r="G88" s="8">
        <v>0.70599999999999996</v>
      </c>
    </row>
    <row r="89" spans="2:7" x14ac:dyDescent="0.25">
      <c r="B89" s="10">
        <f t="shared" si="11"/>
        <v>360.95</v>
      </c>
      <c r="C89" s="8">
        <v>6.8090400000000004</v>
      </c>
      <c r="D89" s="8">
        <f t="shared" si="8"/>
        <v>0.93100000000000005</v>
      </c>
      <c r="E89" s="8">
        <v>6.9000000000000006E-2</v>
      </c>
      <c r="F89" s="8">
        <f t="shared" si="9"/>
        <v>0.25700000000000001</v>
      </c>
      <c r="G89" s="8">
        <v>0.74299999999999999</v>
      </c>
    </row>
    <row r="90" spans="2:7" x14ac:dyDescent="0.25">
      <c r="B90" s="10">
        <f t="shared" si="11"/>
        <v>360.95</v>
      </c>
      <c r="C90" s="8">
        <v>8.3187824999999993</v>
      </c>
      <c r="D90" s="8">
        <f t="shared" si="8"/>
        <v>0.91</v>
      </c>
      <c r="E90" s="8">
        <v>0.09</v>
      </c>
      <c r="F90" s="8">
        <f t="shared" si="9"/>
        <v>0.22799999999999998</v>
      </c>
      <c r="G90" s="8">
        <v>0.77200000000000002</v>
      </c>
    </row>
    <row r="91" spans="2:7" x14ac:dyDescent="0.25">
      <c r="B91" s="10">
        <f t="shared" si="11"/>
        <v>360.95</v>
      </c>
      <c r="C91" s="8">
        <v>9.8680417499999997</v>
      </c>
      <c r="D91" s="8">
        <f t="shared" si="8"/>
        <v>0.89200000000000002</v>
      </c>
      <c r="E91" s="8">
        <v>0.108</v>
      </c>
      <c r="F91" s="8">
        <f t="shared" si="9"/>
        <v>0.20099999999999996</v>
      </c>
      <c r="G91" s="8">
        <v>0.79900000000000004</v>
      </c>
    </row>
    <row r="92" spans="2:7" x14ac:dyDescent="0.25">
      <c r="B92" s="10">
        <f t="shared" si="11"/>
        <v>360.95</v>
      </c>
      <c r="C92" s="8">
        <v>11.084955000000001</v>
      </c>
      <c r="D92" s="8">
        <f t="shared" si="8"/>
        <v>0.878</v>
      </c>
      <c r="E92" s="8">
        <v>0.122</v>
      </c>
      <c r="F92" s="8">
        <f t="shared" si="9"/>
        <v>0.18600000000000005</v>
      </c>
      <c r="G92" s="8">
        <v>0.81399999999999995</v>
      </c>
    </row>
    <row r="93" spans="2:7" x14ac:dyDescent="0.25">
      <c r="B93" s="10">
        <f t="shared" si="11"/>
        <v>360.95</v>
      </c>
      <c r="C93" s="8">
        <v>12.355570500000001</v>
      </c>
      <c r="D93" s="8">
        <f t="shared" si="8"/>
        <v>0.86599999999999999</v>
      </c>
      <c r="E93" s="8">
        <v>0.13400000000000001</v>
      </c>
      <c r="F93" s="8">
        <f t="shared" si="9"/>
        <v>0.17500000000000004</v>
      </c>
      <c r="G93" s="8">
        <v>0.82499999999999996</v>
      </c>
    </row>
    <row r="94" spans="2:7" x14ac:dyDescent="0.25">
      <c r="B94" s="10">
        <f t="shared" si="11"/>
        <v>360.95</v>
      </c>
      <c r="C94" s="8">
        <v>13.8470745</v>
      </c>
      <c r="D94" s="8">
        <f t="shared" si="8"/>
        <v>0.84199999999999997</v>
      </c>
      <c r="E94" s="8">
        <v>0.158</v>
      </c>
      <c r="F94" s="8">
        <f t="shared" si="9"/>
        <v>0.16500000000000004</v>
      </c>
      <c r="G94" s="8">
        <v>0.83499999999999996</v>
      </c>
    </row>
    <row r="95" spans="2:7" x14ac:dyDescent="0.25">
      <c r="B95" s="10">
        <f t="shared" si="11"/>
        <v>360.95</v>
      </c>
      <c r="C95" s="8">
        <v>14.99711325</v>
      </c>
      <c r="D95" s="8">
        <f t="shared" si="8"/>
        <v>0.83399999999999996</v>
      </c>
      <c r="E95" s="8">
        <v>0.16600000000000001</v>
      </c>
      <c r="F95" s="8">
        <f>1-G95</f>
        <v>0.16100000000000003</v>
      </c>
      <c r="G95" s="8">
        <v>0.83899999999999997</v>
      </c>
    </row>
    <row r="96" spans="2:7" x14ac:dyDescent="0.25">
      <c r="B96" s="10">
        <f t="shared" si="11"/>
        <v>360.95</v>
      </c>
      <c r="C96" s="8">
        <v>16.787526</v>
      </c>
      <c r="D96" s="8">
        <f t="shared" si="8"/>
        <v>0.80699999999999994</v>
      </c>
      <c r="E96" s="8">
        <v>0.193</v>
      </c>
      <c r="F96" s="8">
        <f t="shared" si="9"/>
        <v>0.15700000000000003</v>
      </c>
      <c r="G96" s="8">
        <v>0.84299999999999997</v>
      </c>
    </row>
    <row r="97" spans="2:7" x14ac:dyDescent="0.25">
      <c r="B97" s="10">
        <f>104.4+273.15</f>
        <v>377.54999999999995</v>
      </c>
      <c r="C97" s="8">
        <v>2.8340602499999998</v>
      </c>
      <c r="D97" s="8">
        <f t="shared" si="8"/>
        <v>0.98099999999999998</v>
      </c>
      <c r="E97" s="8">
        <v>1.9E-2</v>
      </c>
      <c r="F97" s="8">
        <f t="shared" si="9"/>
        <v>0.67799999999999994</v>
      </c>
      <c r="G97" s="8">
        <v>0.32200000000000001</v>
      </c>
    </row>
    <row r="98" spans="2:7" x14ac:dyDescent="0.25">
      <c r="B98" s="10">
        <f t="shared" ref="B98:B108" si="12">104.4+273.15</f>
        <v>377.54999999999995</v>
      </c>
      <c r="C98" s="8">
        <v>4.1735767499999996</v>
      </c>
      <c r="D98" s="8">
        <f t="shared" si="8"/>
        <v>0.96299999999999997</v>
      </c>
      <c r="E98" s="8">
        <v>3.6999999999999998E-2</v>
      </c>
      <c r="F98" s="8">
        <f t="shared" si="9"/>
        <v>0.52</v>
      </c>
      <c r="G98" s="8">
        <v>0.48</v>
      </c>
    </row>
    <row r="99" spans="2:7" x14ac:dyDescent="0.25">
      <c r="B99" s="10">
        <f t="shared" si="12"/>
        <v>377.54999999999995</v>
      </c>
      <c r="C99" s="8">
        <v>5.4026490000000003</v>
      </c>
      <c r="D99" s="8">
        <f>1-E99</f>
        <v>0.94699999999999995</v>
      </c>
      <c r="E99" s="8">
        <v>5.2999999999999999E-2</v>
      </c>
      <c r="F99" s="8">
        <f t="shared" si="9"/>
        <v>0.43400000000000005</v>
      </c>
      <c r="G99" s="8">
        <v>0.56599999999999995</v>
      </c>
    </row>
    <row r="100" spans="2:7" x14ac:dyDescent="0.25">
      <c r="B100" s="10">
        <f t="shared" si="12"/>
        <v>377.54999999999995</v>
      </c>
      <c r="C100" s="8">
        <v>6.5678864999999993</v>
      </c>
      <c r="D100" s="8">
        <f t="shared" si="8"/>
        <v>0.92900000000000005</v>
      </c>
      <c r="E100" s="8">
        <v>7.0999999999999994E-2</v>
      </c>
      <c r="F100" s="8">
        <f t="shared" si="9"/>
        <v>0.379</v>
      </c>
      <c r="G100" s="8">
        <v>0.621</v>
      </c>
    </row>
    <row r="101" spans="2:7" x14ac:dyDescent="0.25">
      <c r="B101" s="10">
        <f t="shared" si="12"/>
        <v>377.54999999999995</v>
      </c>
      <c r="C101" s="8">
        <v>7.7777070000000013</v>
      </c>
      <c r="D101" s="8">
        <f t="shared" si="8"/>
        <v>0.91600000000000004</v>
      </c>
      <c r="E101" s="8">
        <v>8.4000000000000005E-2</v>
      </c>
      <c r="F101" s="8">
        <f t="shared" si="9"/>
        <v>0.33799999999999997</v>
      </c>
      <c r="G101" s="8">
        <v>0.66200000000000003</v>
      </c>
    </row>
    <row r="102" spans="2:7" x14ac:dyDescent="0.25">
      <c r="B102" s="10">
        <f t="shared" si="12"/>
        <v>377.54999999999995</v>
      </c>
      <c r="C102" s="8">
        <v>9.0250177499999999</v>
      </c>
      <c r="D102" s="8">
        <f t="shared" si="8"/>
        <v>0.89400000000000002</v>
      </c>
      <c r="E102" s="8">
        <v>0.106</v>
      </c>
      <c r="F102" s="8">
        <f t="shared" si="9"/>
        <v>0.30500000000000005</v>
      </c>
      <c r="G102" s="8">
        <v>0.69499999999999995</v>
      </c>
    </row>
    <row r="103" spans="2:7" x14ac:dyDescent="0.25">
      <c r="B103" s="10">
        <f t="shared" si="12"/>
        <v>377.54999999999995</v>
      </c>
      <c r="C103" s="8">
        <v>10.320964500000001</v>
      </c>
      <c r="D103" s="8">
        <f t="shared" si="8"/>
        <v>0.88100000000000001</v>
      </c>
      <c r="E103" s="8">
        <v>0.11899999999999999</v>
      </c>
      <c r="F103" s="8">
        <f t="shared" si="9"/>
        <v>0.28100000000000003</v>
      </c>
      <c r="G103" s="8">
        <v>0.71899999999999997</v>
      </c>
    </row>
    <row r="104" spans="2:7" x14ac:dyDescent="0.25">
      <c r="B104" s="10">
        <f t="shared" si="12"/>
        <v>377.54999999999995</v>
      </c>
      <c r="C104" s="8">
        <v>11.763832499999999</v>
      </c>
      <c r="D104" s="8">
        <f t="shared" si="8"/>
        <v>0.85699999999999998</v>
      </c>
      <c r="E104" s="8">
        <v>0.14299999999999999</v>
      </c>
      <c r="F104" s="8">
        <f t="shared" si="9"/>
        <v>0.26100000000000001</v>
      </c>
      <c r="G104" s="8">
        <v>0.73899999999999999</v>
      </c>
    </row>
    <row r="105" spans="2:7" x14ac:dyDescent="0.25">
      <c r="B105" s="10">
        <f t="shared" si="12"/>
        <v>377.54999999999995</v>
      </c>
      <c r="C105" s="8">
        <v>12.859155749999999</v>
      </c>
      <c r="D105" s="8">
        <f t="shared" si="8"/>
        <v>0.84699999999999998</v>
      </c>
      <c r="E105" s="8">
        <v>0.153</v>
      </c>
      <c r="F105" s="8">
        <f t="shared" si="9"/>
        <v>0.25</v>
      </c>
      <c r="G105" s="8">
        <v>0.75</v>
      </c>
    </row>
    <row r="106" spans="2:7" x14ac:dyDescent="0.25">
      <c r="B106" s="10">
        <f t="shared" si="12"/>
        <v>377.54999999999995</v>
      </c>
      <c r="C106" s="8">
        <v>14.139903750000002</v>
      </c>
      <c r="D106" s="8">
        <f t="shared" si="8"/>
        <v>0.82499999999999996</v>
      </c>
      <c r="E106" s="8">
        <v>0.17499999999999999</v>
      </c>
      <c r="F106" s="8">
        <f t="shared" si="9"/>
        <v>0.247</v>
      </c>
      <c r="G106" s="8">
        <v>0.753</v>
      </c>
    </row>
    <row r="107" spans="2:7" x14ac:dyDescent="0.25">
      <c r="B107" s="10">
        <f t="shared" si="12"/>
        <v>377.54999999999995</v>
      </c>
      <c r="C107" s="8">
        <v>15.46118175</v>
      </c>
      <c r="D107" s="8">
        <f t="shared" si="8"/>
        <v>0.80499999999999994</v>
      </c>
      <c r="E107" s="8">
        <v>0.19500000000000001</v>
      </c>
      <c r="F107" s="8">
        <f t="shared" si="9"/>
        <v>0.24099999999999999</v>
      </c>
      <c r="G107" s="8">
        <v>0.75900000000000001</v>
      </c>
    </row>
    <row r="108" spans="2:7" x14ac:dyDescent="0.25">
      <c r="B108" s="10">
        <f t="shared" si="12"/>
        <v>377.54999999999995</v>
      </c>
      <c r="C108" s="8">
        <v>16.737876750000002</v>
      </c>
      <c r="D108" s="8">
        <f t="shared" si="8"/>
        <v>0.78300000000000003</v>
      </c>
      <c r="E108" s="8">
        <v>0.217</v>
      </c>
      <c r="F108" s="8">
        <f t="shared" si="9"/>
        <v>0.24</v>
      </c>
      <c r="G108" s="8">
        <v>0.76</v>
      </c>
    </row>
    <row r="109" spans="2:7" x14ac:dyDescent="0.25">
      <c r="B109" s="10">
        <f>121.1+273.15</f>
        <v>394.25</v>
      </c>
      <c r="C109" s="8">
        <v>3.4308645000000002</v>
      </c>
      <c r="D109" s="8">
        <f t="shared" si="8"/>
        <v>0.97899999999999998</v>
      </c>
      <c r="E109" s="8">
        <v>2.1000000000000001E-2</v>
      </c>
      <c r="F109" s="8">
        <f t="shared" si="9"/>
        <v>0.78700000000000003</v>
      </c>
      <c r="G109" s="8">
        <v>0.21299999999999999</v>
      </c>
    </row>
    <row r="110" spans="2:7" x14ac:dyDescent="0.25">
      <c r="B110" s="10">
        <f t="shared" ref="B110:B120" si="13">121.1+273.15</f>
        <v>394.25</v>
      </c>
      <c r="C110" s="8">
        <v>4.8615735000000004</v>
      </c>
      <c r="D110" s="8">
        <f t="shared" si="8"/>
        <v>0.95099999999999996</v>
      </c>
      <c r="E110" s="8">
        <v>4.9000000000000002E-2</v>
      </c>
      <c r="F110" s="8">
        <f t="shared" si="9"/>
        <v>0.63300000000000001</v>
      </c>
      <c r="G110" s="8">
        <v>0.36699999999999999</v>
      </c>
    </row>
    <row r="111" spans="2:7" x14ac:dyDescent="0.25">
      <c r="B111" s="10">
        <f t="shared" si="13"/>
        <v>394.25</v>
      </c>
      <c r="C111" s="8">
        <v>6.1463745000000003</v>
      </c>
      <c r="D111" s="8">
        <f t="shared" si="8"/>
        <v>0.93399999999999994</v>
      </c>
      <c r="E111" s="8">
        <v>6.6000000000000003E-2</v>
      </c>
      <c r="F111" s="8">
        <f>1-G111</f>
        <v>0.55600000000000005</v>
      </c>
      <c r="G111" s="8">
        <v>0.44400000000000001</v>
      </c>
    </row>
    <row r="112" spans="2:7" x14ac:dyDescent="0.25">
      <c r="B112" s="10">
        <f t="shared" si="13"/>
        <v>394.25</v>
      </c>
      <c r="C112" s="8">
        <v>7.7169119999999998</v>
      </c>
      <c r="D112" s="8">
        <f t="shared" si="8"/>
        <v>0.90500000000000003</v>
      </c>
      <c r="E112" s="8">
        <v>9.5000000000000001E-2</v>
      </c>
      <c r="F112" s="8">
        <f t="shared" si="9"/>
        <v>0.48599999999999999</v>
      </c>
      <c r="G112" s="8">
        <v>0.51400000000000001</v>
      </c>
    </row>
    <row r="113" spans="1:7" x14ac:dyDescent="0.25">
      <c r="B113" s="10">
        <f t="shared" si="13"/>
        <v>394.25</v>
      </c>
      <c r="C113" s="8">
        <v>8.8649242499999996</v>
      </c>
      <c r="D113" s="8">
        <f t="shared" si="8"/>
        <v>0.89100000000000001</v>
      </c>
      <c r="E113" s="8">
        <v>0.109</v>
      </c>
      <c r="F113" s="8">
        <f t="shared" si="9"/>
        <v>0.44499999999999995</v>
      </c>
      <c r="G113" s="8">
        <v>0.55500000000000005</v>
      </c>
    </row>
    <row r="114" spans="1:7" x14ac:dyDescent="0.25">
      <c r="B114" s="10">
        <f t="shared" si="13"/>
        <v>394.25</v>
      </c>
      <c r="C114" s="8">
        <v>10.149725249999999</v>
      </c>
      <c r="D114" s="8">
        <f t="shared" si="8"/>
        <v>0.86499999999999999</v>
      </c>
      <c r="E114" s="8">
        <v>0.13500000000000001</v>
      </c>
      <c r="F114" s="8">
        <f t="shared" si="9"/>
        <v>0.41200000000000003</v>
      </c>
      <c r="G114" s="8">
        <v>0.58799999999999997</v>
      </c>
    </row>
    <row r="115" spans="1:7" x14ac:dyDescent="0.25">
      <c r="B115" s="10">
        <f t="shared" si="13"/>
        <v>394.25</v>
      </c>
      <c r="C115" s="8">
        <v>11.286591749999999</v>
      </c>
      <c r="D115" s="8">
        <f t="shared" si="8"/>
        <v>0.85099999999999998</v>
      </c>
      <c r="E115" s="8">
        <v>0.14899999999999999</v>
      </c>
      <c r="F115" s="8">
        <f t="shared" si="9"/>
        <v>0.39100000000000001</v>
      </c>
      <c r="G115" s="8">
        <v>0.60899999999999999</v>
      </c>
    </row>
    <row r="116" spans="1:7" x14ac:dyDescent="0.25">
      <c r="B116" s="10">
        <f t="shared" si="13"/>
        <v>394.25</v>
      </c>
      <c r="C116" s="8">
        <v>12.53288925</v>
      </c>
      <c r="D116" s="8">
        <f t="shared" si="8"/>
        <v>0.82800000000000007</v>
      </c>
      <c r="E116" s="8">
        <v>0.17199999999999999</v>
      </c>
      <c r="F116" s="8">
        <f t="shared" si="9"/>
        <v>0.36799999999999999</v>
      </c>
      <c r="G116" s="8">
        <v>0.63200000000000001</v>
      </c>
    </row>
    <row r="117" spans="1:7" x14ac:dyDescent="0.25">
      <c r="B117" s="10">
        <f t="shared" si="13"/>
        <v>394.25</v>
      </c>
      <c r="C117" s="8">
        <v>13.890644249999999</v>
      </c>
      <c r="D117" s="8">
        <f t="shared" si="8"/>
        <v>0.80699999999999994</v>
      </c>
      <c r="E117" s="8">
        <v>0.193</v>
      </c>
      <c r="F117" s="8">
        <f t="shared" si="9"/>
        <v>0.36299999999999999</v>
      </c>
      <c r="G117" s="8">
        <v>0.63700000000000001</v>
      </c>
    </row>
    <row r="118" spans="1:7" x14ac:dyDescent="0.25">
      <c r="B118" s="10">
        <f t="shared" si="13"/>
        <v>394.25</v>
      </c>
      <c r="C118" s="8">
        <v>13.898750249999997</v>
      </c>
      <c r="D118" s="8">
        <f t="shared" si="8"/>
        <v>0.80600000000000005</v>
      </c>
      <c r="E118" s="8">
        <v>0.19400000000000001</v>
      </c>
      <c r="F118" s="8">
        <f t="shared" si="9"/>
        <v>0.36199999999999999</v>
      </c>
      <c r="G118" s="8">
        <v>0.63800000000000001</v>
      </c>
    </row>
    <row r="119" spans="1:7" x14ac:dyDescent="0.25">
      <c r="B119" s="10">
        <f t="shared" si="13"/>
        <v>394.25</v>
      </c>
      <c r="C119" s="8">
        <v>15.288929249999999</v>
      </c>
      <c r="D119" s="8">
        <f t="shared" si="8"/>
        <v>0.77200000000000002</v>
      </c>
      <c r="E119" s="8">
        <v>0.22800000000000001</v>
      </c>
      <c r="F119" s="8">
        <f t="shared" si="9"/>
        <v>0.36699999999999999</v>
      </c>
      <c r="G119" s="8">
        <v>0.63300000000000001</v>
      </c>
    </row>
    <row r="120" spans="1:7" ht="15.75" thickBot="1" x14ac:dyDescent="0.3">
      <c r="A120" s="9"/>
      <c r="B120" s="11">
        <f t="shared" si="13"/>
        <v>394.25</v>
      </c>
      <c r="C120" s="9">
        <v>16.875678749999999</v>
      </c>
      <c r="D120" s="9">
        <f t="shared" si="8"/>
        <v>0.73399999999999999</v>
      </c>
      <c r="E120" s="9">
        <v>0.26600000000000001</v>
      </c>
      <c r="F120" s="9">
        <f t="shared" si="9"/>
        <v>0.38500000000000001</v>
      </c>
      <c r="G120" s="9">
        <v>0.61499999999999999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EDBB-F2D2-475C-9413-838AEA01E416}">
  <sheetPr codeName="Hoja7"/>
  <dimension ref="A1:I31"/>
  <sheetViews>
    <sheetView workbookViewId="0">
      <pane ySplit="1" topLeftCell="A2" activePane="bottomLeft" state="frozen"/>
      <selection pane="bottomLeft" activeCell="I1" sqref="I1"/>
    </sheetView>
  </sheetViews>
  <sheetFormatPr defaultColWidth="11.42578125" defaultRowHeight="15" x14ac:dyDescent="0.25"/>
  <cols>
    <col min="1" max="1" width="14.85546875" style="8" bestFit="1" customWidth="1"/>
    <col min="2" max="2" width="6.5703125" style="8" bestFit="1" customWidth="1"/>
    <col min="3" max="3" width="7.7109375" style="8" bestFit="1" customWidth="1"/>
    <col min="4" max="4" width="9.85546875" style="8" bestFit="1" customWidth="1"/>
    <col min="5" max="5" width="9.42578125" style="8" bestFit="1" customWidth="1"/>
    <col min="6" max="6" width="9.85546875" style="8" bestFit="1" customWidth="1"/>
    <col min="7" max="7" width="9.42578125" style="8" bestFit="1" customWidth="1"/>
    <col min="9" max="9" width="14.85546875" bestFit="1" customWidth="1"/>
  </cols>
  <sheetData>
    <row r="1" spans="1:9" ht="18" x14ac:dyDescent="0.25">
      <c r="A1" s="8" t="s">
        <v>0</v>
      </c>
      <c r="B1" s="10" t="s">
        <v>3</v>
      </c>
      <c r="C1" s="12" t="s">
        <v>4</v>
      </c>
      <c r="D1" s="8" t="s">
        <v>17</v>
      </c>
      <c r="E1" s="8" t="s">
        <v>2</v>
      </c>
      <c r="F1" s="8" t="s">
        <v>18</v>
      </c>
      <c r="G1" s="8" t="s">
        <v>7</v>
      </c>
      <c r="I1" s="8" t="s">
        <v>0</v>
      </c>
    </row>
    <row r="2" spans="1:9" x14ac:dyDescent="0.25">
      <c r="A2" s="18" t="s">
        <v>68</v>
      </c>
      <c r="B2" s="13">
        <v>310.928</v>
      </c>
      <c r="C2" s="14">
        <v>20.684234476482025</v>
      </c>
      <c r="D2" s="10">
        <f>1-E2</f>
        <v>0.82099999999999995</v>
      </c>
      <c r="E2" s="10">
        <v>0.17899999999999999</v>
      </c>
      <c r="F2" s="10">
        <f>1-G2</f>
        <v>4.489999999999994E-2</v>
      </c>
      <c r="G2" s="10">
        <v>0.95510000000000006</v>
      </c>
      <c r="I2" t="s">
        <v>68</v>
      </c>
    </row>
    <row r="3" spans="1:9" x14ac:dyDescent="0.25">
      <c r="B3" s="13">
        <v>310.928</v>
      </c>
      <c r="C3" s="14">
        <v>17.236862063735021</v>
      </c>
      <c r="D3" s="10">
        <f t="shared" ref="D3:D23" si="0">1-E3</f>
        <v>0.85799999999999998</v>
      </c>
      <c r="E3" s="10">
        <v>0.14199999999999999</v>
      </c>
      <c r="F3" s="10">
        <f t="shared" ref="F3:F23" si="1">1-G3</f>
        <v>4.2900000000000049E-2</v>
      </c>
      <c r="G3" s="10">
        <v>0.95709999999999995</v>
      </c>
    </row>
    <row r="4" spans="1:9" x14ac:dyDescent="0.25">
      <c r="B4" s="13">
        <v>310.928</v>
      </c>
      <c r="C4" s="14">
        <v>13.789489650988015</v>
      </c>
      <c r="D4" s="10">
        <f t="shared" si="0"/>
        <v>0.88880000000000003</v>
      </c>
      <c r="E4" s="10">
        <v>0.11119999999999999</v>
      </c>
      <c r="F4" s="10">
        <f t="shared" si="1"/>
        <v>4.7900000000000054E-2</v>
      </c>
      <c r="G4" s="10">
        <v>0.95209999999999995</v>
      </c>
    </row>
    <row r="5" spans="1:9" x14ac:dyDescent="0.25">
      <c r="B5" s="13">
        <v>310.928</v>
      </c>
      <c r="C5" s="14">
        <v>10.342117238241013</v>
      </c>
      <c r="D5" s="10">
        <f t="shared" si="0"/>
        <v>0.91210000000000002</v>
      </c>
      <c r="E5" s="10">
        <v>8.7899999999999992E-2</v>
      </c>
      <c r="F5" s="10">
        <f t="shared" si="1"/>
        <v>5.7699999999999974E-2</v>
      </c>
      <c r="G5" s="10">
        <v>0.94230000000000003</v>
      </c>
    </row>
    <row r="6" spans="1:9" x14ac:dyDescent="0.25">
      <c r="B6" s="13">
        <v>310.928</v>
      </c>
      <c r="C6" s="14">
        <v>6.8947448254940076</v>
      </c>
      <c r="D6" s="10">
        <f t="shared" si="0"/>
        <v>0.94079999999999997</v>
      </c>
      <c r="E6" s="10">
        <v>5.9200000000000003E-2</v>
      </c>
      <c r="F6" s="10">
        <f t="shared" si="1"/>
        <v>8.0900000000000083E-2</v>
      </c>
      <c r="G6" s="10">
        <v>0.91909999999999992</v>
      </c>
    </row>
    <row r="7" spans="1:9" x14ac:dyDescent="0.25">
      <c r="B7" s="13">
        <v>310.928</v>
      </c>
      <c r="C7" s="14">
        <v>3.4473724127470038</v>
      </c>
      <c r="D7" s="10">
        <f t="shared" si="0"/>
        <v>0.97250000000000003</v>
      </c>
      <c r="E7" s="10">
        <v>2.75E-2</v>
      </c>
      <c r="F7" s="10">
        <f t="shared" si="1"/>
        <v>0.13690000000000002</v>
      </c>
      <c r="G7" s="10">
        <v>0.86309999999999998</v>
      </c>
    </row>
    <row r="8" spans="1:9" x14ac:dyDescent="0.25">
      <c r="B8" s="13">
        <v>338.70600000000002</v>
      </c>
      <c r="C8" s="14">
        <v>20.684234476482025</v>
      </c>
      <c r="D8" s="10">
        <f t="shared" si="0"/>
        <v>0.80300000000000005</v>
      </c>
      <c r="E8" s="10">
        <v>0.19699999999999998</v>
      </c>
      <c r="F8" s="10">
        <f t="shared" si="1"/>
        <v>9.8199999999999954E-2</v>
      </c>
      <c r="G8" s="10">
        <v>0.90180000000000005</v>
      </c>
    </row>
    <row r="9" spans="1:9" x14ac:dyDescent="0.25">
      <c r="B9" s="13">
        <v>338.70600000000002</v>
      </c>
      <c r="C9" s="14">
        <v>17.236862063735021</v>
      </c>
      <c r="D9" s="10">
        <f t="shared" si="0"/>
        <v>0.83099999999999996</v>
      </c>
      <c r="E9" s="10">
        <v>0.16899999999999998</v>
      </c>
      <c r="F9" s="10">
        <f t="shared" si="1"/>
        <v>0.121</v>
      </c>
      <c r="G9" s="10">
        <v>0.879</v>
      </c>
    </row>
    <row r="10" spans="1:9" x14ac:dyDescent="0.25">
      <c r="B10" s="13">
        <v>338.70600000000002</v>
      </c>
      <c r="C10" s="14">
        <v>13.789489650988015</v>
      </c>
      <c r="D10" s="10">
        <f t="shared" si="0"/>
        <v>0.871</v>
      </c>
      <c r="E10" s="10">
        <v>0.129</v>
      </c>
      <c r="F10" s="10">
        <f t="shared" si="1"/>
        <v>0.11299999999999999</v>
      </c>
      <c r="G10" s="10">
        <v>0.88700000000000001</v>
      </c>
    </row>
    <row r="11" spans="1:9" x14ac:dyDescent="0.25">
      <c r="B11" s="13">
        <v>338.70600000000002</v>
      </c>
      <c r="C11" s="14">
        <v>10.342117238241013</v>
      </c>
      <c r="D11" s="10">
        <f t="shared" si="0"/>
        <v>0.9153</v>
      </c>
      <c r="E11" s="10">
        <v>8.4700000000000011E-2</v>
      </c>
      <c r="F11" s="10">
        <f t="shared" si="1"/>
        <v>0.13300000000000001</v>
      </c>
      <c r="G11" s="10">
        <v>0.86699999999999999</v>
      </c>
    </row>
    <row r="12" spans="1:9" x14ac:dyDescent="0.25">
      <c r="B12" s="13">
        <v>338.70600000000002</v>
      </c>
      <c r="C12" s="14">
        <v>6.8947448254940076</v>
      </c>
      <c r="D12" s="10">
        <f t="shared" si="0"/>
        <v>0.93240000000000001</v>
      </c>
      <c r="E12" s="10">
        <v>6.7599999999999993E-2</v>
      </c>
      <c r="F12" s="10">
        <f t="shared" si="1"/>
        <v>0.17599999999999993</v>
      </c>
      <c r="G12" s="10">
        <v>0.82400000000000007</v>
      </c>
    </row>
    <row r="13" spans="1:9" x14ac:dyDescent="0.25">
      <c r="B13" s="13">
        <v>338.70600000000002</v>
      </c>
      <c r="C13" s="14">
        <v>3.4473724127470038</v>
      </c>
      <c r="D13" s="10">
        <f t="shared" si="0"/>
        <v>0.97260000000000002</v>
      </c>
      <c r="E13" s="10">
        <v>2.7400000000000001E-2</v>
      </c>
      <c r="F13" s="10">
        <f t="shared" si="1"/>
        <v>0.30299999999999994</v>
      </c>
      <c r="G13" s="10">
        <v>0.69700000000000006</v>
      </c>
    </row>
    <row r="14" spans="1:9" x14ac:dyDescent="0.25">
      <c r="B14" s="13">
        <v>366.483</v>
      </c>
      <c r="C14" s="14">
        <v>20.684234476482025</v>
      </c>
      <c r="D14" s="10">
        <f t="shared" si="0"/>
        <v>0.753</v>
      </c>
      <c r="E14" s="10">
        <v>0.247</v>
      </c>
      <c r="F14" s="10">
        <f t="shared" si="1"/>
        <v>0.43500000000000005</v>
      </c>
      <c r="G14" s="10">
        <v>0.56499999999999995</v>
      </c>
    </row>
    <row r="15" spans="1:9" x14ac:dyDescent="0.25">
      <c r="B15" s="13">
        <v>366.483</v>
      </c>
      <c r="C15" s="14">
        <v>17.236862063735021</v>
      </c>
      <c r="D15" s="10">
        <f t="shared" si="0"/>
        <v>0.80800000000000005</v>
      </c>
      <c r="E15" s="10">
        <v>0.192</v>
      </c>
      <c r="F15" s="10">
        <f t="shared" si="1"/>
        <v>0.24199999999999999</v>
      </c>
      <c r="G15" s="10">
        <v>0.75800000000000001</v>
      </c>
    </row>
    <row r="16" spans="1:9" x14ac:dyDescent="0.25">
      <c r="B16" s="13">
        <v>366.483</v>
      </c>
      <c r="C16" s="14">
        <v>13.789489650988015</v>
      </c>
      <c r="D16" s="10">
        <f t="shared" si="0"/>
        <v>0.84399999999999997</v>
      </c>
      <c r="E16" s="10">
        <v>0.156</v>
      </c>
      <c r="F16" s="10">
        <f t="shared" si="1"/>
        <v>0.24199999999999999</v>
      </c>
      <c r="G16" s="10">
        <v>0.75800000000000001</v>
      </c>
    </row>
    <row r="17" spans="1:7" x14ac:dyDescent="0.25">
      <c r="B17" s="13">
        <v>366.483</v>
      </c>
      <c r="C17" s="14">
        <v>10.342117238241013</v>
      </c>
      <c r="D17" s="10">
        <f t="shared" si="0"/>
        <v>0.89100000000000001</v>
      </c>
      <c r="E17" s="10">
        <v>0.109</v>
      </c>
      <c r="F17" s="10">
        <f t="shared" si="1"/>
        <v>0.28099999999999992</v>
      </c>
      <c r="G17" s="10">
        <v>0.71900000000000008</v>
      </c>
    </row>
    <row r="18" spans="1:7" x14ac:dyDescent="0.25">
      <c r="B18" s="13">
        <v>366.483</v>
      </c>
      <c r="C18" s="14">
        <v>6.8947448254940076</v>
      </c>
      <c r="D18" s="10">
        <f t="shared" si="0"/>
        <v>0.92910000000000004</v>
      </c>
      <c r="E18" s="10">
        <v>7.0900000000000005E-2</v>
      </c>
      <c r="F18" s="10">
        <f t="shared" si="1"/>
        <v>0.38500000000000001</v>
      </c>
      <c r="G18" s="10">
        <v>0.61499999999999999</v>
      </c>
    </row>
    <row r="19" spans="1:7" x14ac:dyDescent="0.25">
      <c r="B19" s="13">
        <v>366.483</v>
      </c>
      <c r="C19" s="14">
        <v>3.4473724127470038</v>
      </c>
      <c r="D19" s="10">
        <f t="shared" si="0"/>
        <v>0.97750000000000004</v>
      </c>
      <c r="E19" s="10">
        <v>2.2499999999999999E-2</v>
      </c>
      <c r="F19" s="10">
        <f t="shared" si="1"/>
        <v>0.59299999999999997</v>
      </c>
      <c r="G19" s="10">
        <v>0.40700000000000003</v>
      </c>
    </row>
    <row r="20" spans="1:7" x14ac:dyDescent="0.25">
      <c r="B20" s="13">
        <v>394.26100000000002</v>
      </c>
      <c r="C20" s="14">
        <v>13.789489650988015</v>
      </c>
      <c r="D20" s="10">
        <f t="shared" si="0"/>
        <v>0.75600000000000001</v>
      </c>
      <c r="E20" s="10">
        <v>0.24399999999999999</v>
      </c>
      <c r="F20" s="10">
        <f t="shared" si="1"/>
        <v>0.752</v>
      </c>
      <c r="G20" s="10">
        <v>0.248</v>
      </c>
    </row>
    <row r="21" spans="1:7" x14ac:dyDescent="0.25">
      <c r="B21" s="13">
        <v>394.26100000000002</v>
      </c>
      <c r="C21" s="14">
        <v>10.342117238241013</v>
      </c>
      <c r="D21" s="10">
        <f t="shared" si="0"/>
        <v>0.83799999999999997</v>
      </c>
      <c r="E21" s="10">
        <v>0.16200000000000001</v>
      </c>
      <c r="F21" s="10">
        <f t="shared" si="1"/>
        <v>0.57600000000000007</v>
      </c>
      <c r="G21" s="10">
        <v>0.42399999999999999</v>
      </c>
    </row>
    <row r="22" spans="1:7" x14ac:dyDescent="0.25">
      <c r="B22" s="13">
        <v>394.26100000000002</v>
      </c>
      <c r="C22" s="14">
        <v>8.6184310318675106</v>
      </c>
      <c r="D22" s="10">
        <f t="shared" si="0"/>
        <v>0.88300000000000001</v>
      </c>
      <c r="E22" s="10">
        <v>0.11699999999999999</v>
      </c>
      <c r="F22" s="10">
        <f t="shared" si="1"/>
        <v>0.59399999999999997</v>
      </c>
      <c r="G22" s="10">
        <v>0.40600000000000003</v>
      </c>
    </row>
    <row r="23" spans="1:7" ht="15.75" thickBot="1" x14ac:dyDescent="0.3">
      <c r="A23" s="9"/>
      <c r="B23" s="17">
        <v>394.26100000000002</v>
      </c>
      <c r="C23" s="16">
        <v>6.8947448254940076</v>
      </c>
      <c r="D23" s="11">
        <f t="shared" si="0"/>
        <v>0.91800000000000004</v>
      </c>
      <c r="E23" s="11">
        <v>8.199999999999999E-2</v>
      </c>
      <c r="F23" s="11">
        <f t="shared" si="1"/>
        <v>0.63</v>
      </c>
      <c r="G23" s="11">
        <v>0.37</v>
      </c>
    </row>
    <row r="25" spans="1:7" x14ac:dyDescent="0.25">
      <c r="F25" s="13"/>
    </row>
    <row r="31" spans="1:7" x14ac:dyDescent="0.25">
      <c r="F31" s="1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17F8-681E-4178-9D19-9457B6B81372}">
  <sheetPr codeName="Hoja8"/>
  <dimension ref="A1:I119"/>
  <sheetViews>
    <sheetView workbookViewId="0">
      <pane ySplit="1" topLeftCell="A2" activePane="bottomLeft" state="frozen"/>
      <selection pane="bottomLeft" activeCell="I1" sqref="I1"/>
    </sheetView>
  </sheetViews>
  <sheetFormatPr defaultColWidth="11.42578125" defaultRowHeight="15" x14ac:dyDescent="0.25"/>
  <cols>
    <col min="1" max="1" width="18.28515625" style="8" bestFit="1" customWidth="1"/>
    <col min="2" max="2" width="7" style="8" bestFit="1" customWidth="1"/>
    <col min="3" max="3" width="8.5703125" style="8" bestFit="1" customWidth="1"/>
    <col min="4" max="4" width="8.42578125" style="8" bestFit="1" customWidth="1"/>
    <col min="5" max="5" width="9.42578125" style="8" bestFit="1" customWidth="1"/>
    <col min="6" max="6" width="8.42578125" style="8" bestFit="1" customWidth="1"/>
    <col min="7" max="7" width="9.42578125" style="8" bestFit="1" customWidth="1"/>
    <col min="9" max="9" width="18.28515625" bestFit="1" customWidth="1"/>
  </cols>
  <sheetData>
    <row r="1" spans="1:9" ht="18" x14ac:dyDescent="0.25">
      <c r="A1" s="8" t="s">
        <v>0</v>
      </c>
      <c r="B1" s="10" t="s">
        <v>3</v>
      </c>
      <c r="C1" s="12" t="s">
        <v>4</v>
      </c>
      <c r="D1" s="8" t="s">
        <v>19</v>
      </c>
      <c r="E1" s="8" t="s">
        <v>2</v>
      </c>
      <c r="F1" s="8" t="s">
        <v>20</v>
      </c>
      <c r="G1" s="8" t="s">
        <v>7</v>
      </c>
      <c r="I1" s="8" t="s">
        <v>0</v>
      </c>
    </row>
    <row r="2" spans="1:9" x14ac:dyDescent="0.25">
      <c r="A2" s="18" t="s">
        <v>69</v>
      </c>
      <c r="B2" s="8">
        <v>308.14999999999998</v>
      </c>
      <c r="C2" s="12">
        <v>3.5080461672113512</v>
      </c>
      <c r="D2" s="8">
        <f>1-E2</f>
        <v>0.97408000000000006</v>
      </c>
      <c r="E2" s="8">
        <v>2.5919999999999999E-2</v>
      </c>
      <c r="I2" t="s">
        <v>69</v>
      </c>
    </row>
    <row r="3" spans="1:9" x14ac:dyDescent="0.25">
      <c r="B3" s="8">
        <v>308.14999999999998</v>
      </c>
      <c r="C3" s="12">
        <v>7.1512293330023855</v>
      </c>
      <c r="D3" s="8">
        <f t="shared" ref="D3:D66" si="0">1-E3</f>
        <v>0.94769000000000003</v>
      </c>
      <c r="E3" s="8">
        <v>5.2310000000000002E-2</v>
      </c>
      <c r="I3" t="s">
        <v>45</v>
      </c>
    </row>
    <row r="4" spans="1:9" x14ac:dyDescent="0.25">
      <c r="B4" s="8">
        <v>308.14999999999998</v>
      </c>
      <c r="C4" s="12">
        <v>10.537927991285043</v>
      </c>
      <c r="D4" s="8">
        <f t="shared" si="0"/>
        <v>0.92457999999999996</v>
      </c>
      <c r="E4" s="8">
        <v>7.5420000000000001E-2</v>
      </c>
    </row>
    <row r="5" spans="1:9" x14ac:dyDescent="0.25">
      <c r="B5" s="8">
        <v>308.14999999999998</v>
      </c>
      <c r="C5" s="12">
        <v>13.62263682621106</v>
      </c>
      <c r="D5" s="8">
        <f t="shared" si="0"/>
        <v>0.90403999999999995</v>
      </c>
      <c r="E5" s="8">
        <v>9.5960000000000004E-2</v>
      </c>
    </row>
    <row r="6" spans="1:9" x14ac:dyDescent="0.25">
      <c r="B6" s="8">
        <v>313.14999999999998</v>
      </c>
      <c r="C6" s="12">
        <v>3.4204829079275774</v>
      </c>
      <c r="D6" s="8">
        <f t="shared" si="0"/>
        <v>0.97408000000000006</v>
      </c>
      <c r="E6" s="8">
        <v>2.5919999999999999E-2</v>
      </c>
    </row>
    <row r="7" spans="1:9" x14ac:dyDescent="0.25">
      <c r="B7" s="8">
        <v>313.14999999999998</v>
      </c>
      <c r="C7" s="12">
        <v>6.9519712075456077</v>
      </c>
      <c r="D7" s="8">
        <f t="shared" si="0"/>
        <v>0.94769000000000003</v>
      </c>
      <c r="E7" s="8">
        <v>5.2310000000000002E-2</v>
      </c>
    </row>
    <row r="8" spans="1:9" x14ac:dyDescent="0.25">
      <c r="B8" s="8">
        <v>313.14999999999998</v>
      </c>
      <c r="C8" s="12">
        <v>10.222838152759966</v>
      </c>
      <c r="D8" s="8">
        <f t="shared" si="0"/>
        <v>0.92457999999999996</v>
      </c>
      <c r="E8" s="8">
        <v>7.5420000000000001E-2</v>
      </c>
    </row>
    <row r="9" spans="1:9" x14ac:dyDescent="0.25">
      <c r="B9" s="8">
        <v>313.14999999999998</v>
      </c>
      <c r="C9" s="12">
        <v>13.203436340821025</v>
      </c>
      <c r="D9" s="8">
        <f t="shared" si="0"/>
        <v>0.90403999999999995</v>
      </c>
      <c r="E9" s="8">
        <v>9.5960000000000004E-2</v>
      </c>
    </row>
    <row r="10" spans="1:9" x14ac:dyDescent="0.25">
      <c r="B10" s="8">
        <v>323.14999999999998</v>
      </c>
      <c r="C10" s="12">
        <v>3.2653511493539624</v>
      </c>
      <c r="D10" s="8">
        <f t="shared" si="0"/>
        <v>0.97408000000000006</v>
      </c>
      <c r="E10" s="8">
        <v>2.5919999999999999E-2</v>
      </c>
    </row>
    <row r="11" spans="1:9" x14ac:dyDescent="0.25">
      <c r="B11" s="8">
        <v>323.14999999999998</v>
      </c>
      <c r="C11" s="12">
        <v>6.5762076145561847</v>
      </c>
      <c r="D11" s="8">
        <f t="shared" si="0"/>
        <v>0.94769000000000003</v>
      </c>
      <c r="E11" s="8">
        <v>5.2310000000000002E-2</v>
      </c>
    </row>
    <row r="12" spans="1:9" x14ac:dyDescent="0.25">
      <c r="B12" s="8">
        <v>323.14999999999998</v>
      </c>
      <c r="C12" s="12">
        <v>9.6443690619010187</v>
      </c>
      <c r="D12" s="8">
        <f t="shared" si="0"/>
        <v>0.92457999999999996</v>
      </c>
      <c r="E12" s="8">
        <v>7.5420000000000001E-2</v>
      </c>
    </row>
    <row r="13" spans="1:9" x14ac:dyDescent="0.25">
      <c r="B13" s="8">
        <v>323.14999999999998</v>
      </c>
      <c r="C13" s="12">
        <v>12.425019650022751</v>
      </c>
      <c r="D13" s="8">
        <f t="shared" si="0"/>
        <v>0.90403999999999995</v>
      </c>
      <c r="E13" s="8">
        <v>9.5960000000000004E-2</v>
      </c>
    </row>
    <row r="14" spans="1:9" x14ac:dyDescent="0.25">
      <c r="B14" s="8">
        <v>333.15</v>
      </c>
      <c r="C14" s="12">
        <v>3.1350404721521254</v>
      </c>
      <c r="D14" s="8">
        <f t="shared" si="0"/>
        <v>0.97408000000000006</v>
      </c>
      <c r="E14" s="8">
        <v>2.5919999999999999E-2</v>
      </c>
    </row>
    <row r="15" spans="1:9" x14ac:dyDescent="0.25">
      <c r="B15" s="8">
        <v>333.15</v>
      </c>
      <c r="C15" s="12">
        <v>6.239054592589528</v>
      </c>
      <c r="D15" s="8">
        <f t="shared" si="0"/>
        <v>0.94769000000000003</v>
      </c>
      <c r="E15" s="8">
        <v>5.2310000000000002E-2</v>
      </c>
    </row>
    <row r="16" spans="1:9" x14ac:dyDescent="0.25">
      <c r="B16" s="8">
        <v>333.15</v>
      </c>
      <c r="C16" s="12">
        <v>9.1148526593030788</v>
      </c>
      <c r="D16" s="8">
        <f t="shared" si="0"/>
        <v>0.92457999999999996</v>
      </c>
      <c r="E16" s="8">
        <v>7.5420000000000001E-2</v>
      </c>
    </row>
    <row r="17" spans="2:5" x14ac:dyDescent="0.25">
      <c r="B17" s="8">
        <v>333.15</v>
      </c>
      <c r="C17" s="12">
        <v>11.677629310939201</v>
      </c>
      <c r="D17" s="8">
        <f t="shared" si="0"/>
        <v>0.90403999999999995</v>
      </c>
      <c r="E17" s="8">
        <v>9.5960000000000004E-2</v>
      </c>
    </row>
    <row r="18" spans="2:5" x14ac:dyDescent="0.25">
      <c r="B18" s="8">
        <v>343.15</v>
      </c>
      <c r="C18" s="12">
        <v>3.0288614018395177</v>
      </c>
      <c r="D18" s="8">
        <f t="shared" si="0"/>
        <v>0.97408000000000006</v>
      </c>
      <c r="E18" s="8">
        <v>2.5919999999999999E-2</v>
      </c>
    </row>
    <row r="19" spans="2:5" x14ac:dyDescent="0.25">
      <c r="B19" s="8">
        <v>343.15</v>
      </c>
      <c r="C19" s="12">
        <v>5.9439595140583847</v>
      </c>
      <c r="D19" s="8">
        <f t="shared" si="0"/>
        <v>0.94769000000000003</v>
      </c>
      <c r="E19" s="8">
        <v>5.2310000000000002E-2</v>
      </c>
    </row>
    <row r="20" spans="2:5" x14ac:dyDescent="0.25">
      <c r="B20" s="8">
        <v>343.15</v>
      </c>
      <c r="C20" s="12">
        <v>8.6356678939312452</v>
      </c>
      <c r="D20" s="8">
        <f t="shared" si="0"/>
        <v>0.92457999999999996</v>
      </c>
      <c r="E20" s="8">
        <v>7.5420000000000001E-2</v>
      </c>
    </row>
    <row r="21" spans="2:5" x14ac:dyDescent="0.25">
      <c r="B21" s="8">
        <v>343.15</v>
      </c>
      <c r="C21" s="12">
        <v>11.075718087673575</v>
      </c>
      <c r="D21" s="8">
        <f t="shared" si="0"/>
        <v>0.90403999999999995</v>
      </c>
      <c r="E21" s="8">
        <v>9.5960000000000004E-2</v>
      </c>
    </row>
    <row r="22" spans="2:5" x14ac:dyDescent="0.25">
      <c r="B22" s="8">
        <v>343.15</v>
      </c>
      <c r="C22" s="12">
        <v>14.087342627449358</v>
      </c>
      <c r="D22" s="8">
        <f t="shared" si="0"/>
        <v>0.88024999999999998</v>
      </c>
      <c r="E22" s="8">
        <v>0.11975</v>
      </c>
    </row>
    <row r="23" spans="2:5" x14ac:dyDescent="0.25">
      <c r="B23" s="8">
        <v>353.15</v>
      </c>
      <c r="C23" s="12">
        <v>2.948192887381238</v>
      </c>
      <c r="D23" s="8">
        <f t="shared" si="0"/>
        <v>0.97408000000000006</v>
      </c>
      <c r="E23" s="8">
        <v>2.5919999999999999E-2</v>
      </c>
    </row>
    <row r="24" spans="2:5" x14ac:dyDescent="0.25">
      <c r="B24" s="8">
        <v>353.15</v>
      </c>
      <c r="C24" s="12">
        <v>5.682648685172162</v>
      </c>
      <c r="D24" s="8">
        <f t="shared" si="0"/>
        <v>0.94769000000000003</v>
      </c>
      <c r="E24" s="8">
        <v>5.2310000000000002E-2</v>
      </c>
    </row>
    <row r="25" spans="2:5" x14ac:dyDescent="0.25">
      <c r="B25" s="8">
        <v>353.15</v>
      </c>
      <c r="C25" s="12">
        <v>8.2026779188902221</v>
      </c>
      <c r="D25" s="8">
        <f t="shared" si="0"/>
        <v>0.92457999999999996</v>
      </c>
      <c r="E25" s="8">
        <v>7.5420000000000001E-2</v>
      </c>
    </row>
    <row r="26" spans="2:5" x14ac:dyDescent="0.25">
      <c r="B26" s="8">
        <v>353.15</v>
      </c>
      <c r="C26" s="12">
        <v>10.48208055819854</v>
      </c>
      <c r="D26" s="8">
        <f t="shared" si="0"/>
        <v>0.90403999999999995</v>
      </c>
      <c r="E26" s="8">
        <v>9.5960000000000004E-2</v>
      </c>
    </row>
    <row r="27" spans="2:5" x14ac:dyDescent="0.25">
      <c r="B27" s="8">
        <v>353.15</v>
      </c>
      <c r="C27" s="12">
        <v>13.264110095285373</v>
      </c>
      <c r="D27" s="8">
        <f t="shared" si="0"/>
        <v>0.88024999999999998</v>
      </c>
      <c r="E27" s="8">
        <v>0.11975</v>
      </c>
    </row>
    <row r="28" spans="2:5" x14ac:dyDescent="0.25">
      <c r="B28" s="8">
        <v>363.15</v>
      </c>
      <c r="C28" s="12">
        <v>2.8923454542947362</v>
      </c>
      <c r="D28" s="8">
        <f t="shared" si="0"/>
        <v>0.97408000000000006</v>
      </c>
      <c r="E28" s="8">
        <v>2.5919999999999999E-2</v>
      </c>
    </row>
    <row r="29" spans="2:5" x14ac:dyDescent="0.25">
      <c r="B29" s="8">
        <v>363.15</v>
      </c>
      <c r="C29" s="12">
        <v>5.455122105930859</v>
      </c>
      <c r="D29" s="8">
        <f t="shared" si="0"/>
        <v>0.94769000000000003</v>
      </c>
      <c r="E29" s="8">
        <v>5.2310000000000002E-2</v>
      </c>
    </row>
    <row r="30" spans="2:5" x14ac:dyDescent="0.25">
      <c r="B30" s="8">
        <v>363.15</v>
      </c>
      <c r="C30" s="12">
        <v>7.81312483624981</v>
      </c>
      <c r="D30" s="8">
        <f t="shared" si="0"/>
        <v>0.92457999999999996</v>
      </c>
      <c r="E30" s="8">
        <v>7.5420000000000001E-2</v>
      </c>
    </row>
    <row r="31" spans="2:5" x14ac:dyDescent="0.25">
      <c r="B31" s="8">
        <v>363.15</v>
      </c>
      <c r="C31" s="12">
        <v>9.9456694107751069</v>
      </c>
      <c r="D31" s="8">
        <f t="shared" si="0"/>
        <v>0.90403999999999995</v>
      </c>
      <c r="E31" s="8">
        <v>9.5960000000000004E-2</v>
      </c>
    </row>
    <row r="32" spans="2:5" x14ac:dyDescent="0.25">
      <c r="B32" s="8">
        <v>363.15</v>
      </c>
      <c r="C32" s="12">
        <v>12.547746107916545</v>
      </c>
      <c r="D32" s="8">
        <f t="shared" si="0"/>
        <v>0.88024999999999998</v>
      </c>
      <c r="E32" s="8">
        <v>0.11975</v>
      </c>
    </row>
    <row r="33" spans="2:5" x14ac:dyDescent="0.25">
      <c r="B33" s="8">
        <v>373.15</v>
      </c>
      <c r="C33" s="12">
        <v>2.8640770005102105</v>
      </c>
      <c r="D33" s="8">
        <f t="shared" si="0"/>
        <v>0.97408000000000006</v>
      </c>
      <c r="E33" s="8">
        <v>2.5919999999999999E-2</v>
      </c>
    </row>
    <row r="34" spans="2:5" x14ac:dyDescent="0.25">
      <c r="B34" s="8">
        <v>373.15</v>
      </c>
      <c r="C34" s="12">
        <v>5.262069250817027</v>
      </c>
      <c r="D34" s="8">
        <f t="shared" si="0"/>
        <v>0.94769000000000003</v>
      </c>
      <c r="E34" s="8">
        <v>5.2310000000000002E-2</v>
      </c>
    </row>
    <row r="35" spans="2:5" x14ac:dyDescent="0.25">
      <c r="B35" s="8">
        <v>373.15</v>
      </c>
      <c r="C35" s="12">
        <v>7.4642507480798121</v>
      </c>
      <c r="D35" s="8">
        <f t="shared" si="0"/>
        <v>0.92457999999999996</v>
      </c>
      <c r="E35" s="8">
        <v>7.5420000000000001E-2</v>
      </c>
    </row>
    <row r="36" spans="2:5" x14ac:dyDescent="0.25">
      <c r="B36" s="8">
        <v>373.15</v>
      </c>
      <c r="C36" s="12">
        <v>9.4561425281650315</v>
      </c>
      <c r="D36" s="8">
        <f t="shared" si="0"/>
        <v>0.90403999999999995</v>
      </c>
      <c r="E36" s="8">
        <v>9.5960000000000004E-2</v>
      </c>
    </row>
    <row r="37" spans="2:5" x14ac:dyDescent="0.25">
      <c r="B37" s="8">
        <v>373.15</v>
      </c>
      <c r="C37" s="12">
        <v>11.872750589500681</v>
      </c>
      <c r="D37" s="8">
        <f t="shared" si="0"/>
        <v>0.88024999999999998</v>
      </c>
      <c r="E37" s="8">
        <v>0.11975</v>
      </c>
    </row>
    <row r="38" spans="2:5" x14ac:dyDescent="0.25">
      <c r="B38" s="8">
        <v>383.15</v>
      </c>
      <c r="C38" s="12">
        <v>2.862008577062563</v>
      </c>
      <c r="D38" s="8">
        <f t="shared" si="0"/>
        <v>0.97408000000000006</v>
      </c>
      <c r="E38" s="8">
        <v>2.5919999999999999E-2</v>
      </c>
    </row>
    <row r="39" spans="2:5" x14ac:dyDescent="0.25">
      <c r="B39" s="8">
        <v>383.15</v>
      </c>
      <c r="C39" s="12">
        <v>5.1034901198306653</v>
      </c>
      <c r="D39" s="8">
        <f t="shared" si="0"/>
        <v>0.94769000000000003</v>
      </c>
      <c r="E39" s="8">
        <v>5.2310000000000002E-2</v>
      </c>
    </row>
    <row r="40" spans="2:5" x14ac:dyDescent="0.25">
      <c r="B40" s="8">
        <v>383.15</v>
      </c>
      <c r="C40" s="12">
        <v>7.1567451288627799</v>
      </c>
      <c r="D40" s="8">
        <f t="shared" si="0"/>
        <v>0.92457999999999996</v>
      </c>
      <c r="E40" s="8">
        <v>7.5420000000000001E-2</v>
      </c>
    </row>
    <row r="41" spans="2:5" x14ac:dyDescent="0.25">
      <c r="B41" s="8">
        <v>383.15</v>
      </c>
      <c r="C41" s="12">
        <v>9.0072946400253731</v>
      </c>
      <c r="D41" s="8">
        <f t="shared" si="0"/>
        <v>0.90403999999999995</v>
      </c>
      <c r="E41" s="8">
        <v>9.5960000000000004E-2</v>
      </c>
    </row>
    <row r="42" spans="2:5" x14ac:dyDescent="0.25">
      <c r="B42" s="8">
        <v>383.15</v>
      </c>
      <c r="C42" s="12">
        <v>11.260497248996813</v>
      </c>
      <c r="D42" s="8">
        <f t="shared" si="0"/>
        <v>0.88024999999999998</v>
      </c>
      <c r="E42" s="8">
        <v>0.11975</v>
      </c>
    </row>
    <row r="43" spans="2:5" x14ac:dyDescent="0.25">
      <c r="B43" s="8">
        <v>393.15</v>
      </c>
      <c r="C43" s="12">
        <v>2.889587556364539</v>
      </c>
      <c r="D43" s="8">
        <f t="shared" si="0"/>
        <v>0.97408000000000006</v>
      </c>
      <c r="E43" s="8">
        <v>2.5919999999999999E-2</v>
      </c>
    </row>
    <row r="44" spans="2:5" x14ac:dyDescent="0.25">
      <c r="B44" s="8">
        <v>393.15</v>
      </c>
      <c r="C44" s="12">
        <v>4.9766268150415742</v>
      </c>
      <c r="D44" s="8">
        <f t="shared" si="0"/>
        <v>0.94769000000000003</v>
      </c>
      <c r="E44" s="8">
        <v>5.2310000000000002E-2</v>
      </c>
    </row>
    <row r="45" spans="2:5" x14ac:dyDescent="0.25">
      <c r="B45" s="8">
        <v>393.15</v>
      </c>
      <c r="C45" s="12">
        <v>6.8864711317034146</v>
      </c>
      <c r="D45" s="8">
        <f t="shared" si="0"/>
        <v>0.92457999999999996</v>
      </c>
      <c r="E45" s="8">
        <v>7.5420000000000001E-2</v>
      </c>
    </row>
    <row r="46" spans="2:5" x14ac:dyDescent="0.25">
      <c r="B46" s="8">
        <v>393.15</v>
      </c>
      <c r="C46" s="12">
        <v>8.6080889146292687</v>
      </c>
      <c r="D46" s="8">
        <f t="shared" si="0"/>
        <v>0.90403999999999995</v>
      </c>
      <c r="E46" s="8">
        <v>9.5960000000000004E-2</v>
      </c>
    </row>
    <row r="47" spans="2:5" x14ac:dyDescent="0.25">
      <c r="B47" s="8">
        <v>393.15</v>
      </c>
      <c r="C47" s="12">
        <v>10.684786056068065</v>
      </c>
      <c r="D47" s="8">
        <f t="shared" si="0"/>
        <v>0.88024999999999998</v>
      </c>
      <c r="E47" s="8">
        <v>0.11975</v>
      </c>
    </row>
    <row r="48" spans="2:5" x14ac:dyDescent="0.25">
      <c r="B48" s="8">
        <v>403.15</v>
      </c>
      <c r="C48" s="12">
        <v>2.9440560404859415</v>
      </c>
      <c r="D48" s="8">
        <f t="shared" si="0"/>
        <v>0.97408000000000006</v>
      </c>
      <c r="E48" s="8">
        <v>2.5919999999999999E-2</v>
      </c>
    </row>
    <row r="49" spans="2:5" x14ac:dyDescent="0.25">
      <c r="B49" s="8">
        <v>403.15</v>
      </c>
      <c r="C49" s="12">
        <v>4.8863056578276041</v>
      </c>
      <c r="D49" s="8">
        <f t="shared" si="0"/>
        <v>0.94769000000000003</v>
      </c>
      <c r="E49" s="8">
        <v>5.2310000000000002E-2</v>
      </c>
    </row>
    <row r="50" spans="2:5" x14ac:dyDescent="0.25">
      <c r="B50" s="8">
        <v>403.15</v>
      </c>
      <c r="C50" s="12">
        <v>6.6568761290144645</v>
      </c>
      <c r="D50" s="8">
        <f t="shared" si="0"/>
        <v>0.92457999999999996</v>
      </c>
      <c r="E50" s="8">
        <v>7.5420000000000001E-2</v>
      </c>
    </row>
    <row r="51" spans="2:5" x14ac:dyDescent="0.25">
      <c r="B51" s="8">
        <v>403.15</v>
      </c>
      <c r="C51" s="12">
        <v>8.2543885050814261</v>
      </c>
      <c r="D51" s="8">
        <f t="shared" si="0"/>
        <v>0.90403999999999995</v>
      </c>
      <c r="E51" s="8">
        <v>9.5960000000000004E-2</v>
      </c>
    </row>
    <row r="52" spans="2:5" x14ac:dyDescent="0.25">
      <c r="B52" s="8">
        <v>403.15</v>
      </c>
      <c r="C52" s="12">
        <v>10.176643362429155</v>
      </c>
      <c r="D52" s="8">
        <f t="shared" si="0"/>
        <v>0.88024999999999998</v>
      </c>
      <c r="E52" s="8">
        <v>0.11975</v>
      </c>
    </row>
    <row r="53" spans="2:5" x14ac:dyDescent="0.25">
      <c r="B53" s="8">
        <v>413.15</v>
      </c>
      <c r="C53" s="12">
        <v>3.0350666721824622</v>
      </c>
      <c r="D53" s="8">
        <f t="shared" si="0"/>
        <v>0.97408000000000006</v>
      </c>
      <c r="E53" s="8">
        <v>2.5919999999999999E-2</v>
      </c>
    </row>
    <row r="54" spans="2:5" x14ac:dyDescent="0.25">
      <c r="B54" s="8">
        <v>413.15</v>
      </c>
      <c r="C54" s="12">
        <v>4.8214950564679597</v>
      </c>
      <c r="D54" s="8">
        <f t="shared" si="0"/>
        <v>0.94769000000000003</v>
      </c>
      <c r="E54" s="8">
        <v>5.2310000000000002E-2</v>
      </c>
    </row>
    <row r="55" spans="2:5" x14ac:dyDescent="0.25">
      <c r="B55" s="8">
        <v>413.15</v>
      </c>
      <c r="C55" s="12">
        <v>6.4472758863194466</v>
      </c>
      <c r="D55" s="8">
        <f t="shared" si="0"/>
        <v>0.92457999999999996</v>
      </c>
      <c r="E55" s="8">
        <v>7.5420000000000001E-2</v>
      </c>
    </row>
    <row r="56" spans="2:5" x14ac:dyDescent="0.25">
      <c r="B56" s="8">
        <v>413.15</v>
      </c>
      <c r="C56" s="12">
        <v>7.9048249424288803</v>
      </c>
      <c r="D56" s="8">
        <f t="shared" si="0"/>
        <v>0.90403999999999995</v>
      </c>
      <c r="E56" s="8">
        <v>9.5960000000000004E-2</v>
      </c>
    </row>
    <row r="57" spans="2:5" x14ac:dyDescent="0.25">
      <c r="B57" s="8">
        <v>413.15</v>
      </c>
      <c r="C57" s="12">
        <v>9.6650532963775007</v>
      </c>
      <c r="D57" s="8">
        <f t="shared" si="0"/>
        <v>0.88024999999999998</v>
      </c>
      <c r="E57" s="8">
        <v>0.11975</v>
      </c>
    </row>
    <row r="58" spans="2:5" x14ac:dyDescent="0.25">
      <c r="B58" s="8">
        <v>423.15</v>
      </c>
      <c r="C58" s="12">
        <v>3.1536562831809589</v>
      </c>
      <c r="D58" s="8">
        <f t="shared" si="0"/>
        <v>0.97408000000000006</v>
      </c>
      <c r="E58" s="8">
        <v>2.5919999999999999E-2</v>
      </c>
    </row>
    <row r="59" spans="2:5" x14ac:dyDescent="0.25">
      <c r="B59" s="8">
        <v>423.15</v>
      </c>
      <c r="C59" s="12">
        <v>4.7890897557881384</v>
      </c>
      <c r="D59" s="8">
        <f t="shared" si="0"/>
        <v>0.94769000000000003</v>
      </c>
      <c r="E59" s="8">
        <v>5.2310000000000002E-2</v>
      </c>
    </row>
    <row r="60" spans="2:5" x14ac:dyDescent="0.25">
      <c r="B60" s="8">
        <v>423.15</v>
      </c>
      <c r="C60" s="12">
        <v>6.2728388422344485</v>
      </c>
      <c r="D60" s="8">
        <f t="shared" si="0"/>
        <v>0.92457999999999996</v>
      </c>
      <c r="E60" s="8">
        <v>7.5420000000000001E-2</v>
      </c>
    </row>
    <row r="61" spans="2:5" x14ac:dyDescent="0.25">
      <c r="B61" s="8">
        <v>423.15</v>
      </c>
      <c r="C61" s="12">
        <v>7.6021456445896929</v>
      </c>
      <c r="D61" s="8">
        <f t="shared" si="0"/>
        <v>0.90403999999999995</v>
      </c>
      <c r="E61" s="8">
        <v>9.5960000000000004E-2</v>
      </c>
    </row>
    <row r="62" spans="2:5" x14ac:dyDescent="0.25">
      <c r="B62" s="8">
        <v>423.15</v>
      </c>
      <c r="C62" s="12">
        <v>9.1969001227264577</v>
      </c>
      <c r="D62" s="8">
        <f t="shared" si="0"/>
        <v>0.88024999999999998</v>
      </c>
      <c r="E62" s="8">
        <v>0.11975</v>
      </c>
    </row>
    <row r="63" spans="2:5" x14ac:dyDescent="0.25">
      <c r="B63" s="8">
        <v>433.15</v>
      </c>
      <c r="C63" s="12">
        <v>3.3046511948592783</v>
      </c>
      <c r="D63" s="8">
        <f t="shared" si="0"/>
        <v>0.97408000000000006</v>
      </c>
      <c r="E63" s="8">
        <v>2.5919999999999999E-2</v>
      </c>
    </row>
    <row r="64" spans="2:5" x14ac:dyDescent="0.25">
      <c r="B64" s="8">
        <v>433.15</v>
      </c>
      <c r="C64" s="12">
        <v>4.7856423833753912</v>
      </c>
      <c r="D64" s="8">
        <f t="shared" si="0"/>
        <v>0.94769000000000003</v>
      </c>
      <c r="E64" s="8">
        <v>5.2310000000000002E-2</v>
      </c>
    </row>
    <row r="65" spans="2:5" x14ac:dyDescent="0.25">
      <c r="B65" s="8">
        <v>433.15</v>
      </c>
      <c r="C65" s="12">
        <v>6.1204649815910308</v>
      </c>
      <c r="D65" s="8">
        <f t="shared" si="0"/>
        <v>0.92457999999999996</v>
      </c>
      <c r="E65" s="8">
        <v>7.5420000000000001E-2</v>
      </c>
    </row>
    <row r="66" spans="2:5" x14ac:dyDescent="0.25">
      <c r="B66" s="8">
        <v>433.15</v>
      </c>
      <c r="C66" s="12">
        <v>7.3132558364014946</v>
      </c>
      <c r="D66" s="8">
        <f t="shared" si="0"/>
        <v>0.90403999999999995</v>
      </c>
      <c r="E66" s="8">
        <v>9.5960000000000004E-2</v>
      </c>
    </row>
    <row r="67" spans="2:5" x14ac:dyDescent="0.25">
      <c r="B67" s="8">
        <v>433.15</v>
      </c>
      <c r="C67" s="12">
        <v>8.7411574897613029</v>
      </c>
      <c r="D67" s="8">
        <f t="shared" ref="D67:D82" si="1">1-E67</f>
        <v>0.88024999999999998</v>
      </c>
      <c r="E67" s="8">
        <v>0.11975</v>
      </c>
    </row>
    <row r="68" spans="2:5" x14ac:dyDescent="0.25">
      <c r="B68" s="8">
        <v>443.15</v>
      </c>
      <c r="C68" s="12">
        <v>3.4901198306650669</v>
      </c>
      <c r="D68" s="8">
        <f t="shared" si="1"/>
        <v>0.97408000000000006</v>
      </c>
      <c r="E68" s="8">
        <v>2.5919999999999999E-2</v>
      </c>
    </row>
    <row r="69" spans="2:5" x14ac:dyDescent="0.25">
      <c r="B69" s="8">
        <v>443.15</v>
      </c>
      <c r="C69" s="12">
        <v>4.800121347508929</v>
      </c>
      <c r="D69" s="8">
        <f t="shared" si="1"/>
        <v>0.94769000000000003</v>
      </c>
      <c r="E69" s="8">
        <v>5.2310000000000002E-2</v>
      </c>
    </row>
    <row r="70" spans="2:5" x14ac:dyDescent="0.25">
      <c r="B70" s="8">
        <v>443.15</v>
      </c>
      <c r="C70" s="12">
        <v>5.9811911361160517</v>
      </c>
      <c r="D70" s="8">
        <f t="shared" si="1"/>
        <v>0.92457999999999996</v>
      </c>
      <c r="E70" s="8">
        <v>7.5420000000000001E-2</v>
      </c>
    </row>
    <row r="71" spans="2:5" x14ac:dyDescent="0.25">
      <c r="B71" s="8">
        <v>443.15</v>
      </c>
      <c r="C71" s="12">
        <v>7.0285028751085914</v>
      </c>
      <c r="D71" s="8">
        <f t="shared" si="1"/>
        <v>0.90403999999999995</v>
      </c>
      <c r="E71" s="8">
        <v>9.5960000000000004E-2</v>
      </c>
    </row>
    <row r="72" spans="2:5" x14ac:dyDescent="0.25">
      <c r="B72" s="8">
        <v>443.15</v>
      </c>
      <c r="C72" s="12">
        <v>8.27300431611026</v>
      </c>
      <c r="D72" s="8">
        <f t="shared" si="1"/>
        <v>0.88024999999999998</v>
      </c>
      <c r="E72" s="8">
        <v>0.11975</v>
      </c>
    </row>
    <row r="73" spans="2:5" x14ac:dyDescent="0.25">
      <c r="B73" s="8">
        <v>453.15</v>
      </c>
      <c r="C73" s="12">
        <v>3.7010990223251832</v>
      </c>
      <c r="D73" s="8">
        <f t="shared" si="1"/>
        <v>0.97408000000000006</v>
      </c>
      <c r="E73" s="8">
        <v>2.5919999999999999E-2</v>
      </c>
    </row>
    <row r="74" spans="2:5" x14ac:dyDescent="0.25">
      <c r="B74" s="8">
        <v>453.15</v>
      </c>
      <c r="C74" s="12">
        <v>4.8214950564679597</v>
      </c>
      <c r="D74" s="8">
        <f t="shared" si="1"/>
        <v>0.94769000000000003</v>
      </c>
      <c r="E74" s="8">
        <v>5.2310000000000002E-2</v>
      </c>
    </row>
    <row r="75" spans="2:5" x14ac:dyDescent="0.25">
      <c r="B75" s="8">
        <v>453.15</v>
      </c>
      <c r="C75" s="12">
        <v>5.8198541071994923</v>
      </c>
      <c r="D75" s="8">
        <f t="shared" si="1"/>
        <v>0.92457999999999996</v>
      </c>
      <c r="E75" s="8">
        <v>7.5420000000000001E-2</v>
      </c>
    </row>
    <row r="76" spans="2:5" x14ac:dyDescent="0.25">
      <c r="B76" s="8">
        <v>453.15</v>
      </c>
      <c r="C76" s="12">
        <v>6.6975551234848796</v>
      </c>
      <c r="D76" s="8">
        <f t="shared" si="1"/>
        <v>0.90403999999999995</v>
      </c>
      <c r="E76" s="8">
        <v>9.5960000000000004E-2</v>
      </c>
    </row>
    <row r="77" spans="2:5" x14ac:dyDescent="0.25">
      <c r="B77" s="8">
        <v>453.15</v>
      </c>
      <c r="C77" s="12">
        <v>7.7276300004136838</v>
      </c>
      <c r="D77" s="8">
        <f t="shared" si="1"/>
        <v>0.88024999999999998</v>
      </c>
      <c r="E77" s="8">
        <v>0.11975</v>
      </c>
    </row>
    <row r="78" spans="2:5" x14ac:dyDescent="0.25">
      <c r="B78" s="8">
        <v>463.15</v>
      </c>
      <c r="C78" s="12">
        <v>3.9134571629503991</v>
      </c>
      <c r="D78" s="8">
        <f t="shared" si="1"/>
        <v>0.97408000000000006</v>
      </c>
      <c r="E78" s="8">
        <v>2.5919999999999999E-2</v>
      </c>
    </row>
    <row r="79" spans="2:5" x14ac:dyDescent="0.25">
      <c r="B79" s="8">
        <v>463.15</v>
      </c>
      <c r="C79" s="12">
        <v>4.7808160619975446</v>
      </c>
      <c r="D79" s="8">
        <f t="shared" si="1"/>
        <v>0.94769000000000003</v>
      </c>
      <c r="E79" s="8">
        <v>5.2310000000000002E-2</v>
      </c>
    </row>
    <row r="80" spans="2:5" x14ac:dyDescent="0.25">
      <c r="B80" s="8">
        <v>463.15</v>
      </c>
      <c r="C80" s="12">
        <v>5.5185537583254041</v>
      </c>
      <c r="D80" s="8">
        <f t="shared" si="1"/>
        <v>0.92457999999999996</v>
      </c>
      <c r="E80" s="8">
        <v>7.5420000000000001E-2</v>
      </c>
    </row>
    <row r="81" spans="1:7" x14ac:dyDescent="0.25">
      <c r="B81" s="8">
        <v>463.15</v>
      </c>
      <c r="C81" s="12">
        <v>6.1418386905500624</v>
      </c>
      <c r="D81" s="8">
        <f t="shared" si="1"/>
        <v>0.90403999999999995</v>
      </c>
      <c r="E81" s="8">
        <v>9.5960000000000004E-2</v>
      </c>
    </row>
    <row r="82" spans="1:7" ht="15.75" thickBot="1" x14ac:dyDescent="0.3">
      <c r="A82" s="9"/>
      <c r="B82" s="9">
        <v>463.15</v>
      </c>
      <c r="C82" s="15">
        <v>6.8388973924075067</v>
      </c>
      <c r="D82" s="9">
        <f t="shared" si="1"/>
        <v>0.88024999999999998</v>
      </c>
      <c r="E82" s="9">
        <v>0.11975</v>
      </c>
      <c r="F82" s="9"/>
      <c r="G82" s="9"/>
    </row>
    <row r="83" spans="1:7" x14ac:dyDescent="0.25">
      <c r="A83" s="18" t="s">
        <v>45</v>
      </c>
      <c r="B83" s="8">
        <f>0+273.15</f>
        <v>273.14999999999998</v>
      </c>
      <c r="C83" s="8">
        <v>0.34699999999999998</v>
      </c>
      <c r="D83" s="14"/>
      <c r="E83" s="14"/>
      <c r="F83" s="14">
        <f>1-G83</f>
        <v>7.779999999999998E-2</v>
      </c>
      <c r="G83" s="14">
        <v>0.92220000000000002</v>
      </c>
    </row>
    <row r="84" spans="1:7" x14ac:dyDescent="0.25">
      <c r="B84" s="8">
        <f t="shared" ref="B84:B96" si="2">0+273.15</f>
        <v>273.14999999999998</v>
      </c>
      <c r="C84" s="8">
        <v>1.032</v>
      </c>
      <c r="D84" s="14">
        <f t="shared" ref="D84:D119" si="3">1-E84</f>
        <v>0.99360000000000004</v>
      </c>
      <c r="E84" s="14">
        <v>6.4000000000000003E-3</v>
      </c>
      <c r="F84" s="14">
        <f t="shared" ref="F84:F119" si="4">1-G84</f>
        <v>3.3100000000000018E-2</v>
      </c>
      <c r="G84" s="14">
        <v>0.96689999999999998</v>
      </c>
    </row>
    <row r="85" spans="1:7" x14ac:dyDescent="0.25">
      <c r="B85" s="8">
        <f t="shared" si="2"/>
        <v>273.14999999999998</v>
      </c>
      <c r="C85" s="8">
        <v>1.7230000000000001</v>
      </c>
      <c r="D85" s="14">
        <f t="shared" si="3"/>
        <v>0.98870000000000002</v>
      </c>
      <c r="E85" s="14">
        <v>1.1299999999999999E-2</v>
      </c>
      <c r="F85" s="14">
        <f t="shared" si="4"/>
        <v>1.8499999999999961E-2</v>
      </c>
      <c r="G85" s="14">
        <v>0.98150000000000004</v>
      </c>
    </row>
    <row r="86" spans="1:7" x14ac:dyDescent="0.25">
      <c r="B86" s="8">
        <f t="shared" si="2"/>
        <v>273.14999999999998</v>
      </c>
      <c r="C86" s="8">
        <v>3.44</v>
      </c>
      <c r="D86" s="14">
        <f t="shared" si="3"/>
        <v>0.97819999999999996</v>
      </c>
      <c r="E86" s="14">
        <v>2.18E-2</v>
      </c>
      <c r="F86" s="14">
        <f t="shared" si="4"/>
        <v>9.3999999999999639E-3</v>
      </c>
      <c r="G86" s="14">
        <v>0.99060000000000004</v>
      </c>
    </row>
    <row r="87" spans="1:7" x14ac:dyDescent="0.25">
      <c r="B87" s="8">
        <f t="shared" si="2"/>
        <v>273.14999999999998</v>
      </c>
      <c r="C87" s="8">
        <v>5.17</v>
      </c>
      <c r="D87" s="14">
        <f t="shared" si="3"/>
        <v>0.96679999999999999</v>
      </c>
      <c r="E87" s="14">
        <v>3.32E-2</v>
      </c>
      <c r="F87" s="14">
        <f t="shared" si="4"/>
        <v>6.8000000000000282E-3</v>
      </c>
      <c r="G87" s="14">
        <v>0.99319999999999997</v>
      </c>
    </row>
    <row r="88" spans="1:7" x14ac:dyDescent="0.25">
      <c r="B88" s="8">
        <f t="shared" si="2"/>
        <v>273.14999999999998</v>
      </c>
      <c r="C88" s="8">
        <v>5.17</v>
      </c>
      <c r="D88" s="14"/>
      <c r="E88" s="14"/>
      <c r="F88" s="14"/>
      <c r="G88" s="14"/>
    </row>
    <row r="89" spans="1:7" x14ac:dyDescent="0.25">
      <c r="B89" s="8">
        <f t="shared" si="2"/>
        <v>273.14999999999998</v>
      </c>
      <c r="C89" s="8">
        <v>6.91</v>
      </c>
      <c r="D89" s="14">
        <f t="shared" si="3"/>
        <v>0.95430000000000004</v>
      </c>
      <c r="E89" s="14">
        <v>4.5699999999999998E-2</v>
      </c>
      <c r="F89" s="14">
        <f t="shared" si="4"/>
        <v>5.6000000000000494E-3</v>
      </c>
      <c r="G89" s="14">
        <v>0.99439999999999995</v>
      </c>
    </row>
    <row r="90" spans="1:7" x14ac:dyDescent="0.25">
      <c r="B90" s="8">
        <f t="shared" si="2"/>
        <v>273.14999999999998</v>
      </c>
      <c r="C90" s="8">
        <v>6.91</v>
      </c>
      <c r="D90" s="14"/>
      <c r="E90" s="14"/>
      <c r="F90" s="14"/>
      <c r="G90" s="14"/>
    </row>
    <row r="91" spans="1:7" x14ac:dyDescent="0.25">
      <c r="B91" s="8">
        <f t="shared" si="2"/>
        <v>273.14999999999998</v>
      </c>
      <c r="C91" s="8">
        <v>10.35</v>
      </c>
      <c r="D91" s="14">
        <f t="shared" si="3"/>
        <v>0.93289999999999995</v>
      </c>
      <c r="E91" s="14">
        <v>6.7100000000000007E-2</v>
      </c>
      <c r="F91" s="14">
        <f t="shared" si="4"/>
        <v>4.2999999999999705E-3</v>
      </c>
      <c r="G91" s="14">
        <v>0.99570000000000003</v>
      </c>
    </row>
    <row r="92" spans="1:7" x14ac:dyDescent="0.25">
      <c r="B92" s="8">
        <f t="shared" si="2"/>
        <v>273.14999999999998</v>
      </c>
      <c r="C92" s="8">
        <v>10.35</v>
      </c>
      <c r="D92" s="14"/>
      <c r="E92" s="14"/>
      <c r="F92" s="14"/>
      <c r="G92" s="14"/>
    </row>
    <row r="93" spans="1:7" x14ac:dyDescent="0.25">
      <c r="B93" s="8">
        <f t="shared" si="2"/>
        <v>273.14999999999998</v>
      </c>
      <c r="C93" s="8">
        <v>13.8</v>
      </c>
      <c r="D93" s="14">
        <f t="shared" si="3"/>
        <v>0.91600000000000004</v>
      </c>
      <c r="E93" s="14">
        <v>8.4000000000000005E-2</v>
      </c>
      <c r="F93" s="14">
        <f t="shared" si="4"/>
        <v>3.9000000000000146E-3</v>
      </c>
      <c r="G93" s="14">
        <v>0.99609999999999999</v>
      </c>
    </row>
    <row r="94" spans="1:7" x14ac:dyDescent="0.25">
      <c r="B94" s="8">
        <f t="shared" si="2"/>
        <v>273.14999999999998</v>
      </c>
      <c r="C94" s="8">
        <v>13.8</v>
      </c>
      <c r="D94" s="14"/>
      <c r="E94" s="14"/>
      <c r="F94" s="14"/>
      <c r="G94" s="14"/>
    </row>
    <row r="95" spans="1:7" x14ac:dyDescent="0.25">
      <c r="B95" s="8">
        <f t="shared" si="2"/>
        <v>273.14999999999998</v>
      </c>
      <c r="C95" s="8">
        <v>20.65</v>
      </c>
      <c r="D95" s="14">
        <f t="shared" si="3"/>
        <v>0.876</v>
      </c>
      <c r="E95" s="14">
        <v>0.124</v>
      </c>
      <c r="F95" s="14">
        <f t="shared" si="4"/>
        <v>3.4999999999999476E-3</v>
      </c>
      <c r="G95" s="14">
        <v>0.99650000000000005</v>
      </c>
    </row>
    <row r="96" spans="1:7" x14ac:dyDescent="0.25">
      <c r="B96" s="8">
        <f t="shared" si="2"/>
        <v>273.14999999999998</v>
      </c>
      <c r="C96" s="8">
        <v>27.58</v>
      </c>
      <c r="D96" s="14">
        <f t="shared" si="3"/>
        <v>0.83899999999999997</v>
      </c>
      <c r="E96" s="14">
        <v>0.161</v>
      </c>
      <c r="F96" s="14">
        <f t="shared" si="4"/>
        <v>3.6000000000000476E-3</v>
      </c>
      <c r="G96" s="14">
        <v>0.99639999999999995</v>
      </c>
    </row>
    <row r="97" spans="2:7" x14ac:dyDescent="0.25">
      <c r="B97" s="8">
        <f>273.15+50</f>
        <v>323.14999999999998</v>
      </c>
      <c r="C97" s="8">
        <v>0.34699999999999998</v>
      </c>
      <c r="D97" s="14">
        <f t="shared" si="3"/>
        <v>0.99839</v>
      </c>
      <c r="E97" s="14">
        <v>1.6100000000000001E-3</v>
      </c>
      <c r="F97" s="14">
        <f t="shared" si="4"/>
        <v>0.48799999999999999</v>
      </c>
      <c r="G97" s="14">
        <v>0.51200000000000001</v>
      </c>
    </row>
    <row r="98" spans="2:7" x14ac:dyDescent="0.25">
      <c r="B98" s="8">
        <f t="shared" ref="B98:B110" si="5">273.15+50</f>
        <v>323.14999999999998</v>
      </c>
      <c r="C98" s="8">
        <v>0.69299999999999995</v>
      </c>
      <c r="D98" s="14">
        <f t="shared" si="3"/>
        <v>0.99560000000000004</v>
      </c>
      <c r="E98" s="14">
        <v>4.4000000000000003E-3</v>
      </c>
      <c r="F98" s="14">
        <f t="shared" si="4"/>
        <v>0.251</v>
      </c>
      <c r="G98" s="14">
        <v>0.749</v>
      </c>
    </row>
    <row r="99" spans="2:7" x14ac:dyDescent="0.25">
      <c r="B99" s="8">
        <f t="shared" si="5"/>
        <v>323.14999999999998</v>
      </c>
      <c r="C99" s="8">
        <v>0.69399999999999995</v>
      </c>
      <c r="D99" s="14">
        <f t="shared" si="3"/>
        <v>0.99550000000000005</v>
      </c>
      <c r="E99" s="14">
        <v>4.4999999999999997E-3</v>
      </c>
      <c r="F99" s="14">
        <f t="shared" si="4"/>
        <v>0.252</v>
      </c>
      <c r="G99" s="14">
        <v>0.748</v>
      </c>
    </row>
    <row r="100" spans="2:7" x14ac:dyDescent="0.25">
      <c r="B100" s="8">
        <f t="shared" si="5"/>
        <v>323.14999999999998</v>
      </c>
      <c r="C100" s="8">
        <v>1.724</v>
      </c>
      <c r="D100" s="14">
        <f t="shared" si="3"/>
        <v>0.98760000000000003</v>
      </c>
      <c r="E100" s="14">
        <v>1.24E-2</v>
      </c>
      <c r="F100" s="14">
        <f t="shared" si="4"/>
        <v>0.10550000000000004</v>
      </c>
      <c r="G100" s="14">
        <v>0.89449999999999996</v>
      </c>
    </row>
    <row r="101" spans="2:7" x14ac:dyDescent="0.25">
      <c r="B101" s="8">
        <f t="shared" si="5"/>
        <v>323.14999999999998</v>
      </c>
      <c r="C101" s="8">
        <v>3.45</v>
      </c>
      <c r="D101" s="14">
        <f t="shared" si="3"/>
        <v>0.97419999999999995</v>
      </c>
      <c r="E101" s="14">
        <v>2.58E-2</v>
      </c>
      <c r="F101" s="14">
        <f t="shared" si="4"/>
        <v>5.8200000000000029E-2</v>
      </c>
      <c r="G101" s="14">
        <v>0.94179999999999997</v>
      </c>
    </row>
    <row r="102" spans="2:7" x14ac:dyDescent="0.25">
      <c r="B102" s="8">
        <f t="shared" si="5"/>
        <v>323.14999999999998</v>
      </c>
      <c r="C102" s="8">
        <v>3.45</v>
      </c>
      <c r="D102" s="14">
        <f t="shared" si="3"/>
        <v>0.97350000000000003</v>
      </c>
      <c r="E102" s="14">
        <v>2.6499999999999999E-2</v>
      </c>
      <c r="F102" s="14">
        <f t="shared" si="4"/>
        <v>5.600000000000005E-2</v>
      </c>
      <c r="G102" s="14">
        <v>0.94399999999999995</v>
      </c>
    </row>
    <row r="103" spans="2:7" x14ac:dyDescent="0.25">
      <c r="B103" s="8">
        <f t="shared" si="5"/>
        <v>323.14999999999998</v>
      </c>
      <c r="C103" s="8">
        <v>5.18</v>
      </c>
      <c r="D103" s="14">
        <f t="shared" si="3"/>
        <v>0.96140000000000003</v>
      </c>
      <c r="E103" s="14">
        <v>3.8600000000000002E-2</v>
      </c>
      <c r="F103" s="14">
        <f t="shared" si="4"/>
        <v>4.1100000000000025E-2</v>
      </c>
      <c r="G103" s="14">
        <v>0.95889999999999997</v>
      </c>
    </row>
    <row r="104" spans="2:7" x14ac:dyDescent="0.25">
      <c r="B104" s="8">
        <f t="shared" si="5"/>
        <v>323.14999999999998</v>
      </c>
      <c r="C104" s="8">
        <v>6.89</v>
      </c>
      <c r="D104" s="14">
        <f t="shared" si="3"/>
        <v>0.94799999999999995</v>
      </c>
      <c r="E104" s="14">
        <v>5.1999999999999998E-2</v>
      </c>
      <c r="F104" s="14">
        <f t="shared" si="4"/>
        <v>3.3399999999999985E-2</v>
      </c>
      <c r="G104" s="14">
        <v>0.96660000000000001</v>
      </c>
    </row>
    <row r="105" spans="2:7" x14ac:dyDescent="0.25">
      <c r="B105" s="8">
        <f t="shared" si="5"/>
        <v>323.14999999999998</v>
      </c>
      <c r="C105" s="8">
        <v>10.34</v>
      </c>
      <c r="D105" s="14">
        <f t="shared" si="3"/>
        <v>0.92169999999999996</v>
      </c>
      <c r="E105" s="14">
        <v>7.8299999999999995E-2</v>
      </c>
      <c r="F105" s="14">
        <f t="shared" si="4"/>
        <v>2.5399999999999978E-2</v>
      </c>
      <c r="G105" s="14">
        <v>0.97460000000000002</v>
      </c>
    </row>
    <row r="106" spans="2:7" x14ac:dyDescent="0.25">
      <c r="B106" s="8">
        <f t="shared" si="5"/>
        <v>323.14999999999998</v>
      </c>
      <c r="C106" s="8">
        <v>13.79</v>
      </c>
      <c r="D106" s="14">
        <f t="shared" si="3"/>
        <v>0.89649999999999996</v>
      </c>
      <c r="E106" s="14">
        <v>0.10349999999999999</v>
      </c>
      <c r="F106" s="14">
        <f t="shared" si="4"/>
        <v>2.1399999999999975E-2</v>
      </c>
      <c r="G106" s="14">
        <v>0.97860000000000003</v>
      </c>
    </row>
    <row r="107" spans="2:7" x14ac:dyDescent="0.25">
      <c r="B107" s="8">
        <f t="shared" si="5"/>
        <v>323.14999999999998</v>
      </c>
      <c r="C107" s="8">
        <v>13.79</v>
      </c>
      <c r="D107" s="14">
        <f t="shared" si="3"/>
        <v>0.90249999999999997</v>
      </c>
      <c r="E107" s="14">
        <v>9.7500000000000003E-2</v>
      </c>
      <c r="F107" s="14">
        <f t="shared" si="4"/>
        <v>2.3800000000000043E-2</v>
      </c>
      <c r="G107" s="14">
        <v>0.97619999999999996</v>
      </c>
    </row>
    <row r="108" spans="2:7" x14ac:dyDescent="0.25">
      <c r="B108" s="8">
        <f t="shared" si="5"/>
        <v>323.14999999999998</v>
      </c>
      <c r="C108" s="8">
        <v>20.68</v>
      </c>
      <c r="D108" s="14"/>
      <c r="E108" s="14"/>
      <c r="F108" s="14">
        <f t="shared" si="4"/>
        <v>1.859999999999995E-2</v>
      </c>
      <c r="G108" s="14">
        <v>0.98140000000000005</v>
      </c>
    </row>
    <row r="109" spans="2:7" x14ac:dyDescent="0.25">
      <c r="B109" s="8">
        <f t="shared" si="5"/>
        <v>323.14999999999998</v>
      </c>
      <c r="C109" s="8">
        <v>20.72</v>
      </c>
      <c r="D109" s="14">
        <f t="shared" si="3"/>
        <v>0.85399999999999998</v>
      </c>
      <c r="E109" s="14">
        <v>0.14599999999999999</v>
      </c>
      <c r="F109" s="14"/>
      <c r="G109" s="14"/>
    </row>
    <row r="110" spans="2:7" x14ac:dyDescent="0.25">
      <c r="B110" s="8">
        <f t="shared" si="5"/>
        <v>323.14999999999998</v>
      </c>
      <c r="C110" s="8">
        <v>27.59</v>
      </c>
      <c r="D110" s="14">
        <f t="shared" si="3"/>
        <v>0.80400000000000005</v>
      </c>
      <c r="E110" s="14">
        <v>0.19600000000000001</v>
      </c>
      <c r="F110" s="14">
        <f t="shared" si="4"/>
        <v>1.7700000000000049E-2</v>
      </c>
      <c r="G110" s="14">
        <v>0.98229999999999995</v>
      </c>
    </row>
    <row r="111" spans="2:7" x14ac:dyDescent="0.25">
      <c r="B111" s="8">
        <f>273.15+100</f>
        <v>373.15</v>
      </c>
      <c r="C111" s="8">
        <v>1.036</v>
      </c>
      <c r="D111" s="14">
        <f t="shared" si="3"/>
        <v>0.99529999999999996</v>
      </c>
      <c r="E111" s="14">
        <v>4.7000000000000002E-3</v>
      </c>
      <c r="F111" s="14">
        <f t="shared" si="4"/>
        <v>0.627</v>
      </c>
      <c r="G111" s="14">
        <v>0.373</v>
      </c>
    </row>
    <row r="112" spans="2:7" x14ac:dyDescent="0.25">
      <c r="B112" s="8">
        <f t="shared" ref="B112:B119" si="6">273.15+100</f>
        <v>373.15</v>
      </c>
      <c r="C112" s="8">
        <v>1.726</v>
      </c>
      <c r="D112" s="14">
        <f t="shared" si="3"/>
        <v>0.98750000000000004</v>
      </c>
      <c r="E112" s="14">
        <v>1.2500000000000001E-2</v>
      </c>
      <c r="F112" s="14">
        <f t="shared" si="4"/>
        <v>0.39</v>
      </c>
      <c r="G112" s="14">
        <v>0.61</v>
      </c>
    </row>
    <row r="113" spans="1:7" x14ac:dyDescent="0.25">
      <c r="B113" s="8">
        <f t="shared" si="6"/>
        <v>373.15</v>
      </c>
      <c r="C113" s="8">
        <v>3.45</v>
      </c>
      <c r="D113" s="14">
        <f t="shared" si="3"/>
        <v>0.96860000000000002</v>
      </c>
      <c r="E113" s="14">
        <v>3.1399999999999997E-2</v>
      </c>
      <c r="F113" s="14">
        <f t="shared" si="4"/>
        <v>0.20699999999999996</v>
      </c>
      <c r="G113" s="14">
        <v>0.79300000000000004</v>
      </c>
    </row>
    <row r="114" spans="1:7" x14ac:dyDescent="0.25">
      <c r="B114" s="8">
        <f t="shared" si="6"/>
        <v>373.15</v>
      </c>
      <c r="C114" s="8">
        <v>5.17</v>
      </c>
      <c r="D114" s="14">
        <f t="shared" si="3"/>
        <v>0.95230000000000004</v>
      </c>
      <c r="E114" s="14">
        <v>4.7699999999999999E-2</v>
      </c>
      <c r="F114" s="14">
        <f t="shared" si="4"/>
        <v>0.16000000000000003</v>
      </c>
      <c r="G114" s="14">
        <v>0.84</v>
      </c>
    </row>
    <row r="115" spans="1:7" x14ac:dyDescent="0.25">
      <c r="B115" s="8">
        <f t="shared" si="6"/>
        <v>373.15</v>
      </c>
      <c r="C115" s="8">
        <v>6.89</v>
      </c>
      <c r="D115" s="14">
        <f t="shared" si="3"/>
        <v>0.93340000000000001</v>
      </c>
      <c r="E115" s="14">
        <v>6.6600000000000006E-2</v>
      </c>
      <c r="F115" s="14">
        <f t="shared" si="4"/>
        <v>0.125</v>
      </c>
      <c r="G115" s="14">
        <v>0.875</v>
      </c>
    </row>
    <row r="116" spans="1:7" x14ac:dyDescent="0.25">
      <c r="B116" s="8">
        <f t="shared" si="6"/>
        <v>373.15</v>
      </c>
      <c r="C116" s="8">
        <v>10.34</v>
      </c>
      <c r="D116" s="14">
        <f t="shared" si="3"/>
        <v>0.89900000000000002</v>
      </c>
      <c r="E116" s="14">
        <v>0.10100000000000001</v>
      </c>
      <c r="F116" s="14">
        <f t="shared" si="4"/>
        <v>9.7999999999999976E-2</v>
      </c>
      <c r="G116" s="14">
        <v>0.90200000000000002</v>
      </c>
    </row>
    <row r="117" spans="1:7" x14ac:dyDescent="0.25">
      <c r="B117" s="8">
        <f t="shared" si="6"/>
        <v>373.15</v>
      </c>
      <c r="C117" s="8">
        <v>13.79</v>
      </c>
      <c r="D117" s="14">
        <f t="shared" si="3"/>
        <v>0.86299999999999999</v>
      </c>
      <c r="E117" s="14">
        <v>0.13700000000000001</v>
      </c>
      <c r="F117" s="14">
        <f t="shared" si="4"/>
        <v>7.6999999999999957E-2</v>
      </c>
      <c r="G117" s="14">
        <v>0.92300000000000004</v>
      </c>
    </row>
    <row r="118" spans="1:7" x14ac:dyDescent="0.25">
      <c r="B118" s="8">
        <f t="shared" si="6"/>
        <v>373.15</v>
      </c>
      <c r="C118" s="8">
        <v>20.68</v>
      </c>
      <c r="D118" s="14">
        <f t="shared" si="3"/>
        <v>0.79699999999999993</v>
      </c>
      <c r="E118" s="14">
        <v>0.20300000000000001</v>
      </c>
      <c r="F118" s="14">
        <f t="shared" si="4"/>
        <v>6.2599999999999989E-2</v>
      </c>
      <c r="G118" s="14">
        <v>0.93740000000000001</v>
      </c>
    </row>
    <row r="119" spans="1:7" ht="15.75" thickBot="1" x14ac:dyDescent="0.3">
      <c r="A119" s="9"/>
      <c r="B119" s="9">
        <f t="shared" si="6"/>
        <v>373.15</v>
      </c>
      <c r="C119" s="9">
        <v>27.59</v>
      </c>
      <c r="D119" s="16">
        <f t="shared" si="3"/>
        <v>0.74099999999999999</v>
      </c>
      <c r="E119" s="16">
        <v>0.25900000000000001</v>
      </c>
      <c r="F119" s="16">
        <f t="shared" si="4"/>
        <v>5.8000000000000052E-2</v>
      </c>
      <c r="G119" s="16">
        <v>0.94199999999999995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08B7B-7299-475C-B276-58115CD86F9D}">
  <sheetPr codeName="Hoja9"/>
  <dimension ref="A1:J2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28.140625" bestFit="1" customWidth="1"/>
    <col min="2" max="2" width="4.85546875" bestFit="1" customWidth="1"/>
    <col min="3" max="3" width="7.7109375" bestFit="1" customWidth="1"/>
    <col min="4" max="4" width="11" bestFit="1" customWidth="1"/>
    <col min="5" max="5" width="9.42578125" bestFit="1" customWidth="1"/>
    <col min="6" max="6" width="11" bestFit="1" customWidth="1"/>
    <col min="7" max="7" width="9.42578125" bestFit="1" customWidth="1"/>
  </cols>
  <sheetData>
    <row r="1" spans="1:10" ht="18" x14ac:dyDescent="0.35">
      <c r="A1" s="1" t="s">
        <v>0</v>
      </c>
      <c r="B1" s="2" t="s">
        <v>3</v>
      </c>
      <c r="C1" s="3" t="s">
        <v>4</v>
      </c>
      <c r="D1" s="1" t="s">
        <v>21</v>
      </c>
      <c r="E1" s="1" t="s">
        <v>2</v>
      </c>
      <c r="F1" s="1" t="s">
        <v>22</v>
      </c>
      <c r="G1" s="1" t="s">
        <v>7</v>
      </c>
      <c r="J1" s="4"/>
    </row>
    <row r="2" spans="1:10" x14ac:dyDescent="0.25">
      <c r="A2" s="5" t="s">
        <v>101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1F84-FE03-42CF-B22B-D8EF3436BE9F}">
  <sheetPr codeName="Hoja10"/>
  <dimension ref="A1:I173"/>
  <sheetViews>
    <sheetView workbookViewId="0">
      <pane ySplit="1" topLeftCell="A2" activePane="bottomLeft" state="frozen"/>
      <selection pane="bottomLeft" activeCell="I1" sqref="I1"/>
    </sheetView>
  </sheetViews>
  <sheetFormatPr defaultColWidth="11.42578125" defaultRowHeight="15" x14ac:dyDescent="0.25"/>
  <cols>
    <col min="1" max="1" width="17.5703125" style="8" bestFit="1" customWidth="1"/>
    <col min="2" max="2" width="8" style="8" bestFit="1" customWidth="1"/>
    <col min="3" max="3" width="8.5703125" style="8" bestFit="1" customWidth="1"/>
    <col min="4" max="4" width="7.5703125" style="8" bestFit="1" customWidth="1"/>
    <col min="5" max="5" width="9.42578125" style="8" bestFit="1" customWidth="1"/>
    <col min="6" max="6" width="7.5703125" style="8" bestFit="1" customWidth="1"/>
    <col min="7" max="7" width="9.42578125" style="8" bestFit="1" customWidth="1"/>
    <col min="9" max="9" width="17.5703125" bestFit="1" customWidth="1"/>
  </cols>
  <sheetData>
    <row r="1" spans="1:9" ht="18" x14ac:dyDescent="0.25">
      <c r="A1" s="8" t="s">
        <v>0</v>
      </c>
      <c r="B1" s="10" t="s">
        <v>3</v>
      </c>
      <c r="C1" s="12" t="s">
        <v>4</v>
      </c>
      <c r="D1" s="8" t="s">
        <v>23</v>
      </c>
      <c r="E1" s="8" t="s">
        <v>2</v>
      </c>
      <c r="F1" s="8" t="s">
        <v>24</v>
      </c>
      <c r="G1" s="8" t="s">
        <v>7</v>
      </c>
      <c r="I1" s="8" t="s">
        <v>0</v>
      </c>
    </row>
    <row r="2" spans="1:9" x14ac:dyDescent="0.25">
      <c r="A2" s="18" t="s">
        <v>72</v>
      </c>
      <c r="B2" s="8">
        <v>277.59399999999999</v>
      </c>
      <c r="C2" s="12">
        <v>7.6324825218218664E-3</v>
      </c>
      <c r="D2" s="10">
        <f>1-E2</f>
        <v>1</v>
      </c>
      <c r="E2" s="10">
        <v>0</v>
      </c>
      <c r="F2" s="10">
        <f>1-G2</f>
        <v>1</v>
      </c>
      <c r="G2" s="10">
        <v>0</v>
      </c>
      <c r="I2" t="s">
        <v>72</v>
      </c>
    </row>
    <row r="3" spans="1:9" x14ac:dyDescent="0.25">
      <c r="B3" s="8">
        <v>277.59399999999999</v>
      </c>
      <c r="C3" s="12">
        <v>3.4473724127470038</v>
      </c>
      <c r="D3" s="10">
        <f t="shared" ref="D3:D66" si="0">1-E3</f>
        <v>0.97199999999999998</v>
      </c>
      <c r="E3" s="10">
        <v>2.8000000000000001E-2</v>
      </c>
      <c r="F3" s="10">
        <f t="shared" ref="F3:F66" si="1">1-G3</f>
        <v>4.0000000000000036E-3</v>
      </c>
      <c r="G3" s="10">
        <v>0.996</v>
      </c>
      <c r="I3" t="s">
        <v>70</v>
      </c>
    </row>
    <row r="4" spans="1:9" x14ac:dyDescent="0.25">
      <c r="B4" s="8">
        <v>277.59399999999999</v>
      </c>
      <c r="C4" s="12">
        <v>6.8947448254940076</v>
      </c>
      <c r="D4" s="10">
        <f t="shared" si="0"/>
        <v>0.94599999999999995</v>
      </c>
      <c r="E4" s="10">
        <v>5.3999999999999999E-2</v>
      </c>
      <c r="F4" s="10">
        <f t="shared" si="1"/>
        <v>2.0000000000000018E-3</v>
      </c>
      <c r="G4" s="10">
        <v>0.998</v>
      </c>
      <c r="I4" t="s">
        <v>71</v>
      </c>
    </row>
    <row r="5" spans="1:9" x14ac:dyDescent="0.25">
      <c r="B5" s="8">
        <v>277.59399999999999</v>
      </c>
      <c r="C5" s="12">
        <v>10.342117238241013</v>
      </c>
      <c r="D5" s="10">
        <f t="shared" si="0"/>
        <v>0.92200000000000004</v>
      </c>
      <c r="E5" s="10">
        <v>7.8E-2</v>
      </c>
      <c r="F5" s="10">
        <f t="shared" si="1"/>
        <v>2.0000000000000018E-3</v>
      </c>
      <c r="G5" s="10">
        <v>0.998</v>
      </c>
      <c r="I5" t="s">
        <v>73</v>
      </c>
    </row>
    <row r="6" spans="1:9" x14ac:dyDescent="0.25">
      <c r="B6" s="8">
        <v>277.59399999999999</v>
      </c>
      <c r="C6" s="12">
        <v>13.789489650988015</v>
      </c>
      <c r="D6" s="10">
        <f t="shared" si="0"/>
        <v>0.90100000000000002</v>
      </c>
      <c r="E6" s="10">
        <v>9.9000000000000005E-2</v>
      </c>
      <c r="F6" s="10">
        <f t="shared" si="1"/>
        <v>2.0000000000000018E-3</v>
      </c>
      <c r="G6" s="10">
        <v>0.998</v>
      </c>
    </row>
    <row r="7" spans="1:9" x14ac:dyDescent="0.25">
      <c r="B7" s="8">
        <v>277.59399999999999</v>
      </c>
      <c r="C7" s="12">
        <v>17.236862063735021</v>
      </c>
      <c r="D7" s="10">
        <f t="shared" si="0"/>
        <v>0.88</v>
      </c>
      <c r="E7" s="10">
        <v>0.12</v>
      </c>
      <c r="F7" s="10">
        <f t="shared" si="1"/>
        <v>2.0000000000000018E-3</v>
      </c>
      <c r="G7" s="10">
        <v>0.998</v>
      </c>
    </row>
    <row r="8" spans="1:9" x14ac:dyDescent="0.25">
      <c r="B8" s="8">
        <v>277.59399999999999</v>
      </c>
      <c r="C8" s="12">
        <v>20.684234476482025</v>
      </c>
      <c r="D8" s="10">
        <f t="shared" si="0"/>
        <v>0.86</v>
      </c>
      <c r="E8" s="10">
        <v>0.14000000000000001</v>
      </c>
      <c r="F8" s="10">
        <f t="shared" si="1"/>
        <v>2.0000000000000018E-3</v>
      </c>
      <c r="G8" s="10">
        <v>0.998</v>
      </c>
    </row>
    <row r="9" spans="1:9" x14ac:dyDescent="0.25">
      <c r="B9" s="8">
        <v>277.59399999999999</v>
      </c>
      <c r="C9" s="12">
        <v>24.131606889229026</v>
      </c>
      <c r="D9" s="10">
        <f t="shared" si="0"/>
        <v>0.84</v>
      </c>
      <c r="E9" s="10">
        <v>0.16</v>
      </c>
      <c r="F9" s="10">
        <f t="shared" si="1"/>
        <v>2.0000000000000018E-3</v>
      </c>
      <c r="G9" s="10">
        <v>0.998</v>
      </c>
    </row>
    <row r="10" spans="1:9" x14ac:dyDescent="0.25">
      <c r="B10" s="8">
        <v>277.59399999999999</v>
      </c>
      <c r="C10" s="12">
        <v>27.57897930197603</v>
      </c>
      <c r="D10" s="10">
        <f t="shared" si="0"/>
        <v>0.82099999999999995</v>
      </c>
      <c r="E10" s="10">
        <v>0.17899999999999999</v>
      </c>
      <c r="F10" s="10">
        <f t="shared" si="1"/>
        <v>2.0000000000000018E-3</v>
      </c>
      <c r="G10" s="10">
        <v>0.998</v>
      </c>
    </row>
    <row r="11" spans="1:9" x14ac:dyDescent="0.25">
      <c r="B11" s="8">
        <v>277.59399999999999</v>
      </c>
      <c r="C11" s="12">
        <v>31.026351714723035</v>
      </c>
      <c r="D11" s="10">
        <f t="shared" si="0"/>
        <v>0.80099999999999993</v>
      </c>
      <c r="E11" s="10">
        <v>0.19900000000000001</v>
      </c>
      <c r="F11" s="10">
        <f t="shared" si="1"/>
        <v>2.0000000000000018E-3</v>
      </c>
      <c r="G11" s="10">
        <v>0.998</v>
      </c>
    </row>
    <row r="12" spans="1:9" x14ac:dyDescent="0.25">
      <c r="B12" s="8">
        <v>277.59399999999999</v>
      </c>
      <c r="C12" s="12">
        <v>34.473724127470042</v>
      </c>
      <c r="D12" s="10">
        <f t="shared" si="0"/>
        <v>0.78200000000000003</v>
      </c>
      <c r="E12" s="10">
        <v>0.218</v>
      </c>
      <c r="F12" s="10">
        <f t="shared" si="1"/>
        <v>2.0000000000000018E-3</v>
      </c>
      <c r="G12" s="10">
        <v>0.998</v>
      </c>
    </row>
    <row r="13" spans="1:9" x14ac:dyDescent="0.25">
      <c r="B13" s="8">
        <v>277.59399999999999</v>
      </c>
      <c r="C13" s="12">
        <v>41.368468952964051</v>
      </c>
      <c r="D13" s="10">
        <f t="shared" si="0"/>
        <v>0.74399999999999999</v>
      </c>
      <c r="E13" s="10">
        <v>0.25600000000000001</v>
      </c>
      <c r="F13" s="10">
        <f t="shared" si="1"/>
        <v>2.0000000000000018E-3</v>
      </c>
      <c r="G13" s="10">
        <v>0.998</v>
      </c>
    </row>
    <row r="14" spans="1:9" x14ac:dyDescent="0.25">
      <c r="B14" s="8">
        <v>277.59399999999999</v>
      </c>
      <c r="C14" s="12">
        <v>48.263213778458052</v>
      </c>
      <c r="D14" s="10">
        <f t="shared" si="0"/>
        <v>0.70599999999999996</v>
      </c>
      <c r="E14" s="10">
        <v>0.29399999999999998</v>
      </c>
      <c r="F14" s="10">
        <f t="shared" si="1"/>
        <v>2.0000000000000018E-3</v>
      </c>
      <c r="G14" s="10">
        <v>0.998</v>
      </c>
    </row>
    <row r="15" spans="1:9" x14ac:dyDescent="0.25">
      <c r="B15" s="8">
        <v>277.59399999999999</v>
      </c>
      <c r="C15" s="12">
        <v>55.157958603952061</v>
      </c>
      <c r="D15" s="10">
        <f t="shared" si="0"/>
        <v>0.66599999999999993</v>
      </c>
      <c r="E15" s="10">
        <v>0.33400000000000002</v>
      </c>
      <c r="F15" s="10">
        <f t="shared" si="1"/>
        <v>2.0000000000000018E-3</v>
      </c>
      <c r="G15" s="10">
        <v>0.998</v>
      </c>
    </row>
    <row r="16" spans="1:9" x14ac:dyDescent="0.25">
      <c r="B16" s="8">
        <v>277.59399999999999</v>
      </c>
      <c r="C16" s="12">
        <v>62.052703429446069</v>
      </c>
      <c r="D16" s="10">
        <f t="shared" si="0"/>
        <v>0.624</v>
      </c>
      <c r="E16" s="10">
        <v>0.376</v>
      </c>
      <c r="F16" s="10">
        <f t="shared" si="1"/>
        <v>2.0000000000000018E-3</v>
      </c>
      <c r="G16" s="10">
        <v>0.998</v>
      </c>
    </row>
    <row r="17" spans="2:7" x14ac:dyDescent="0.25">
      <c r="B17" s="8">
        <v>277.59399999999999</v>
      </c>
      <c r="C17" s="12">
        <v>68.947448254940085</v>
      </c>
      <c r="D17" s="10">
        <f t="shared" si="0"/>
        <v>0.57800000000000007</v>
      </c>
      <c r="E17" s="10">
        <v>0.42199999999999999</v>
      </c>
      <c r="F17" s="10">
        <f t="shared" si="1"/>
        <v>2.0000000000000018E-3</v>
      </c>
      <c r="G17" s="10">
        <v>0.998</v>
      </c>
    </row>
    <row r="18" spans="2:7" x14ac:dyDescent="0.25">
      <c r="B18" s="8">
        <v>310.928</v>
      </c>
      <c r="C18" s="12">
        <v>3.4156565865497313E-2</v>
      </c>
      <c r="D18" s="10">
        <f t="shared" si="0"/>
        <v>1</v>
      </c>
      <c r="E18" s="10">
        <v>0</v>
      </c>
      <c r="F18" s="10">
        <f t="shared" si="1"/>
        <v>1</v>
      </c>
      <c r="G18" s="10">
        <v>0</v>
      </c>
    </row>
    <row r="19" spans="2:7" x14ac:dyDescent="0.25">
      <c r="B19" s="8">
        <v>310.928</v>
      </c>
      <c r="C19" s="12">
        <v>3.4473724127470038</v>
      </c>
      <c r="D19" s="10">
        <f t="shared" si="0"/>
        <v>0.96899999999999997</v>
      </c>
      <c r="E19" s="10">
        <v>3.1E-2</v>
      </c>
      <c r="F19" s="10">
        <f t="shared" si="1"/>
        <v>1.4000000000000012E-2</v>
      </c>
      <c r="G19" s="10">
        <v>0.98599999999999999</v>
      </c>
    </row>
    <row r="20" spans="2:7" x14ac:dyDescent="0.25">
      <c r="B20" s="8">
        <v>310.928</v>
      </c>
      <c r="C20" s="12">
        <v>6.8947448254940076</v>
      </c>
      <c r="D20" s="10">
        <f t="shared" si="0"/>
        <v>0.94100000000000006</v>
      </c>
      <c r="E20" s="10">
        <v>5.8999999999999997E-2</v>
      </c>
      <c r="F20" s="10">
        <f t="shared" si="1"/>
        <v>8.0000000000000071E-3</v>
      </c>
      <c r="G20" s="10">
        <v>0.99199999999999999</v>
      </c>
    </row>
    <row r="21" spans="2:7" x14ac:dyDescent="0.25">
      <c r="B21" s="8">
        <v>310.928</v>
      </c>
      <c r="C21" s="12">
        <v>10.342117238241013</v>
      </c>
      <c r="D21" s="10">
        <f t="shared" si="0"/>
        <v>0.91600000000000004</v>
      </c>
      <c r="E21" s="10">
        <v>8.4000000000000005E-2</v>
      </c>
      <c r="F21" s="10">
        <f t="shared" si="1"/>
        <v>6.0000000000000053E-3</v>
      </c>
      <c r="G21" s="10">
        <v>0.99399999999999999</v>
      </c>
    </row>
    <row r="22" spans="2:7" x14ac:dyDescent="0.25">
      <c r="B22" s="8">
        <v>310.928</v>
      </c>
      <c r="C22" s="12">
        <v>13.789489650988015</v>
      </c>
      <c r="D22" s="10">
        <f t="shared" si="0"/>
        <v>0.89200000000000002</v>
      </c>
      <c r="E22" s="10">
        <v>0.108</v>
      </c>
      <c r="F22" s="10">
        <f t="shared" si="1"/>
        <v>5.0000000000000044E-3</v>
      </c>
      <c r="G22" s="10">
        <v>0.995</v>
      </c>
    </row>
    <row r="23" spans="2:7" x14ac:dyDescent="0.25">
      <c r="B23" s="8">
        <v>310.928</v>
      </c>
      <c r="C23" s="12">
        <v>17.236862063735021</v>
      </c>
      <c r="D23" s="10">
        <f t="shared" si="0"/>
        <v>0.86899999999999999</v>
      </c>
      <c r="E23" s="10">
        <v>0.13100000000000001</v>
      </c>
      <c r="F23" s="10">
        <f t="shared" si="1"/>
        <v>5.0000000000000044E-3</v>
      </c>
      <c r="G23" s="10">
        <v>0.995</v>
      </c>
    </row>
    <row r="24" spans="2:7" x14ac:dyDescent="0.25">
      <c r="B24" s="8">
        <v>310.928</v>
      </c>
      <c r="C24" s="12">
        <v>20.684234476482025</v>
      </c>
      <c r="D24" s="10">
        <f t="shared" si="0"/>
        <v>0.84699999999999998</v>
      </c>
      <c r="E24" s="10">
        <v>0.153</v>
      </c>
      <c r="F24" s="10">
        <f t="shared" si="1"/>
        <v>5.0000000000000044E-3</v>
      </c>
      <c r="G24" s="10">
        <v>0.995</v>
      </c>
    </row>
    <row r="25" spans="2:7" x14ac:dyDescent="0.25">
      <c r="B25" s="8">
        <v>310.928</v>
      </c>
      <c r="C25" s="12">
        <v>24.131606889229026</v>
      </c>
      <c r="D25" s="10">
        <f t="shared" si="0"/>
        <v>0.82499999999999996</v>
      </c>
      <c r="E25" s="10">
        <v>0.17499999999999999</v>
      </c>
      <c r="F25" s="10">
        <f t="shared" si="1"/>
        <v>5.0000000000000044E-3</v>
      </c>
      <c r="G25" s="10">
        <v>0.995</v>
      </c>
    </row>
    <row r="26" spans="2:7" x14ac:dyDescent="0.25">
      <c r="B26" s="8">
        <v>310.928</v>
      </c>
      <c r="C26" s="12">
        <v>27.57897930197603</v>
      </c>
      <c r="D26" s="10">
        <f t="shared" si="0"/>
        <v>0.80400000000000005</v>
      </c>
      <c r="E26" s="10">
        <v>0.19600000000000001</v>
      </c>
      <c r="F26" s="10">
        <f t="shared" si="1"/>
        <v>5.0000000000000044E-3</v>
      </c>
      <c r="G26" s="10">
        <v>0.995</v>
      </c>
    </row>
    <row r="27" spans="2:7" x14ac:dyDescent="0.25">
      <c r="B27" s="8">
        <v>310.928</v>
      </c>
      <c r="C27" s="12">
        <v>31.026351714723035</v>
      </c>
      <c r="D27" s="10">
        <f t="shared" si="0"/>
        <v>0.78300000000000003</v>
      </c>
      <c r="E27" s="10">
        <v>0.217</v>
      </c>
      <c r="F27" s="10">
        <f t="shared" si="1"/>
        <v>5.0000000000000044E-3</v>
      </c>
      <c r="G27" s="10">
        <v>0.995</v>
      </c>
    </row>
    <row r="28" spans="2:7" x14ac:dyDescent="0.25">
      <c r="B28" s="8">
        <v>310.928</v>
      </c>
      <c r="C28" s="12">
        <v>34.473724127470042</v>
      </c>
      <c r="D28" s="10">
        <f t="shared" si="0"/>
        <v>0.76200000000000001</v>
      </c>
      <c r="E28" s="10">
        <v>0.23799999999999999</v>
      </c>
      <c r="F28" s="10">
        <f>1-G28</f>
        <v>5.0000000000000044E-3</v>
      </c>
      <c r="G28" s="10">
        <v>0.995</v>
      </c>
    </row>
    <row r="29" spans="2:7" x14ac:dyDescent="0.25">
      <c r="B29" s="8">
        <v>310.928</v>
      </c>
      <c r="C29" s="12">
        <v>41.368468952964051</v>
      </c>
      <c r="D29" s="10">
        <f t="shared" si="0"/>
        <v>0.72099999999999997</v>
      </c>
      <c r="E29" s="10">
        <v>0.27900000000000003</v>
      </c>
      <c r="F29" s="10">
        <f t="shared" si="1"/>
        <v>5.0000000000000044E-3</v>
      </c>
      <c r="G29" s="10">
        <v>0.995</v>
      </c>
    </row>
    <row r="30" spans="2:7" x14ac:dyDescent="0.25">
      <c r="B30" s="8">
        <v>310.928</v>
      </c>
      <c r="C30" s="12">
        <v>48.263213778458052</v>
      </c>
      <c r="D30" s="10">
        <f t="shared" si="0"/>
        <v>0.67799999999999994</v>
      </c>
      <c r="E30" s="10">
        <v>0.32200000000000001</v>
      </c>
      <c r="F30" s="10">
        <f t="shared" si="1"/>
        <v>5.0000000000000044E-3</v>
      </c>
      <c r="G30" s="10">
        <v>0.995</v>
      </c>
    </row>
    <row r="31" spans="2:7" x14ac:dyDescent="0.25">
      <c r="B31" s="8">
        <v>310.928</v>
      </c>
      <c r="C31" s="12">
        <v>55.157958603952061</v>
      </c>
      <c r="D31" s="10">
        <f t="shared" si="0"/>
        <v>0.63400000000000001</v>
      </c>
      <c r="E31" s="10">
        <v>0.36599999999999999</v>
      </c>
      <c r="F31" s="10">
        <f t="shared" si="1"/>
        <v>5.0000000000000044E-3</v>
      </c>
      <c r="G31" s="10">
        <v>0.995</v>
      </c>
    </row>
    <row r="32" spans="2:7" x14ac:dyDescent="0.25">
      <c r="B32" s="8">
        <v>310.928</v>
      </c>
      <c r="C32" s="12">
        <v>62.052703429446069</v>
      </c>
      <c r="D32" s="10">
        <f t="shared" si="0"/>
        <v>0.58800000000000008</v>
      </c>
      <c r="E32" s="10">
        <v>0.41199999999999998</v>
      </c>
      <c r="F32" s="10">
        <f t="shared" si="1"/>
        <v>5.0000000000000044E-3</v>
      </c>
      <c r="G32" s="10">
        <v>0.995</v>
      </c>
    </row>
    <row r="33" spans="2:7" x14ac:dyDescent="0.25">
      <c r="B33" s="8">
        <v>310.928</v>
      </c>
      <c r="C33" s="12">
        <v>68.947448254940085</v>
      </c>
      <c r="D33" s="10">
        <f t="shared" si="0"/>
        <v>0.53899999999999992</v>
      </c>
      <c r="E33" s="10">
        <v>0.46100000000000002</v>
      </c>
      <c r="F33" s="10">
        <f t="shared" si="1"/>
        <v>5.0000000000000044E-3</v>
      </c>
      <c r="G33" s="10">
        <v>0.995</v>
      </c>
    </row>
    <row r="34" spans="2:7" x14ac:dyDescent="0.25">
      <c r="B34" s="8">
        <v>344.26100000000002</v>
      </c>
      <c r="C34" s="12">
        <v>0.10907486313931521</v>
      </c>
      <c r="D34" s="10">
        <f t="shared" si="0"/>
        <v>1</v>
      </c>
      <c r="E34" s="10">
        <v>0</v>
      </c>
      <c r="F34" s="10">
        <f t="shared" si="1"/>
        <v>1</v>
      </c>
      <c r="G34" s="10">
        <v>0</v>
      </c>
    </row>
    <row r="35" spans="2:7" x14ac:dyDescent="0.25">
      <c r="B35" s="8">
        <v>344.26100000000002</v>
      </c>
      <c r="C35" s="12">
        <v>3.4473724127470038</v>
      </c>
      <c r="D35" s="10">
        <f t="shared" si="0"/>
        <v>0.96599999999999997</v>
      </c>
      <c r="E35" s="10">
        <v>3.4000000000000002E-2</v>
      </c>
      <c r="F35" s="10">
        <f t="shared" si="1"/>
        <v>3.9000000000000035E-2</v>
      </c>
      <c r="G35" s="10">
        <v>0.96099999999999997</v>
      </c>
    </row>
    <row r="36" spans="2:7" x14ac:dyDescent="0.25">
      <c r="B36" s="8">
        <v>344.26100000000002</v>
      </c>
      <c r="C36" s="12">
        <v>6.8947448254940076</v>
      </c>
      <c r="D36" s="10">
        <f t="shared" si="0"/>
        <v>0.93599999999999994</v>
      </c>
      <c r="E36" s="10">
        <v>6.4000000000000001E-2</v>
      </c>
      <c r="F36" s="10">
        <f t="shared" si="1"/>
        <v>2.200000000000002E-2</v>
      </c>
      <c r="G36" s="10">
        <v>0.97799999999999998</v>
      </c>
    </row>
    <row r="37" spans="2:7" x14ac:dyDescent="0.25">
      <c r="B37" s="8">
        <v>344.26100000000002</v>
      </c>
      <c r="C37" s="12">
        <v>10.342117238241013</v>
      </c>
      <c r="D37" s="10">
        <f t="shared" si="0"/>
        <v>0.90800000000000003</v>
      </c>
      <c r="E37" s="10">
        <v>9.1999999999999998E-2</v>
      </c>
      <c r="F37" s="10">
        <f t="shared" si="1"/>
        <v>1.7000000000000015E-2</v>
      </c>
      <c r="G37" s="10">
        <v>0.98299999999999998</v>
      </c>
    </row>
    <row r="38" spans="2:7" x14ac:dyDescent="0.25">
      <c r="B38" s="8">
        <v>344.26100000000002</v>
      </c>
      <c r="C38" s="12">
        <v>13.789489650988015</v>
      </c>
      <c r="D38" s="10">
        <f t="shared" si="0"/>
        <v>0.88100000000000001</v>
      </c>
      <c r="E38" s="10">
        <v>0.11899999999999999</v>
      </c>
      <c r="F38" s="10">
        <f t="shared" si="1"/>
        <v>1.4000000000000012E-2</v>
      </c>
      <c r="G38" s="10">
        <v>0.98599999999999999</v>
      </c>
    </row>
    <row r="39" spans="2:7" x14ac:dyDescent="0.25">
      <c r="B39" s="8">
        <v>344.26100000000002</v>
      </c>
      <c r="C39" s="12">
        <v>17.236862063735021</v>
      </c>
      <c r="D39" s="10">
        <f t="shared" si="0"/>
        <v>0.85599999999999998</v>
      </c>
      <c r="E39" s="10">
        <v>0.14399999999999999</v>
      </c>
      <c r="F39" s="10">
        <f t="shared" si="1"/>
        <v>1.3000000000000012E-2</v>
      </c>
      <c r="G39" s="10">
        <v>0.98699999999999999</v>
      </c>
    </row>
    <row r="40" spans="2:7" x14ac:dyDescent="0.25">
      <c r="B40" s="8">
        <v>344.26100000000002</v>
      </c>
      <c r="C40" s="12">
        <v>20.684234476482025</v>
      </c>
      <c r="D40" s="10">
        <f t="shared" si="0"/>
        <v>0.83099999999999996</v>
      </c>
      <c r="E40" s="10">
        <v>0.16900000000000001</v>
      </c>
      <c r="F40" s="10">
        <f t="shared" si="1"/>
        <v>1.2000000000000011E-2</v>
      </c>
      <c r="G40" s="10">
        <v>0.98799999999999999</v>
      </c>
    </row>
    <row r="41" spans="2:7" x14ac:dyDescent="0.25">
      <c r="B41" s="8">
        <v>344.26100000000002</v>
      </c>
      <c r="C41" s="12">
        <v>24.131606889229026</v>
      </c>
      <c r="D41" s="10">
        <f t="shared" si="0"/>
        <v>0.80699999999999994</v>
      </c>
      <c r="E41" s="10">
        <v>0.193</v>
      </c>
      <c r="F41" s="10">
        <f t="shared" si="1"/>
        <v>1.2000000000000011E-2</v>
      </c>
      <c r="G41" s="10">
        <v>0.98799999999999999</v>
      </c>
    </row>
    <row r="42" spans="2:7" x14ac:dyDescent="0.25">
      <c r="B42" s="8">
        <v>344.26100000000002</v>
      </c>
      <c r="C42" s="12">
        <v>27.57897930197603</v>
      </c>
      <c r="D42" s="10">
        <f t="shared" si="0"/>
        <v>0.78400000000000003</v>
      </c>
      <c r="E42" s="10">
        <v>0.216</v>
      </c>
      <c r="F42" s="10">
        <f t="shared" si="1"/>
        <v>1.2000000000000011E-2</v>
      </c>
      <c r="G42" s="10">
        <v>0.98799999999999999</v>
      </c>
    </row>
    <row r="43" spans="2:7" x14ac:dyDescent="0.25">
      <c r="B43" s="8">
        <v>344.26100000000002</v>
      </c>
      <c r="C43" s="12">
        <v>31.026351714723035</v>
      </c>
      <c r="D43" s="10">
        <f t="shared" si="0"/>
        <v>0.76100000000000001</v>
      </c>
      <c r="E43" s="10">
        <v>0.23899999999999999</v>
      </c>
      <c r="F43" s="10">
        <f t="shared" si="1"/>
        <v>1.2000000000000011E-2</v>
      </c>
      <c r="G43" s="10">
        <v>0.98799999999999999</v>
      </c>
    </row>
    <row r="44" spans="2:7" x14ac:dyDescent="0.25">
      <c r="B44" s="8">
        <v>344.26100000000002</v>
      </c>
      <c r="C44" s="12">
        <v>34.473724127470042</v>
      </c>
      <c r="D44" s="10">
        <f t="shared" si="0"/>
        <v>0.73799999999999999</v>
      </c>
      <c r="E44" s="10">
        <v>0.26200000000000001</v>
      </c>
      <c r="F44" s="10">
        <f t="shared" si="1"/>
        <v>1.2000000000000011E-2</v>
      </c>
      <c r="G44" s="10">
        <v>0.98799999999999999</v>
      </c>
    </row>
    <row r="45" spans="2:7" x14ac:dyDescent="0.25">
      <c r="B45" s="8">
        <v>344.26100000000002</v>
      </c>
      <c r="C45" s="12">
        <v>41.368468952964051</v>
      </c>
      <c r="D45" s="10">
        <f t="shared" si="0"/>
        <v>0.69100000000000006</v>
      </c>
      <c r="E45" s="10">
        <v>0.309</v>
      </c>
      <c r="F45" s="10">
        <f t="shared" si="1"/>
        <v>1.2000000000000011E-2</v>
      </c>
      <c r="G45" s="10">
        <v>0.98799999999999999</v>
      </c>
    </row>
    <row r="46" spans="2:7" x14ac:dyDescent="0.25">
      <c r="B46" s="8">
        <v>344.26100000000002</v>
      </c>
      <c r="C46" s="12">
        <v>48.263213778458052</v>
      </c>
      <c r="D46" s="10">
        <f t="shared" si="0"/>
        <v>0.64400000000000002</v>
      </c>
      <c r="E46" s="10">
        <v>0.35599999999999998</v>
      </c>
      <c r="F46" s="10">
        <f t="shared" si="1"/>
        <v>1.2000000000000011E-2</v>
      </c>
      <c r="G46" s="10">
        <v>0.98799999999999999</v>
      </c>
    </row>
    <row r="47" spans="2:7" x14ac:dyDescent="0.25">
      <c r="B47" s="8">
        <v>344.26100000000002</v>
      </c>
      <c r="C47" s="12">
        <v>55.157958603952061</v>
      </c>
      <c r="D47" s="10">
        <f>1-E47</f>
        <v>0.59499999999999997</v>
      </c>
      <c r="E47" s="10">
        <v>0.40500000000000003</v>
      </c>
      <c r="F47" s="10">
        <f t="shared" si="1"/>
        <v>1.2000000000000011E-2</v>
      </c>
      <c r="G47" s="10">
        <v>0.98799999999999999</v>
      </c>
    </row>
    <row r="48" spans="2:7" x14ac:dyDescent="0.25">
      <c r="B48" s="8">
        <v>344.26100000000002</v>
      </c>
      <c r="C48" s="12">
        <v>62.052703429446069</v>
      </c>
      <c r="D48" s="10">
        <f t="shared" si="0"/>
        <v>0.54400000000000004</v>
      </c>
      <c r="E48" s="10">
        <v>0.45600000000000002</v>
      </c>
      <c r="F48" s="10">
        <f t="shared" si="1"/>
        <v>1.2000000000000011E-2</v>
      </c>
      <c r="G48" s="10">
        <v>0.98799999999999999</v>
      </c>
    </row>
    <row r="49" spans="2:7" x14ac:dyDescent="0.25">
      <c r="B49" s="8">
        <v>344.26100000000002</v>
      </c>
      <c r="C49" s="12">
        <v>68.947448254940085</v>
      </c>
      <c r="D49" s="10">
        <f t="shared" si="0"/>
        <v>0.48899999999999999</v>
      </c>
      <c r="E49" s="10">
        <v>0.51100000000000001</v>
      </c>
      <c r="F49" s="10">
        <f t="shared" si="1"/>
        <v>1.2000000000000011E-2</v>
      </c>
      <c r="G49" s="10">
        <v>0.98799999999999999</v>
      </c>
    </row>
    <row r="50" spans="2:7" x14ac:dyDescent="0.25">
      <c r="B50" s="8">
        <v>377.59399999999999</v>
      </c>
      <c r="C50" s="12">
        <v>0.27489347619244608</v>
      </c>
      <c r="D50" s="10">
        <f t="shared" si="0"/>
        <v>1</v>
      </c>
      <c r="E50" s="10">
        <v>0</v>
      </c>
      <c r="F50" s="10">
        <f>1-G50</f>
        <v>1</v>
      </c>
      <c r="G50" s="10">
        <v>0</v>
      </c>
    </row>
    <row r="51" spans="2:7" x14ac:dyDescent="0.25">
      <c r="B51" s="8">
        <v>377.59399999999999</v>
      </c>
      <c r="C51" s="12">
        <v>3.4473724127470038</v>
      </c>
      <c r="D51" s="10">
        <f t="shared" si="0"/>
        <v>0.96399999999999997</v>
      </c>
      <c r="E51" s="10">
        <v>3.5999999999999997E-2</v>
      </c>
      <c r="F51" s="10">
        <f t="shared" si="1"/>
        <v>9.5999999999999974E-2</v>
      </c>
      <c r="G51" s="10">
        <v>0.90400000000000003</v>
      </c>
    </row>
    <row r="52" spans="2:7" x14ac:dyDescent="0.25">
      <c r="B52" s="8">
        <v>377.59399999999999</v>
      </c>
      <c r="C52" s="12">
        <v>10.342117238241013</v>
      </c>
      <c r="D52" s="10">
        <f t="shared" si="0"/>
        <v>0.92999999999999994</v>
      </c>
      <c r="E52" s="10">
        <v>7.0000000000000007E-2</v>
      </c>
      <c r="F52" s="10">
        <f t="shared" si="1"/>
        <v>5.4000000000000048E-2</v>
      </c>
      <c r="G52" s="10">
        <v>0.94599999999999995</v>
      </c>
    </row>
    <row r="53" spans="2:7" x14ac:dyDescent="0.25">
      <c r="B53" s="8">
        <v>377.59399999999999</v>
      </c>
      <c r="C53" s="12">
        <v>6.8947448254940076</v>
      </c>
      <c r="D53" s="10">
        <f t="shared" si="0"/>
        <v>0.89800000000000002</v>
      </c>
      <c r="E53" s="10">
        <v>0.10199999999999999</v>
      </c>
      <c r="F53" s="10">
        <f t="shared" si="1"/>
        <v>4.0000000000000036E-2</v>
      </c>
      <c r="G53" s="10">
        <v>0.96</v>
      </c>
    </row>
    <row r="54" spans="2:7" x14ac:dyDescent="0.25">
      <c r="B54" s="8">
        <v>377.59399999999999</v>
      </c>
      <c r="C54" s="12">
        <v>13.789489650988015</v>
      </c>
      <c r="D54" s="10">
        <f t="shared" si="0"/>
        <v>0.86799999999999999</v>
      </c>
      <c r="E54" s="10">
        <v>0.13200000000000001</v>
      </c>
      <c r="F54" s="10">
        <f t="shared" si="1"/>
        <v>3.400000000000003E-2</v>
      </c>
      <c r="G54" s="10">
        <v>0.96599999999999997</v>
      </c>
    </row>
    <row r="55" spans="2:7" x14ac:dyDescent="0.25">
      <c r="B55" s="8">
        <v>377.59399999999999</v>
      </c>
      <c r="C55" s="12">
        <v>17.236862063735021</v>
      </c>
      <c r="D55" s="10">
        <f t="shared" si="0"/>
        <v>0.84</v>
      </c>
      <c r="E55" s="10">
        <v>0.16</v>
      </c>
      <c r="F55" s="10">
        <f t="shared" si="1"/>
        <v>3.1000000000000028E-2</v>
      </c>
      <c r="G55" s="10">
        <v>0.96899999999999997</v>
      </c>
    </row>
    <row r="56" spans="2:7" x14ac:dyDescent="0.25">
      <c r="B56" s="8">
        <v>377.59399999999999</v>
      </c>
      <c r="C56" s="12">
        <v>20.684234476482025</v>
      </c>
      <c r="D56" s="10">
        <f t="shared" si="0"/>
        <v>0.81299999999999994</v>
      </c>
      <c r="E56" s="10">
        <v>0.187</v>
      </c>
      <c r="F56" s="10">
        <f t="shared" si="1"/>
        <v>2.9000000000000026E-2</v>
      </c>
      <c r="G56" s="10">
        <v>0.97099999999999997</v>
      </c>
    </row>
    <row r="57" spans="2:7" x14ac:dyDescent="0.25">
      <c r="B57" s="8">
        <v>377.59399999999999</v>
      </c>
      <c r="C57" s="12">
        <v>24.131606889229026</v>
      </c>
      <c r="D57" s="10">
        <f t="shared" si="0"/>
        <v>0.78500000000000003</v>
      </c>
      <c r="E57" s="10">
        <v>0.215</v>
      </c>
      <c r="F57" s="10">
        <f t="shared" si="1"/>
        <v>2.7000000000000024E-2</v>
      </c>
      <c r="G57" s="10">
        <v>0.97299999999999998</v>
      </c>
    </row>
    <row r="58" spans="2:7" x14ac:dyDescent="0.25">
      <c r="B58" s="8">
        <v>377.59399999999999</v>
      </c>
      <c r="C58" s="12">
        <v>27.57897930197603</v>
      </c>
      <c r="D58" s="10">
        <f t="shared" si="0"/>
        <v>0.75900000000000001</v>
      </c>
      <c r="E58" s="10">
        <v>0.24099999999999999</v>
      </c>
      <c r="F58" s="10">
        <f t="shared" si="1"/>
        <v>2.6000000000000023E-2</v>
      </c>
      <c r="G58" s="10">
        <v>0.97399999999999998</v>
      </c>
    </row>
    <row r="59" spans="2:7" x14ac:dyDescent="0.25">
      <c r="B59" s="8">
        <v>377.59399999999999</v>
      </c>
      <c r="C59" s="12">
        <v>31.026351714723035</v>
      </c>
      <c r="D59" s="10">
        <f t="shared" si="0"/>
        <v>0.73299999999999998</v>
      </c>
      <c r="E59" s="10">
        <v>0.26700000000000002</v>
      </c>
      <c r="F59" s="10">
        <f t="shared" si="1"/>
        <v>2.6000000000000023E-2</v>
      </c>
      <c r="G59" s="10">
        <v>0.97399999999999998</v>
      </c>
    </row>
    <row r="60" spans="2:7" x14ac:dyDescent="0.25">
      <c r="B60" s="8">
        <v>377.59399999999999</v>
      </c>
      <c r="C60" s="12">
        <v>34.473724127470042</v>
      </c>
      <c r="D60" s="10">
        <f t="shared" si="0"/>
        <v>0.70700000000000007</v>
      </c>
      <c r="E60" s="10">
        <v>0.29299999999999998</v>
      </c>
      <c r="F60" s="10">
        <f t="shared" si="1"/>
        <v>2.6000000000000023E-2</v>
      </c>
      <c r="G60" s="10">
        <v>0.97399999999999998</v>
      </c>
    </row>
    <row r="61" spans="2:7" x14ac:dyDescent="0.25">
      <c r="B61" s="8">
        <v>377.59399999999999</v>
      </c>
      <c r="C61" s="12">
        <v>41.368468952964051</v>
      </c>
      <c r="D61" s="10">
        <f t="shared" si="0"/>
        <v>0.65500000000000003</v>
      </c>
      <c r="E61" s="10">
        <v>0.34499999999999997</v>
      </c>
      <c r="F61" s="10">
        <f t="shared" si="1"/>
        <v>2.6000000000000023E-2</v>
      </c>
      <c r="G61" s="10">
        <v>0.97399999999999998</v>
      </c>
    </row>
    <row r="62" spans="2:7" x14ac:dyDescent="0.25">
      <c r="B62" s="8">
        <v>377.59399999999999</v>
      </c>
      <c r="C62" s="12">
        <v>48.263213778458052</v>
      </c>
      <c r="D62" s="10">
        <f>1-E62</f>
        <v>0.60399999999999998</v>
      </c>
      <c r="E62" s="10">
        <v>0.39600000000000002</v>
      </c>
      <c r="F62" s="10">
        <f t="shared" si="1"/>
        <v>2.6000000000000023E-2</v>
      </c>
      <c r="G62" s="10">
        <v>0.97399999999999998</v>
      </c>
    </row>
    <row r="63" spans="2:7" x14ac:dyDescent="0.25">
      <c r="B63" s="8">
        <v>377.59399999999999</v>
      </c>
      <c r="C63" s="12">
        <v>55.157958603952061</v>
      </c>
      <c r="D63" s="10">
        <f t="shared" si="0"/>
        <v>0.55000000000000004</v>
      </c>
      <c r="E63" s="10">
        <v>0.45</v>
      </c>
      <c r="F63" s="10">
        <f t="shared" si="1"/>
        <v>2.6000000000000023E-2</v>
      </c>
      <c r="G63" s="10">
        <v>0.97399999999999998</v>
      </c>
    </row>
    <row r="64" spans="2:7" x14ac:dyDescent="0.25">
      <c r="B64" s="8">
        <v>377.59399999999999</v>
      </c>
      <c r="C64" s="12">
        <v>62.052703429446069</v>
      </c>
      <c r="D64" s="10">
        <f t="shared" si="0"/>
        <v>0.49199999999999999</v>
      </c>
      <c r="E64" s="10">
        <v>0.50800000000000001</v>
      </c>
      <c r="F64" s="10">
        <f t="shared" si="1"/>
        <v>2.6000000000000023E-2</v>
      </c>
      <c r="G64" s="10">
        <v>0.97399999999999998</v>
      </c>
    </row>
    <row r="65" spans="2:7" x14ac:dyDescent="0.25">
      <c r="B65" s="8">
        <v>377.59399999999999</v>
      </c>
      <c r="C65" s="12">
        <v>68.947448254940085</v>
      </c>
      <c r="D65" s="10">
        <f t="shared" si="0"/>
        <v>0.43000000000000005</v>
      </c>
      <c r="E65" s="10">
        <v>0.56999999999999995</v>
      </c>
      <c r="F65" s="10">
        <f t="shared" si="1"/>
        <v>2.7000000000000024E-2</v>
      </c>
      <c r="G65" s="10">
        <v>0.97299999999999998</v>
      </c>
    </row>
    <row r="66" spans="2:7" x14ac:dyDescent="0.25">
      <c r="B66" s="8">
        <v>410.928</v>
      </c>
      <c r="C66" s="12">
        <v>0.58557067802920615</v>
      </c>
      <c r="D66" s="10">
        <f t="shared" si="0"/>
        <v>1</v>
      </c>
      <c r="E66" s="10">
        <v>0</v>
      </c>
      <c r="F66" s="10">
        <f t="shared" si="1"/>
        <v>1</v>
      </c>
      <c r="G66" s="10">
        <v>0</v>
      </c>
    </row>
    <row r="67" spans="2:7" x14ac:dyDescent="0.25">
      <c r="B67" s="8">
        <v>410.928</v>
      </c>
      <c r="C67" s="12">
        <v>3.4473724127470038</v>
      </c>
      <c r="D67" s="10">
        <f t="shared" ref="D67:D79" si="2">1-E67</f>
        <v>0.96199999999999997</v>
      </c>
      <c r="E67" s="10">
        <v>3.7999999999999999E-2</v>
      </c>
      <c r="F67" s="10">
        <f t="shared" ref="F67:F69" si="3">1-G67</f>
        <v>0.20299999999999996</v>
      </c>
      <c r="G67" s="10">
        <v>0.79700000000000004</v>
      </c>
    </row>
    <row r="68" spans="2:7" x14ac:dyDescent="0.25">
      <c r="B68" s="8">
        <v>410.928</v>
      </c>
      <c r="C68" s="12">
        <v>6.8947448254940076</v>
      </c>
      <c r="D68" s="10">
        <f t="shared" si="2"/>
        <v>0.92200000000000004</v>
      </c>
      <c r="E68" s="10">
        <v>7.8E-2</v>
      </c>
      <c r="F68" s="10">
        <f t="shared" si="3"/>
        <v>0.11399999999999999</v>
      </c>
      <c r="G68" s="10">
        <v>0.88600000000000001</v>
      </c>
    </row>
    <row r="69" spans="2:7" x14ac:dyDescent="0.25">
      <c r="B69" s="8">
        <v>410.928</v>
      </c>
      <c r="C69" s="12">
        <v>10.342117238241013</v>
      </c>
      <c r="D69" s="10">
        <f t="shared" si="2"/>
        <v>0.88500000000000001</v>
      </c>
      <c r="E69" s="10">
        <v>0.115</v>
      </c>
      <c r="F69" s="10">
        <f t="shared" si="3"/>
        <v>8.5999999999999965E-2</v>
      </c>
      <c r="G69" s="10">
        <v>0.91400000000000003</v>
      </c>
    </row>
    <row r="70" spans="2:7" x14ac:dyDescent="0.25">
      <c r="B70" s="8">
        <v>410.928</v>
      </c>
      <c r="C70" s="12">
        <v>13.789489650988015</v>
      </c>
      <c r="D70" s="10">
        <f t="shared" si="2"/>
        <v>0.85099999999999998</v>
      </c>
      <c r="E70" s="10">
        <v>0.14899999999999999</v>
      </c>
      <c r="F70" s="10">
        <f>1-G70</f>
        <v>7.2999999999999954E-2</v>
      </c>
      <c r="G70" s="10">
        <v>0.92700000000000005</v>
      </c>
    </row>
    <row r="71" spans="2:7" x14ac:dyDescent="0.25">
      <c r="B71" s="8">
        <v>410.928</v>
      </c>
      <c r="C71" s="12">
        <v>17.236862063735021</v>
      </c>
      <c r="D71" s="10">
        <f t="shared" si="2"/>
        <v>0.81899999999999995</v>
      </c>
      <c r="E71" s="10">
        <v>0.18099999999999999</v>
      </c>
      <c r="F71" s="10">
        <f t="shared" ref="F71:F88" si="4">1-G71</f>
        <v>6.5999999999999948E-2</v>
      </c>
      <c r="G71" s="10">
        <v>0.93400000000000005</v>
      </c>
    </row>
    <row r="72" spans="2:7" x14ac:dyDescent="0.25">
      <c r="B72" s="8">
        <v>410.928</v>
      </c>
      <c r="C72" s="12">
        <v>20.684234476482025</v>
      </c>
      <c r="D72" s="10">
        <f t="shared" si="2"/>
        <v>0.78700000000000003</v>
      </c>
      <c r="E72" s="10">
        <v>0.21299999999999999</v>
      </c>
      <c r="F72" s="10">
        <f t="shared" si="4"/>
        <v>6.1000000000000054E-2</v>
      </c>
      <c r="G72" s="10">
        <v>0.93899999999999995</v>
      </c>
    </row>
    <row r="73" spans="2:7" x14ac:dyDescent="0.25">
      <c r="B73" s="8">
        <v>410.928</v>
      </c>
      <c r="C73" s="12">
        <v>24.131606889229026</v>
      </c>
      <c r="D73" s="10">
        <f t="shared" si="2"/>
        <v>0.75600000000000001</v>
      </c>
      <c r="E73" s="10">
        <v>0.24399999999999999</v>
      </c>
      <c r="F73" s="10">
        <f t="shared" si="4"/>
        <v>5.8000000000000052E-2</v>
      </c>
      <c r="G73" s="10">
        <v>0.94199999999999995</v>
      </c>
    </row>
    <row r="74" spans="2:7" x14ac:dyDescent="0.25">
      <c r="B74" s="8">
        <v>410.928</v>
      </c>
      <c r="C74" s="12">
        <v>27.57897930197603</v>
      </c>
      <c r="D74" s="10">
        <f t="shared" si="2"/>
        <v>0.72599999999999998</v>
      </c>
      <c r="E74" s="10">
        <v>0.27400000000000002</v>
      </c>
      <c r="F74" s="10">
        <f t="shared" si="4"/>
        <v>5.600000000000005E-2</v>
      </c>
      <c r="G74" s="10">
        <v>0.94399999999999995</v>
      </c>
    </row>
    <row r="75" spans="2:7" x14ac:dyDescent="0.25">
      <c r="B75" s="8">
        <v>410.928</v>
      </c>
      <c r="C75" s="12">
        <v>31.026351714723035</v>
      </c>
      <c r="D75" s="10">
        <f t="shared" si="2"/>
        <v>0.69599999999999995</v>
      </c>
      <c r="E75" s="10">
        <v>0.30399999999999999</v>
      </c>
      <c r="F75" s="10">
        <f t="shared" si="4"/>
        <v>5.5000000000000049E-2</v>
      </c>
      <c r="G75" s="10">
        <v>0.94499999999999995</v>
      </c>
    </row>
    <row r="76" spans="2:7" x14ac:dyDescent="0.25">
      <c r="B76" s="8">
        <v>410.928</v>
      </c>
      <c r="C76" s="12">
        <v>34.473724127470042</v>
      </c>
      <c r="D76" s="10">
        <f t="shared" si="2"/>
        <v>0.66599999999999993</v>
      </c>
      <c r="E76" s="10">
        <v>0.33400000000000002</v>
      </c>
      <c r="F76" s="10">
        <f t="shared" si="4"/>
        <v>5.4000000000000048E-2</v>
      </c>
      <c r="G76" s="10">
        <v>0.94599999999999995</v>
      </c>
    </row>
    <row r="77" spans="2:7" x14ac:dyDescent="0.25">
      <c r="B77" s="8">
        <v>410.928</v>
      </c>
      <c r="C77" s="12">
        <v>41.368468952964051</v>
      </c>
      <c r="D77" s="10">
        <f t="shared" si="2"/>
        <v>0.60699999999999998</v>
      </c>
      <c r="E77" s="10">
        <v>0.39300000000000002</v>
      </c>
      <c r="F77" s="10">
        <f t="shared" si="4"/>
        <v>5.4000000000000048E-2</v>
      </c>
      <c r="G77" s="10">
        <v>0.94599999999999995</v>
      </c>
    </row>
    <row r="78" spans="2:7" x14ac:dyDescent="0.25">
      <c r="B78" s="8">
        <v>410.928</v>
      </c>
      <c r="C78" s="12">
        <v>48.263213778458052</v>
      </c>
      <c r="D78" s="10">
        <f t="shared" si="2"/>
        <v>0.54899999999999993</v>
      </c>
      <c r="E78" s="10">
        <v>0.45100000000000001</v>
      </c>
      <c r="F78" s="10">
        <f t="shared" si="4"/>
        <v>5.5000000000000049E-2</v>
      </c>
      <c r="G78" s="10">
        <v>0.94499999999999995</v>
      </c>
    </row>
    <row r="79" spans="2:7" x14ac:dyDescent="0.25">
      <c r="B79" s="8">
        <v>410.928</v>
      </c>
      <c r="C79" s="12">
        <v>55.157958603952061</v>
      </c>
      <c r="D79" s="10">
        <f t="shared" si="2"/>
        <v>0.48899999999999999</v>
      </c>
      <c r="E79" s="10">
        <v>0.51100000000000001</v>
      </c>
      <c r="F79" s="10">
        <f t="shared" si="4"/>
        <v>5.600000000000005E-2</v>
      </c>
      <c r="G79" s="10">
        <v>0.94399999999999995</v>
      </c>
    </row>
    <row r="80" spans="2:7" x14ac:dyDescent="0.25">
      <c r="B80" s="8">
        <v>410.928</v>
      </c>
      <c r="C80" s="12">
        <v>62.052703429446069</v>
      </c>
      <c r="D80" s="10">
        <f>1-E80</f>
        <v>0.42400000000000004</v>
      </c>
      <c r="E80" s="10">
        <v>0.57599999999999996</v>
      </c>
      <c r="F80" s="10">
        <f t="shared" si="4"/>
        <v>5.9000000000000052E-2</v>
      </c>
      <c r="G80" s="10">
        <v>0.94099999999999995</v>
      </c>
    </row>
    <row r="81" spans="2:7" x14ac:dyDescent="0.25">
      <c r="B81" s="8">
        <v>410.928</v>
      </c>
      <c r="C81" s="12">
        <v>68.947448254940085</v>
      </c>
      <c r="D81" s="10">
        <f t="shared" ref="D81:D100" si="5">1-E81</f>
        <v>0.35099999999999998</v>
      </c>
      <c r="E81" s="10">
        <v>0.64900000000000002</v>
      </c>
      <c r="F81" s="10">
        <f t="shared" si="4"/>
        <v>6.899999999999995E-2</v>
      </c>
      <c r="G81" s="10">
        <v>0.93100000000000005</v>
      </c>
    </row>
    <row r="82" spans="2:7" x14ac:dyDescent="0.25">
      <c r="B82" s="8">
        <v>444.26100000000002</v>
      </c>
      <c r="C82" s="12">
        <v>1.1050897006301796</v>
      </c>
      <c r="D82" s="10">
        <f t="shared" si="5"/>
        <v>1</v>
      </c>
      <c r="E82" s="10">
        <v>0</v>
      </c>
      <c r="F82" s="10">
        <f t="shared" si="4"/>
        <v>1</v>
      </c>
      <c r="G82" s="10">
        <v>0</v>
      </c>
    </row>
    <row r="83" spans="2:7" x14ac:dyDescent="0.25">
      <c r="B83" s="8">
        <v>444.26100000000002</v>
      </c>
      <c r="C83" s="12">
        <v>3.4473724127470038</v>
      </c>
      <c r="D83" s="10">
        <f t="shared" si="5"/>
        <v>0.96299999999999997</v>
      </c>
      <c r="E83" s="10">
        <v>3.6999999999999998E-2</v>
      </c>
      <c r="F83" s="10">
        <f t="shared" si="4"/>
        <v>0.39400000000000002</v>
      </c>
      <c r="G83" s="10">
        <v>0.60599999999999998</v>
      </c>
    </row>
    <row r="84" spans="2:7" x14ac:dyDescent="0.25">
      <c r="B84" s="8">
        <v>444.26100000000002</v>
      </c>
      <c r="C84" s="12">
        <v>6.8947448254940076</v>
      </c>
      <c r="D84" s="10">
        <f t="shared" si="5"/>
        <v>0.91400000000000003</v>
      </c>
      <c r="E84" s="10">
        <v>8.5999999999999993E-2</v>
      </c>
      <c r="F84" s="10">
        <f t="shared" si="4"/>
        <v>0.22799999999999998</v>
      </c>
      <c r="G84" s="10">
        <v>0.77200000000000002</v>
      </c>
    </row>
    <row r="85" spans="2:7" x14ac:dyDescent="0.25">
      <c r="B85" s="8">
        <v>444.26100000000002</v>
      </c>
      <c r="C85" s="12">
        <v>10.342117238241013</v>
      </c>
      <c r="D85" s="10">
        <f t="shared" si="5"/>
        <v>0.86799999999999999</v>
      </c>
      <c r="E85" s="10">
        <v>0.13200000000000001</v>
      </c>
      <c r="F85" s="10">
        <f t="shared" si="4"/>
        <v>0.17400000000000004</v>
      </c>
      <c r="G85" s="10">
        <v>0.82599999999999996</v>
      </c>
    </row>
    <row r="86" spans="2:7" x14ac:dyDescent="0.25">
      <c r="B86" s="8">
        <v>444.26100000000002</v>
      </c>
      <c r="C86" s="12">
        <v>13.789489650988015</v>
      </c>
      <c r="D86" s="10">
        <f t="shared" si="5"/>
        <v>0.82800000000000007</v>
      </c>
      <c r="E86" s="10">
        <v>0.17199999999999999</v>
      </c>
      <c r="F86" s="10">
        <f t="shared" si="4"/>
        <v>0.14900000000000002</v>
      </c>
      <c r="G86" s="10">
        <v>0.85099999999999998</v>
      </c>
    </row>
    <row r="87" spans="2:7" x14ac:dyDescent="0.25">
      <c r="B87" s="8">
        <v>444.26100000000002</v>
      </c>
      <c r="C87" s="12">
        <v>17.236862063735021</v>
      </c>
      <c r="D87" s="10">
        <f t="shared" si="5"/>
        <v>0.79</v>
      </c>
      <c r="E87" s="10">
        <v>0.21</v>
      </c>
      <c r="F87" s="10">
        <f t="shared" si="4"/>
        <v>0.13500000000000001</v>
      </c>
      <c r="G87" s="10">
        <v>0.86499999999999999</v>
      </c>
    </row>
    <row r="88" spans="2:7" x14ac:dyDescent="0.25">
      <c r="B88" s="8">
        <v>444.26100000000002</v>
      </c>
      <c r="C88" s="12">
        <v>20.684234476482025</v>
      </c>
      <c r="D88" s="10">
        <f t="shared" si="5"/>
        <v>0.751</v>
      </c>
      <c r="E88" s="10">
        <v>0.249</v>
      </c>
      <c r="F88" s="10">
        <f t="shared" si="4"/>
        <v>0.127</v>
      </c>
      <c r="G88" s="10">
        <v>0.873</v>
      </c>
    </row>
    <row r="89" spans="2:7" x14ac:dyDescent="0.25">
      <c r="B89" s="8">
        <v>444.26100000000002</v>
      </c>
      <c r="C89" s="12">
        <v>24.131606889229026</v>
      </c>
      <c r="D89" s="10">
        <f t="shared" si="5"/>
        <v>0.71500000000000008</v>
      </c>
      <c r="E89" s="10">
        <v>0.28499999999999998</v>
      </c>
      <c r="F89" s="10">
        <f>1-G89</f>
        <v>0.122</v>
      </c>
      <c r="G89" s="10">
        <v>0.878</v>
      </c>
    </row>
    <row r="90" spans="2:7" x14ac:dyDescent="0.25">
      <c r="B90" s="8">
        <v>444.26100000000002</v>
      </c>
      <c r="C90" s="12">
        <v>27.57897930197603</v>
      </c>
      <c r="D90" s="10">
        <f t="shared" si="5"/>
        <v>0.67799999999999994</v>
      </c>
      <c r="E90" s="10">
        <v>0.32200000000000001</v>
      </c>
      <c r="F90" s="10">
        <f t="shared" ref="F90:F107" si="6">1-G90</f>
        <v>0.11799999999999999</v>
      </c>
      <c r="G90" s="10">
        <v>0.88200000000000001</v>
      </c>
    </row>
    <row r="91" spans="2:7" x14ac:dyDescent="0.25">
      <c r="B91" s="8">
        <v>444.26100000000002</v>
      </c>
      <c r="C91" s="12">
        <v>31.026351714723035</v>
      </c>
      <c r="D91" s="10">
        <f t="shared" si="5"/>
        <v>0.64100000000000001</v>
      </c>
      <c r="E91" s="10">
        <v>0.35899999999999999</v>
      </c>
      <c r="F91" s="10">
        <f t="shared" si="6"/>
        <v>0.11599999999999999</v>
      </c>
      <c r="G91" s="10">
        <v>0.88400000000000001</v>
      </c>
    </row>
    <row r="92" spans="2:7" x14ac:dyDescent="0.25">
      <c r="B92" s="8">
        <v>444.26100000000002</v>
      </c>
      <c r="C92" s="12">
        <v>34.473724127470042</v>
      </c>
      <c r="D92" s="10">
        <f t="shared" si="5"/>
        <v>0.60599999999999998</v>
      </c>
      <c r="E92" s="10">
        <v>0.39400000000000002</v>
      </c>
      <c r="F92" s="10">
        <f t="shared" si="6"/>
        <v>0.11499999999999999</v>
      </c>
      <c r="G92" s="10">
        <v>0.88500000000000001</v>
      </c>
    </row>
    <row r="93" spans="2:7" x14ac:dyDescent="0.25">
      <c r="B93" s="8">
        <v>444.26100000000002</v>
      </c>
      <c r="C93" s="12">
        <v>41.368468952964051</v>
      </c>
      <c r="D93" s="10">
        <f t="shared" si="5"/>
        <v>0.53899999999999992</v>
      </c>
      <c r="E93" s="10">
        <v>0.46100000000000002</v>
      </c>
      <c r="F93" s="10">
        <f t="shared" si="6"/>
        <v>0.11599999999999999</v>
      </c>
      <c r="G93" s="10">
        <v>0.88400000000000001</v>
      </c>
    </row>
    <row r="94" spans="2:7" x14ac:dyDescent="0.25">
      <c r="B94" s="8">
        <v>444.26100000000002</v>
      </c>
      <c r="C94" s="12">
        <v>48.263213778458052</v>
      </c>
      <c r="D94" s="10">
        <f t="shared" si="5"/>
        <v>0.47199999999999998</v>
      </c>
      <c r="E94" s="10">
        <v>0.52800000000000002</v>
      </c>
      <c r="F94" s="10">
        <f t="shared" si="6"/>
        <v>0.12</v>
      </c>
      <c r="G94" s="10">
        <v>0.88</v>
      </c>
    </row>
    <row r="95" spans="2:7" x14ac:dyDescent="0.25">
      <c r="B95" s="8">
        <v>444.26100000000002</v>
      </c>
      <c r="C95" s="12">
        <v>55.157958603952061</v>
      </c>
      <c r="D95" s="10">
        <f t="shared" si="5"/>
        <v>0.40300000000000002</v>
      </c>
      <c r="E95" s="10">
        <v>0.59699999999999998</v>
      </c>
      <c r="F95" s="10">
        <f t="shared" si="6"/>
        <v>0.13500000000000001</v>
      </c>
      <c r="G95" s="10">
        <v>0.86499999999999999</v>
      </c>
    </row>
    <row r="96" spans="2:7" x14ac:dyDescent="0.25">
      <c r="B96" s="8">
        <v>444.26100000000002</v>
      </c>
      <c r="C96" s="12">
        <v>62.052703429446069</v>
      </c>
      <c r="D96" s="10">
        <f t="shared" si="5"/>
        <v>0.30900000000000005</v>
      </c>
      <c r="E96" s="10">
        <v>0.69099999999999995</v>
      </c>
      <c r="F96" s="10">
        <f t="shared" si="6"/>
        <v>0.18500000000000005</v>
      </c>
      <c r="G96" s="10">
        <v>0.81499999999999995</v>
      </c>
    </row>
    <row r="97" spans="1:7" x14ac:dyDescent="0.25">
      <c r="B97" s="8">
        <v>444.26100000000002</v>
      </c>
      <c r="C97" s="12">
        <v>63.431652394544876</v>
      </c>
      <c r="D97" s="10">
        <f t="shared" si="5"/>
        <v>0.23199999999999998</v>
      </c>
      <c r="E97" s="10">
        <v>0.76800000000000002</v>
      </c>
      <c r="F97" s="10">
        <f t="shared" si="6"/>
        <v>0.23199999999999998</v>
      </c>
      <c r="G97" s="10">
        <v>0.76800000000000002</v>
      </c>
    </row>
    <row r="98" spans="1:7" x14ac:dyDescent="0.25">
      <c r="B98" s="8">
        <v>477.59399999999999</v>
      </c>
      <c r="C98" s="12">
        <v>1.9134985314193518</v>
      </c>
      <c r="D98" s="10">
        <f t="shared" si="5"/>
        <v>1</v>
      </c>
      <c r="E98" s="10">
        <v>0</v>
      </c>
      <c r="F98" s="10">
        <f t="shared" si="6"/>
        <v>1</v>
      </c>
      <c r="G98" s="10">
        <v>0</v>
      </c>
    </row>
    <row r="99" spans="1:7" x14ac:dyDescent="0.25">
      <c r="B99" s="8">
        <v>477.59399999999999</v>
      </c>
      <c r="C99" s="12">
        <v>3.4473724127470038</v>
      </c>
      <c r="D99" s="10">
        <f t="shared" si="5"/>
        <v>0.96799999999999997</v>
      </c>
      <c r="E99" s="10">
        <v>3.2000000000000001E-2</v>
      </c>
      <c r="F99" s="10">
        <f t="shared" si="6"/>
        <v>0.69</v>
      </c>
      <c r="G99" s="10">
        <v>0.31</v>
      </c>
    </row>
    <row r="100" spans="1:7" x14ac:dyDescent="0.25">
      <c r="B100" s="8">
        <v>477.59399999999999</v>
      </c>
      <c r="C100" s="12">
        <v>6.8947448254940076</v>
      </c>
      <c r="D100" s="10">
        <f t="shared" si="5"/>
        <v>0.89700000000000002</v>
      </c>
      <c r="E100" s="10">
        <v>0.10299999999999999</v>
      </c>
      <c r="F100" s="10">
        <f t="shared" si="6"/>
        <v>0.43200000000000005</v>
      </c>
      <c r="G100" s="10">
        <v>0.56799999999999995</v>
      </c>
    </row>
    <row r="101" spans="1:7" x14ac:dyDescent="0.25">
      <c r="B101" s="8">
        <v>477.59399999999999</v>
      </c>
      <c r="C101" s="12">
        <v>10.342117238241013</v>
      </c>
      <c r="D101" s="10">
        <f>1-E101</f>
        <v>0.83499999999999996</v>
      </c>
      <c r="E101" s="10">
        <v>0.16500000000000001</v>
      </c>
      <c r="F101" s="10">
        <f t="shared" si="6"/>
        <v>0.34399999999999997</v>
      </c>
      <c r="G101" s="10">
        <v>0.65600000000000003</v>
      </c>
    </row>
    <row r="102" spans="1:7" x14ac:dyDescent="0.25">
      <c r="B102" s="8">
        <v>477.59399999999999</v>
      </c>
      <c r="C102" s="12">
        <v>13.789489650988015</v>
      </c>
      <c r="D102" s="10">
        <f t="shared" ref="D102:D109" si="7">1-E102</f>
        <v>0.77600000000000002</v>
      </c>
      <c r="E102" s="10">
        <v>0.224</v>
      </c>
      <c r="F102" s="10">
        <f t="shared" si="6"/>
        <v>0.30000000000000004</v>
      </c>
      <c r="G102" s="10">
        <v>0.7</v>
      </c>
    </row>
    <row r="103" spans="1:7" x14ac:dyDescent="0.25">
      <c r="B103" s="8">
        <v>477.59399999999999</v>
      </c>
      <c r="C103" s="12">
        <v>17.236862063735021</v>
      </c>
      <c r="D103" s="10">
        <f t="shared" si="7"/>
        <v>0.71700000000000008</v>
      </c>
      <c r="E103" s="10">
        <v>0.28299999999999997</v>
      </c>
      <c r="F103" s="10">
        <f t="shared" si="6"/>
        <v>0.27800000000000002</v>
      </c>
      <c r="G103" s="10">
        <v>0.72199999999999998</v>
      </c>
    </row>
    <row r="104" spans="1:7" x14ac:dyDescent="0.25">
      <c r="B104" s="8">
        <v>477.59399999999999</v>
      </c>
      <c r="C104" s="12">
        <v>20.684234476482025</v>
      </c>
      <c r="D104" s="10">
        <f t="shared" si="7"/>
        <v>0.65900000000000003</v>
      </c>
      <c r="E104" s="10">
        <v>0.34100000000000003</v>
      </c>
      <c r="F104" s="10">
        <f t="shared" si="6"/>
        <v>0.26400000000000001</v>
      </c>
      <c r="G104" s="10">
        <v>0.73599999999999999</v>
      </c>
    </row>
    <row r="105" spans="1:7" x14ac:dyDescent="0.25">
      <c r="B105" s="8">
        <v>477.59399999999999</v>
      </c>
      <c r="C105" s="12">
        <v>24.131606889229026</v>
      </c>
      <c r="D105" s="10">
        <f t="shared" si="7"/>
        <v>0.60399999999999998</v>
      </c>
      <c r="E105" s="10">
        <v>0.39600000000000002</v>
      </c>
      <c r="F105" s="10">
        <f t="shared" si="6"/>
        <v>0.255</v>
      </c>
      <c r="G105" s="10">
        <v>0.745</v>
      </c>
    </row>
    <row r="106" spans="1:7" x14ac:dyDescent="0.25">
      <c r="B106" s="8">
        <v>477.59399999999999</v>
      </c>
      <c r="C106" s="12">
        <v>27.57897930197603</v>
      </c>
      <c r="D106" s="10">
        <f t="shared" si="7"/>
        <v>0.55200000000000005</v>
      </c>
      <c r="E106" s="10">
        <v>0.44800000000000001</v>
      </c>
      <c r="F106" s="10">
        <f t="shared" si="6"/>
        <v>0.251</v>
      </c>
      <c r="G106" s="10">
        <v>0.749</v>
      </c>
    </row>
    <row r="107" spans="1:7" x14ac:dyDescent="0.25">
      <c r="B107" s="8">
        <v>477.59399999999999</v>
      </c>
      <c r="C107" s="12">
        <v>31.026351714723035</v>
      </c>
      <c r="D107" s="10">
        <f t="shared" si="7"/>
        <v>0.5</v>
      </c>
      <c r="E107" s="10">
        <v>0.5</v>
      </c>
      <c r="F107" s="10">
        <f t="shared" si="6"/>
        <v>0.25</v>
      </c>
      <c r="G107" s="10">
        <v>0.75</v>
      </c>
    </row>
    <row r="108" spans="1:7" x14ac:dyDescent="0.25">
      <c r="B108" s="8">
        <v>477.59399999999999</v>
      </c>
      <c r="C108" s="12">
        <v>34.473724127470042</v>
      </c>
      <c r="D108" s="10">
        <f t="shared" si="7"/>
        <v>0.44499999999999995</v>
      </c>
      <c r="E108" s="10">
        <v>0.55500000000000005</v>
      </c>
      <c r="F108" s="10">
        <f>1-G108</f>
        <v>0.253</v>
      </c>
      <c r="G108" s="10">
        <v>0.747</v>
      </c>
    </row>
    <row r="109" spans="1:7" ht="15.75" thickBot="1" x14ac:dyDescent="0.3">
      <c r="A109" s="9"/>
      <c r="B109" s="9">
        <v>477.59399999999999</v>
      </c>
      <c r="C109" s="15">
        <v>40.816889366924528</v>
      </c>
      <c r="D109" s="11">
        <f t="shared" si="7"/>
        <v>0.31200000000000006</v>
      </c>
      <c r="E109" s="11">
        <v>0.68799999999999994</v>
      </c>
      <c r="F109" s="11">
        <f t="shared" ref="F109" si="8">1-G109</f>
        <v>0.31200000000000006</v>
      </c>
      <c r="G109" s="11">
        <v>0.68799999999999994</v>
      </c>
    </row>
    <row r="110" spans="1:7" x14ac:dyDescent="0.25">
      <c r="A110" s="18" t="s">
        <v>70</v>
      </c>
      <c r="B110" s="8">
        <v>298.14999999999998</v>
      </c>
      <c r="C110" s="20">
        <v>0.02</v>
      </c>
      <c r="D110" s="10">
        <f>1-E110</f>
        <v>1</v>
      </c>
      <c r="E110" s="10">
        <v>0</v>
      </c>
    </row>
    <row r="111" spans="1:7" x14ac:dyDescent="0.25">
      <c r="B111" s="8">
        <v>298.14999999999998</v>
      </c>
      <c r="C111" s="20">
        <v>1.53</v>
      </c>
      <c r="D111" s="10">
        <f t="shared" ref="D111:D136" si="9">1-E111</f>
        <v>0.98924000000000001</v>
      </c>
      <c r="E111" s="10">
        <v>1.076E-2</v>
      </c>
    </row>
    <row r="112" spans="1:7" x14ac:dyDescent="0.25">
      <c r="B112" s="8">
        <v>298.14999999999998</v>
      </c>
      <c r="C112" s="20">
        <v>1.62</v>
      </c>
      <c r="D112" s="10">
        <f t="shared" si="9"/>
        <v>0.98865000000000003</v>
      </c>
      <c r="E112" s="10">
        <v>1.1350000000000001E-2</v>
      </c>
    </row>
    <row r="113" spans="2:5" x14ac:dyDescent="0.25">
      <c r="B113" s="8">
        <v>298.14999999999998</v>
      </c>
      <c r="C113" s="20">
        <v>1.92</v>
      </c>
      <c r="D113" s="10">
        <f t="shared" si="9"/>
        <v>0.98662000000000005</v>
      </c>
      <c r="E113" s="10">
        <v>1.3380000000000001E-2</v>
      </c>
    </row>
    <row r="114" spans="2:5" x14ac:dyDescent="0.25">
      <c r="B114" s="8">
        <v>298.14999999999998</v>
      </c>
      <c r="C114" s="20">
        <v>2.61</v>
      </c>
      <c r="D114" s="10">
        <f t="shared" si="9"/>
        <v>0.98168</v>
      </c>
      <c r="E114" s="10">
        <v>1.8319999999999999E-2</v>
      </c>
    </row>
    <row r="115" spans="2:5" x14ac:dyDescent="0.25">
      <c r="B115" s="8">
        <v>298.14999999999998</v>
      </c>
      <c r="C115" s="20">
        <v>3.79</v>
      </c>
      <c r="D115" s="10">
        <f t="shared" si="9"/>
        <v>0.97358999999999996</v>
      </c>
      <c r="E115" s="10">
        <v>2.6409999999999999E-2</v>
      </c>
    </row>
    <row r="116" spans="2:5" x14ac:dyDescent="0.25">
      <c r="B116" s="8">
        <v>298.14999999999998</v>
      </c>
      <c r="C116" s="20">
        <v>4.29</v>
      </c>
      <c r="D116" s="10">
        <f t="shared" si="9"/>
        <v>0.97092999999999996</v>
      </c>
      <c r="E116" s="10">
        <v>2.9069999999999999E-2</v>
      </c>
    </row>
    <row r="117" spans="2:5" x14ac:dyDescent="0.25">
      <c r="B117" s="8">
        <v>298.14999999999998</v>
      </c>
      <c r="C117" s="20">
        <v>6</v>
      </c>
      <c r="D117" s="10">
        <f t="shared" si="9"/>
        <v>0.95887</v>
      </c>
      <c r="E117" s="10">
        <v>4.1130000000000007E-2</v>
      </c>
    </row>
    <row r="118" spans="2:5" x14ac:dyDescent="0.25">
      <c r="B118" s="8">
        <v>298.14999999999998</v>
      </c>
      <c r="C118" s="20">
        <v>8.07</v>
      </c>
      <c r="D118" s="10">
        <f t="shared" si="9"/>
        <v>0.94533</v>
      </c>
      <c r="E118" s="10">
        <v>5.4669999999999996E-2</v>
      </c>
    </row>
    <row r="119" spans="2:5" x14ac:dyDescent="0.25">
      <c r="B119" s="8">
        <v>298.14999999999998</v>
      </c>
      <c r="C119" s="20">
        <v>8.31</v>
      </c>
      <c r="D119" s="10">
        <f t="shared" si="9"/>
        <v>0.94379999999999997</v>
      </c>
      <c r="E119" s="10">
        <v>5.62E-2</v>
      </c>
    </row>
    <row r="120" spans="2:5" x14ac:dyDescent="0.25">
      <c r="B120" s="8">
        <v>298.14999999999998</v>
      </c>
      <c r="C120" s="20">
        <v>9.19</v>
      </c>
      <c r="D120" s="10">
        <f t="shared" si="9"/>
        <v>0.93883000000000005</v>
      </c>
      <c r="E120" s="10">
        <v>6.1170000000000002E-2</v>
      </c>
    </row>
    <row r="121" spans="2:5" x14ac:dyDescent="0.25">
      <c r="B121" s="8">
        <v>323.14999999999998</v>
      </c>
      <c r="C121" s="20">
        <v>5.3999999999999999E-2</v>
      </c>
      <c r="D121" s="10">
        <f t="shared" si="9"/>
        <v>1</v>
      </c>
      <c r="E121" s="10">
        <v>0</v>
      </c>
    </row>
    <row r="122" spans="2:5" x14ac:dyDescent="0.25">
      <c r="B122" s="8">
        <v>323.14999999999998</v>
      </c>
      <c r="C122" s="20">
        <v>1.38</v>
      </c>
      <c r="D122" s="10">
        <f t="shared" si="9"/>
        <v>0.98924999999999996</v>
      </c>
      <c r="E122" s="10">
        <v>1.0749999999999999E-2</v>
      </c>
    </row>
    <row r="123" spans="2:5" x14ac:dyDescent="0.25">
      <c r="B123" s="8">
        <v>323.14999999999998</v>
      </c>
      <c r="C123" s="20">
        <v>2</v>
      </c>
      <c r="D123" s="10">
        <f t="shared" si="9"/>
        <v>0.98468</v>
      </c>
      <c r="E123" s="10">
        <v>1.532E-2</v>
      </c>
    </row>
    <row r="124" spans="2:5" x14ac:dyDescent="0.25">
      <c r="B124" s="8">
        <v>323.14999999999998</v>
      </c>
      <c r="C124" s="20">
        <v>5.28</v>
      </c>
      <c r="D124" s="10">
        <f t="shared" si="9"/>
        <v>0.95818000000000003</v>
      </c>
      <c r="E124" s="10">
        <v>4.1820000000000003E-2</v>
      </c>
    </row>
    <row r="125" spans="2:5" x14ac:dyDescent="0.25">
      <c r="B125" s="8">
        <v>323.14999999999998</v>
      </c>
      <c r="C125" s="20">
        <v>5.92</v>
      </c>
      <c r="D125" s="10">
        <f t="shared" si="9"/>
        <v>0.95445000000000002</v>
      </c>
      <c r="E125" s="10">
        <v>4.555E-2</v>
      </c>
    </row>
    <row r="126" spans="2:5" x14ac:dyDescent="0.25">
      <c r="B126" s="8">
        <v>323.14999999999998</v>
      </c>
      <c r="C126" s="20">
        <v>7.44</v>
      </c>
      <c r="D126" s="10">
        <f t="shared" si="9"/>
        <v>0.94289000000000001</v>
      </c>
      <c r="E126" s="10">
        <v>5.7110000000000001E-2</v>
      </c>
    </row>
    <row r="127" spans="2:5" x14ac:dyDescent="0.25">
      <c r="B127" s="8">
        <v>323.14999999999998</v>
      </c>
      <c r="C127" s="20">
        <v>8.26</v>
      </c>
      <c r="D127" s="10">
        <f t="shared" si="9"/>
        <v>0.93684999999999996</v>
      </c>
      <c r="E127" s="10">
        <v>6.3149999999999998E-2</v>
      </c>
    </row>
    <row r="128" spans="2:5" x14ac:dyDescent="0.25">
      <c r="B128" s="8">
        <v>323.14999999999998</v>
      </c>
      <c r="C128" s="20">
        <v>8.82</v>
      </c>
      <c r="D128" s="10">
        <f t="shared" si="9"/>
        <v>0.93242999999999998</v>
      </c>
      <c r="E128" s="10">
        <v>6.7569999999999991E-2</v>
      </c>
    </row>
    <row r="129" spans="1:7" x14ac:dyDescent="0.25">
      <c r="B129" s="8">
        <v>373.15</v>
      </c>
      <c r="C129" s="20">
        <v>0.25600000000000001</v>
      </c>
      <c r="D129" s="10">
        <f t="shared" si="9"/>
        <v>1</v>
      </c>
      <c r="E129" s="10">
        <v>0</v>
      </c>
    </row>
    <row r="130" spans="1:7" x14ac:dyDescent="0.25">
      <c r="B130" s="8">
        <v>373.15</v>
      </c>
      <c r="C130" s="20">
        <v>2.0499999999999998</v>
      </c>
      <c r="D130" s="10">
        <f t="shared" si="9"/>
        <v>0.98090999999999995</v>
      </c>
      <c r="E130" s="10">
        <v>1.9089999999999999E-2</v>
      </c>
    </row>
    <row r="131" spans="1:7" x14ac:dyDescent="0.25">
      <c r="B131" s="8">
        <v>373.15</v>
      </c>
      <c r="C131" s="20">
        <v>2.08</v>
      </c>
      <c r="D131" s="10">
        <f t="shared" si="9"/>
        <v>0.98087000000000002</v>
      </c>
      <c r="E131" s="10">
        <v>1.9130000000000001E-2</v>
      </c>
    </row>
    <row r="132" spans="1:7" x14ac:dyDescent="0.25">
      <c r="B132" s="8">
        <v>373.15</v>
      </c>
      <c r="C132" s="20">
        <v>2.52</v>
      </c>
      <c r="D132" s="10">
        <f t="shared" si="9"/>
        <v>0.97599999999999998</v>
      </c>
      <c r="E132" s="10">
        <v>2.4E-2</v>
      </c>
    </row>
    <row r="133" spans="1:7" x14ac:dyDescent="0.25">
      <c r="B133" s="8">
        <v>373.15</v>
      </c>
      <c r="C133" s="20">
        <v>4.03</v>
      </c>
      <c r="D133" s="10">
        <f t="shared" si="9"/>
        <v>0.96001999999999998</v>
      </c>
      <c r="E133" s="10">
        <v>3.9980000000000002E-2</v>
      </c>
    </row>
    <row r="134" spans="1:7" x14ac:dyDescent="0.25">
      <c r="B134" s="8">
        <v>373.15</v>
      </c>
      <c r="C134" s="20">
        <v>6.62</v>
      </c>
      <c r="D134" s="10">
        <f t="shared" si="9"/>
        <v>0.93486000000000002</v>
      </c>
      <c r="E134" s="10">
        <v>6.5140000000000003E-2</v>
      </c>
    </row>
    <row r="135" spans="1:7" x14ac:dyDescent="0.25">
      <c r="B135" s="8">
        <v>373.15</v>
      </c>
      <c r="C135" s="20">
        <v>8.18</v>
      </c>
      <c r="D135" s="10">
        <f t="shared" si="9"/>
        <v>0.91898000000000002</v>
      </c>
      <c r="E135" s="10">
        <v>8.1020000000000009E-2</v>
      </c>
    </row>
    <row r="136" spans="1:7" ht="15.75" thickBot="1" x14ac:dyDescent="0.3">
      <c r="A136" s="9"/>
      <c r="B136" s="9">
        <v>373.15</v>
      </c>
      <c r="C136" s="21">
        <v>9.81</v>
      </c>
      <c r="D136" s="11">
        <f t="shared" si="9"/>
        <v>0.90612000000000004</v>
      </c>
      <c r="E136" s="11">
        <v>9.3880000000000005E-2</v>
      </c>
      <c r="F136" s="9"/>
      <c r="G136" s="9"/>
    </row>
    <row r="137" spans="1:7" x14ac:dyDescent="0.25">
      <c r="A137" s="18" t="s">
        <v>71</v>
      </c>
      <c r="B137" s="13">
        <v>310.89999999999998</v>
      </c>
      <c r="C137" s="20">
        <v>3.4470000000000001</v>
      </c>
      <c r="D137" s="10">
        <f>1-E137</f>
        <v>0.96860000000000002</v>
      </c>
      <c r="E137" s="8">
        <v>3.1399999999999997E-2</v>
      </c>
      <c r="F137" s="8">
        <v>1.44E-2</v>
      </c>
      <c r="G137" s="8">
        <f>1-F137</f>
        <v>0.98560000000000003</v>
      </c>
    </row>
    <row r="138" spans="1:7" x14ac:dyDescent="0.25">
      <c r="B138" s="13">
        <v>344.3</v>
      </c>
      <c r="C138" s="20">
        <v>3.4470000000000001</v>
      </c>
      <c r="D138" s="10">
        <f t="shared" ref="D138:D139" si="10">1-E138</f>
        <v>0.96589999999999998</v>
      </c>
      <c r="E138" s="8">
        <v>3.4099999999999998E-2</v>
      </c>
      <c r="F138" s="8">
        <v>3.8699999999999998E-2</v>
      </c>
      <c r="G138" s="8">
        <f t="shared" ref="G138:G139" si="11">1-F138</f>
        <v>0.96130000000000004</v>
      </c>
    </row>
    <row r="139" spans="1:7" ht="15.75" thickBot="1" x14ac:dyDescent="0.3">
      <c r="A139" s="9"/>
      <c r="B139" s="17">
        <v>377.6</v>
      </c>
      <c r="C139" s="21">
        <v>3.4470000000000001</v>
      </c>
      <c r="D139" s="11">
        <f t="shared" si="10"/>
        <v>0.96379999999999999</v>
      </c>
      <c r="E139" s="9">
        <v>3.6200000000000003E-2</v>
      </c>
      <c r="F139" s="9">
        <v>9.4500000000000001E-2</v>
      </c>
      <c r="G139" s="9">
        <f t="shared" si="11"/>
        <v>0.90549999999999997</v>
      </c>
    </row>
    <row r="140" spans="1:7" x14ac:dyDescent="0.25">
      <c r="A140" s="18" t="s">
        <v>73</v>
      </c>
      <c r="B140" s="13">
        <v>344.3</v>
      </c>
      <c r="C140" s="8">
        <v>1.24</v>
      </c>
      <c r="D140" s="10">
        <f>1-E140</f>
        <v>0.98950000000000005</v>
      </c>
      <c r="E140" s="8">
        <v>1.0500000000000001E-2</v>
      </c>
    </row>
    <row r="141" spans="1:7" x14ac:dyDescent="0.25">
      <c r="B141" s="13">
        <v>344.3</v>
      </c>
      <c r="C141" s="8">
        <v>1.29</v>
      </c>
      <c r="D141" s="10">
        <f t="shared" ref="D141:D173" si="12">1-E141</f>
        <v>0.98929999999999996</v>
      </c>
      <c r="E141" s="8">
        <v>1.0699999999999999E-2</v>
      </c>
    </row>
    <row r="142" spans="1:7" x14ac:dyDescent="0.25">
      <c r="B142" s="13">
        <v>344.3</v>
      </c>
      <c r="C142" s="8">
        <v>1.65</v>
      </c>
      <c r="D142" s="10">
        <f t="shared" si="12"/>
        <v>0.98640000000000005</v>
      </c>
      <c r="E142" s="8">
        <v>1.3599999999999999E-2</v>
      </c>
    </row>
    <row r="143" spans="1:7" x14ac:dyDescent="0.25">
      <c r="B143" s="13">
        <v>344.3</v>
      </c>
      <c r="C143" s="8">
        <v>2.2999999999999998</v>
      </c>
      <c r="D143" s="10">
        <f t="shared" si="12"/>
        <v>0.98029999999999995</v>
      </c>
      <c r="E143" s="8">
        <v>1.9699999999999999E-2</v>
      </c>
    </row>
    <row r="144" spans="1:7" x14ac:dyDescent="0.25">
      <c r="B144" s="13">
        <v>344.3</v>
      </c>
      <c r="C144" s="13">
        <v>2.67</v>
      </c>
      <c r="D144" s="10">
        <f t="shared" si="12"/>
        <v>0.97740000000000005</v>
      </c>
      <c r="E144" s="8">
        <v>2.2599999999999999E-2</v>
      </c>
    </row>
    <row r="145" spans="2:5" x14ac:dyDescent="0.25">
      <c r="B145" s="13">
        <v>344.3</v>
      </c>
      <c r="C145" s="8">
        <v>3.36</v>
      </c>
      <c r="D145" s="10">
        <f t="shared" si="12"/>
        <v>0.97140000000000004</v>
      </c>
      <c r="E145" s="8">
        <v>2.86E-2</v>
      </c>
    </row>
    <row r="146" spans="2:5" x14ac:dyDescent="0.25">
      <c r="B146" s="13">
        <v>344.3</v>
      </c>
      <c r="C146" s="8">
        <v>3.36</v>
      </c>
      <c r="D146" s="10">
        <f t="shared" si="12"/>
        <v>0.97109999999999996</v>
      </c>
      <c r="E146" s="8">
        <v>2.8899999999999999E-2</v>
      </c>
    </row>
    <row r="147" spans="2:5" x14ac:dyDescent="0.25">
      <c r="B147" s="13">
        <v>344.3</v>
      </c>
      <c r="C147" s="8">
        <v>4.1100000000000003</v>
      </c>
      <c r="D147" s="10">
        <f t="shared" si="12"/>
        <v>0.96479999999999999</v>
      </c>
      <c r="E147" s="8">
        <v>3.5200000000000002E-2</v>
      </c>
    </row>
    <row r="148" spans="2:5" x14ac:dyDescent="0.25">
      <c r="B148" s="13">
        <v>344.3</v>
      </c>
      <c r="C148" s="8">
        <v>4.6900000000000004</v>
      </c>
      <c r="D148" s="10">
        <f t="shared" si="12"/>
        <v>0.95920000000000005</v>
      </c>
      <c r="E148" s="8">
        <v>4.0800000000000003E-2</v>
      </c>
    </row>
    <row r="149" spans="2:5" x14ac:dyDescent="0.25">
      <c r="B149" s="13">
        <v>344.3</v>
      </c>
      <c r="C149" s="8">
        <v>4.93</v>
      </c>
      <c r="D149" s="10">
        <f t="shared" si="12"/>
        <v>0.95799999999999996</v>
      </c>
      <c r="E149" s="8">
        <v>4.2000000000000003E-2</v>
      </c>
    </row>
    <row r="150" spans="2:5" x14ac:dyDescent="0.25">
      <c r="B150" s="13">
        <v>344.3</v>
      </c>
      <c r="C150" s="8">
        <v>7.07</v>
      </c>
      <c r="D150" s="10">
        <f t="shared" si="12"/>
        <v>0.93879999999999997</v>
      </c>
      <c r="E150" s="8">
        <v>6.1199999999999997E-2</v>
      </c>
    </row>
    <row r="151" spans="2:5" x14ac:dyDescent="0.25">
      <c r="B151" s="13">
        <v>344.3</v>
      </c>
      <c r="C151" s="8">
        <v>8.6999999999999993</v>
      </c>
      <c r="D151" s="10">
        <f t="shared" si="12"/>
        <v>0.92730000000000001</v>
      </c>
      <c r="E151" s="8">
        <v>7.2700000000000001E-2</v>
      </c>
    </row>
    <row r="152" spans="2:5" x14ac:dyDescent="0.25">
      <c r="B152" s="8">
        <v>377.6</v>
      </c>
      <c r="C152" s="8">
        <v>1.38</v>
      </c>
      <c r="D152" s="10">
        <f t="shared" si="12"/>
        <v>0.98780000000000001</v>
      </c>
      <c r="E152" s="8">
        <v>1.2200000000000001E-2</v>
      </c>
    </row>
    <row r="153" spans="2:5" x14ac:dyDescent="0.25">
      <c r="B153" s="8">
        <v>377.6</v>
      </c>
      <c r="C153" s="8">
        <v>3.93</v>
      </c>
      <c r="D153" s="10">
        <f t="shared" si="12"/>
        <v>0.96060000000000001</v>
      </c>
      <c r="E153" s="8">
        <v>3.9399999999999998E-2</v>
      </c>
    </row>
    <row r="154" spans="2:5" x14ac:dyDescent="0.25">
      <c r="B154" s="8">
        <v>377.6</v>
      </c>
      <c r="C154" s="8">
        <v>5.46</v>
      </c>
      <c r="D154" s="10">
        <f t="shared" si="12"/>
        <v>0.9446</v>
      </c>
      <c r="E154" s="8">
        <v>5.5399999999999998E-2</v>
      </c>
    </row>
    <row r="155" spans="2:5" x14ac:dyDescent="0.25">
      <c r="B155" s="8">
        <v>377.6</v>
      </c>
      <c r="C155" s="8">
        <v>6.24</v>
      </c>
      <c r="D155" s="10">
        <f t="shared" si="12"/>
        <v>0.93720000000000003</v>
      </c>
      <c r="E155" s="8">
        <v>6.2799999999999995E-2</v>
      </c>
    </row>
    <row r="156" spans="2:5" x14ac:dyDescent="0.25">
      <c r="B156" s="8">
        <v>377.6</v>
      </c>
      <c r="C156" s="8">
        <v>6.84</v>
      </c>
      <c r="D156" s="10">
        <f t="shared" si="12"/>
        <v>0.93199999999999994</v>
      </c>
      <c r="E156" s="8">
        <v>6.8000000000000005E-2</v>
      </c>
    </row>
    <row r="157" spans="2:5" x14ac:dyDescent="0.25">
      <c r="B157" s="8">
        <v>377.6</v>
      </c>
      <c r="C157" s="8">
        <v>7.71</v>
      </c>
      <c r="D157" s="10">
        <f>1-E157</f>
        <v>0.92369999999999997</v>
      </c>
      <c r="E157" s="8">
        <v>7.6300000000000007E-2</v>
      </c>
    </row>
    <row r="158" spans="2:5" x14ac:dyDescent="0.25">
      <c r="B158" s="8">
        <v>377.6</v>
      </c>
      <c r="C158" s="8">
        <v>9.31</v>
      </c>
      <c r="D158" s="10">
        <f t="shared" si="12"/>
        <v>0.90880000000000005</v>
      </c>
      <c r="E158" s="8">
        <v>9.1200000000000003E-2</v>
      </c>
    </row>
    <row r="159" spans="2:5" x14ac:dyDescent="0.25">
      <c r="B159" s="8">
        <v>377.6</v>
      </c>
      <c r="C159" s="8">
        <v>10.65</v>
      </c>
      <c r="D159" s="10">
        <f t="shared" si="12"/>
        <v>0.89629999999999999</v>
      </c>
      <c r="E159" s="8">
        <v>0.1037</v>
      </c>
    </row>
    <row r="160" spans="2:5" x14ac:dyDescent="0.25">
      <c r="B160" s="8">
        <v>377.6</v>
      </c>
      <c r="C160" s="8">
        <v>11.71</v>
      </c>
      <c r="D160" s="10">
        <f t="shared" si="12"/>
        <v>0.88690000000000002</v>
      </c>
      <c r="E160" s="8">
        <v>0.11310000000000001</v>
      </c>
    </row>
    <row r="161" spans="1:7" x14ac:dyDescent="0.25">
      <c r="B161" s="8">
        <v>377.6</v>
      </c>
      <c r="C161" s="8">
        <v>13.48</v>
      </c>
      <c r="D161" s="10">
        <f t="shared" si="12"/>
        <v>0.87119999999999997</v>
      </c>
      <c r="E161" s="8">
        <v>0.1288</v>
      </c>
    </row>
    <row r="162" spans="1:7" x14ac:dyDescent="0.25">
      <c r="B162" s="8">
        <v>377.6</v>
      </c>
      <c r="C162" s="8">
        <v>15.11</v>
      </c>
      <c r="D162" s="10">
        <f t="shared" si="12"/>
        <v>0.85699999999999998</v>
      </c>
      <c r="E162" s="8">
        <v>0.14299999999999999</v>
      </c>
    </row>
    <row r="163" spans="1:7" x14ac:dyDescent="0.25">
      <c r="B163" s="8">
        <v>410.9</v>
      </c>
      <c r="C163" s="8">
        <v>1.97</v>
      </c>
      <c r="D163" s="10">
        <f t="shared" si="12"/>
        <v>0.98209999999999997</v>
      </c>
      <c r="E163" s="8">
        <v>1.7899999999999999E-2</v>
      </c>
    </row>
    <row r="164" spans="1:7" x14ac:dyDescent="0.25">
      <c r="B164" s="8">
        <v>410.9</v>
      </c>
      <c r="C164" s="8">
        <v>2.95</v>
      </c>
      <c r="D164" s="10">
        <f t="shared" si="12"/>
        <v>0.9698</v>
      </c>
      <c r="E164" s="8">
        <v>3.0200000000000001E-2</v>
      </c>
    </row>
    <row r="165" spans="1:7" x14ac:dyDescent="0.25">
      <c r="B165" s="8">
        <v>410.9</v>
      </c>
      <c r="C165" s="8">
        <v>3.78</v>
      </c>
      <c r="D165" s="10">
        <f t="shared" si="12"/>
        <v>0.95920000000000005</v>
      </c>
      <c r="E165" s="8">
        <v>4.0800000000000003E-2</v>
      </c>
    </row>
    <row r="166" spans="1:7" x14ac:dyDescent="0.25">
      <c r="B166" s="8">
        <v>410.9</v>
      </c>
      <c r="C166" s="8">
        <v>4.7</v>
      </c>
      <c r="D166" s="10">
        <f t="shared" si="12"/>
        <v>0.94799999999999995</v>
      </c>
      <c r="E166" s="8">
        <v>5.1999999999999998E-2</v>
      </c>
    </row>
    <row r="167" spans="1:7" x14ac:dyDescent="0.25">
      <c r="B167" s="8">
        <v>410.9</v>
      </c>
      <c r="C167" s="8">
        <v>6</v>
      </c>
      <c r="D167" s="10">
        <f t="shared" si="12"/>
        <v>0.93220000000000003</v>
      </c>
      <c r="E167" s="8">
        <v>6.7799999999999999E-2</v>
      </c>
    </row>
    <row r="168" spans="1:7" x14ac:dyDescent="0.25">
      <c r="B168" s="8">
        <v>410.9</v>
      </c>
      <c r="C168" s="8">
        <v>7.18</v>
      </c>
      <c r="D168" s="10">
        <f t="shared" si="12"/>
        <v>0.91859999999999997</v>
      </c>
      <c r="E168" s="8">
        <v>8.14E-2</v>
      </c>
    </row>
    <row r="169" spans="1:7" x14ac:dyDescent="0.25">
      <c r="B169" s="8">
        <v>410.9</v>
      </c>
      <c r="C169" s="8">
        <v>7.52</v>
      </c>
      <c r="D169" s="10">
        <f t="shared" si="12"/>
        <v>0.91459999999999997</v>
      </c>
      <c r="E169" s="8">
        <v>8.5400000000000004E-2</v>
      </c>
    </row>
    <row r="170" spans="1:7" x14ac:dyDescent="0.25">
      <c r="B170" s="8">
        <v>410.9</v>
      </c>
      <c r="C170" s="8">
        <v>8.09</v>
      </c>
      <c r="D170" s="10">
        <f t="shared" si="12"/>
        <v>0.90800000000000003</v>
      </c>
      <c r="E170" s="8">
        <v>9.1999999999999998E-2</v>
      </c>
    </row>
    <row r="171" spans="1:7" x14ac:dyDescent="0.25">
      <c r="B171" s="8">
        <v>410.9</v>
      </c>
      <c r="C171" s="8">
        <v>8.61</v>
      </c>
      <c r="D171" s="10">
        <f t="shared" si="12"/>
        <v>0.90210000000000001</v>
      </c>
      <c r="E171" s="8">
        <v>9.7900000000000001E-2</v>
      </c>
    </row>
    <row r="172" spans="1:7" x14ac:dyDescent="0.25">
      <c r="B172" s="8">
        <v>410.9</v>
      </c>
      <c r="C172" s="8">
        <v>10.32</v>
      </c>
      <c r="D172" s="10">
        <f t="shared" si="12"/>
        <v>0.8831</v>
      </c>
      <c r="E172" s="8">
        <v>0.1169</v>
      </c>
    </row>
    <row r="173" spans="1:7" ht="15.75" thickBot="1" x14ac:dyDescent="0.3">
      <c r="A173" s="9"/>
      <c r="B173" s="9">
        <v>410.9</v>
      </c>
      <c r="C173" s="9">
        <v>11.08</v>
      </c>
      <c r="D173" s="11">
        <f t="shared" si="12"/>
        <v>0.87960000000000005</v>
      </c>
      <c r="E173" s="9">
        <v>0.12039999999999999</v>
      </c>
      <c r="F173" s="9"/>
      <c r="G173" s="9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3EAC-4888-41BB-9AB5-080FE3BDFC09}">
  <sheetPr codeName="Hoja11"/>
  <dimension ref="A1:K2"/>
  <sheetViews>
    <sheetView workbookViewId="0">
      <pane ySplit="1" topLeftCell="A2" activePane="bottomLeft" state="frozen"/>
      <selection pane="bottomLeft" activeCell="G27" sqref="G27"/>
    </sheetView>
  </sheetViews>
  <sheetFormatPr defaultColWidth="11.42578125" defaultRowHeight="15" x14ac:dyDescent="0.25"/>
  <cols>
    <col min="1" max="1" width="28.140625" bestFit="1" customWidth="1"/>
    <col min="2" max="2" width="4.85546875" bestFit="1" customWidth="1"/>
    <col min="3" max="3" width="7.7109375" bestFit="1" customWidth="1"/>
    <col min="4" max="4" width="7.42578125" bestFit="1" customWidth="1"/>
    <col min="5" max="5" width="9.42578125" bestFit="1" customWidth="1"/>
    <col min="6" max="6" width="7.42578125" bestFit="1" customWidth="1"/>
    <col min="7" max="7" width="9.42578125" bestFit="1" customWidth="1"/>
  </cols>
  <sheetData>
    <row r="1" spans="1:11" ht="18" x14ac:dyDescent="0.35">
      <c r="A1" s="1" t="s">
        <v>0</v>
      </c>
      <c r="B1" s="2" t="s">
        <v>3</v>
      </c>
      <c r="C1" s="3" t="s">
        <v>4</v>
      </c>
      <c r="D1" s="1" t="s">
        <v>25</v>
      </c>
      <c r="E1" s="1" t="s">
        <v>2</v>
      </c>
      <c r="F1" s="1" t="s">
        <v>26</v>
      </c>
      <c r="G1" s="1" t="s">
        <v>7</v>
      </c>
      <c r="K1" s="4"/>
    </row>
    <row r="2" spans="1:11" x14ac:dyDescent="0.25">
      <c r="A2" s="5" t="s">
        <v>101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07F0-F093-4417-8244-BC9201CE96A6}">
  <sheetPr codeName="Hoja12"/>
  <dimension ref="A1:I227"/>
  <sheetViews>
    <sheetView tabSelected="1" workbookViewId="0">
      <pane ySplit="1" topLeftCell="A74" activePane="bottomLeft" state="frozen"/>
      <selection pane="bottomLeft" activeCell="B13" sqref="B13:G93"/>
    </sheetView>
  </sheetViews>
  <sheetFormatPr defaultColWidth="11.42578125" defaultRowHeight="15" x14ac:dyDescent="0.25"/>
  <cols>
    <col min="1" max="1" width="20.28515625" style="8" bestFit="1" customWidth="1"/>
    <col min="2" max="2" width="6.5703125" style="8" bestFit="1" customWidth="1"/>
    <col min="3" max="3" width="8.5703125" style="8" bestFit="1" customWidth="1"/>
    <col min="4" max="4" width="16.5703125" style="8" bestFit="1" customWidth="1"/>
    <col min="5" max="5" width="9.42578125" style="8" bestFit="1" customWidth="1"/>
    <col min="6" max="6" width="16.5703125" style="8" bestFit="1" customWidth="1"/>
    <col min="7" max="7" width="9.42578125" style="8" bestFit="1" customWidth="1"/>
    <col min="9" max="9" width="20.28515625" bestFit="1" customWidth="1"/>
  </cols>
  <sheetData>
    <row r="1" spans="1:9" ht="18" x14ac:dyDescent="0.25">
      <c r="A1" s="8" t="s">
        <v>0</v>
      </c>
      <c r="B1" s="10" t="s">
        <v>3</v>
      </c>
      <c r="C1" s="12" t="s">
        <v>4</v>
      </c>
      <c r="D1" s="8" t="s">
        <v>27</v>
      </c>
      <c r="E1" s="8" t="s">
        <v>2</v>
      </c>
      <c r="F1" s="8" t="s">
        <v>28</v>
      </c>
      <c r="G1" s="8" t="s">
        <v>7</v>
      </c>
      <c r="I1" s="8" t="s">
        <v>0</v>
      </c>
    </row>
    <row r="2" spans="1:9" x14ac:dyDescent="0.25">
      <c r="A2" s="18" t="s">
        <v>51</v>
      </c>
      <c r="B2" s="13">
        <v>83.15</v>
      </c>
      <c r="C2" s="12">
        <v>2.1718446200306123</v>
      </c>
      <c r="D2" s="10">
        <f>1-E2</f>
        <v>0.96019999999999994</v>
      </c>
      <c r="E2" s="10">
        <v>3.9800000000000002E-2</v>
      </c>
      <c r="F2" s="10">
        <f>1-G2</f>
        <v>9.1600000000000015E-2</v>
      </c>
      <c r="G2" s="10">
        <v>0.90839999999999999</v>
      </c>
      <c r="I2" t="s">
        <v>74</v>
      </c>
    </row>
    <row r="3" spans="1:9" x14ac:dyDescent="0.25">
      <c r="B3" s="13">
        <v>83.15</v>
      </c>
      <c r="C3" s="12">
        <v>3.4473724127470038</v>
      </c>
      <c r="D3" s="10">
        <f t="shared" ref="D3:D12" si="0">1-E3</f>
        <v>0.93910000000000005</v>
      </c>
      <c r="E3" s="10">
        <v>6.0900000000000003E-2</v>
      </c>
      <c r="F3" s="10">
        <f>1-G3</f>
        <v>6.7999999999999949E-2</v>
      </c>
      <c r="G3" s="10">
        <v>0.93200000000000005</v>
      </c>
      <c r="I3" t="s">
        <v>53</v>
      </c>
    </row>
    <row r="4" spans="1:9" x14ac:dyDescent="0.25">
      <c r="B4" s="13">
        <v>83.15</v>
      </c>
      <c r="C4" s="12">
        <v>9.6526427556916108</v>
      </c>
      <c r="D4" s="10">
        <f t="shared" si="0"/>
        <v>0.82550000000000001</v>
      </c>
      <c r="E4" s="10">
        <v>0.17449999999999999</v>
      </c>
      <c r="F4" s="10">
        <f t="shared" ref="F4:F12" si="1">1-G4</f>
        <v>8.5699999999999998E-2</v>
      </c>
      <c r="G4" s="10">
        <v>0.9143</v>
      </c>
      <c r="I4" t="s">
        <v>51</v>
      </c>
    </row>
    <row r="5" spans="1:9" x14ac:dyDescent="0.25">
      <c r="B5" s="13">
        <v>83.15</v>
      </c>
      <c r="C5" s="12">
        <v>13.789489650988015</v>
      </c>
      <c r="D5" s="10">
        <f t="shared" si="0"/>
        <v>0.751</v>
      </c>
      <c r="E5" s="10">
        <v>0.249</v>
      </c>
      <c r="F5" s="10">
        <f t="shared" si="1"/>
        <v>0.121</v>
      </c>
      <c r="G5" s="10">
        <v>0.879</v>
      </c>
    </row>
    <row r="6" spans="1:9" x14ac:dyDescent="0.25">
      <c r="B6" s="13">
        <v>99.816699999999997</v>
      </c>
      <c r="C6" s="12">
        <v>2.1718446200306123</v>
      </c>
      <c r="D6" s="10">
        <f t="shared" si="0"/>
        <v>0.96109999999999995</v>
      </c>
      <c r="E6" s="10">
        <v>3.8899999999999997E-2</v>
      </c>
      <c r="F6" s="10">
        <f t="shared" si="1"/>
        <v>0.31969999999999998</v>
      </c>
      <c r="G6" s="10">
        <v>0.68030000000000002</v>
      </c>
    </row>
    <row r="7" spans="1:9" x14ac:dyDescent="0.25">
      <c r="B7" s="13">
        <v>99.816699999999997</v>
      </c>
      <c r="C7" s="12">
        <v>3.4473724127470038</v>
      </c>
      <c r="D7" s="10">
        <f t="shared" si="0"/>
        <v>0.93259999999999998</v>
      </c>
      <c r="E7" s="10">
        <v>6.7400000000000002E-2</v>
      </c>
      <c r="F7" s="10">
        <f t="shared" si="1"/>
        <v>0.23809999999999998</v>
      </c>
      <c r="G7" s="10">
        <v>0.76190000000000002</v>
      </c>
    </row>
    <row r="8" spans="1:9" x14ac:dyDescent="0.25">
      <c r="B8" s="13">
        <v>99.816699999999997</v>
      </c>
      <c r="C8" s="12">
        <v>5.5157958603952064</v>
      </c>
      <c r="D8" s="10">
        <f t="shared" si="0"/>
        <v>0.88370000000000004</v>
      </c>
      <c r="E8" s="10">
        <v>0.1163</v>
      </c>
      <c r="F8" s="10">
        <f t="shared" si="1"/>
        <v>0.21560000000000001</v>
      </c>
      <c r="G8" s="10">
        <v>0.78439999999999999</v>
      </c>
    </row>
    <row r="9" spans="1:9" x14ac:dyDescent="0.25">
      <c r="B9" s="13">
        <v>99.816699999999997</v>
      </c>
      <c r="C9" s="12">
        <v>7.5842193080434086</v>
      </c>
      <c r="D9" s="10">
        <f t="shared" si="0"/>
        <v>0.82730000000000004</v>
      </c>
      <c r="E9" s="10">
        <v>0.17269999999999999</v>
      </c>
      <c r="F9" s="10">
        <f t="shared" si="1"/>
        <v>0.21519999999999995</v>
      </c>
      <c r="G9" s="10">
        <v>0.78480000000000005</v>
      </c>
    </row>
    <row r="10" spans="1:9" x14ac:dyDescent="0.25">
      <c r="B10" s="13">
        <v>99.816699999999997</v>
      </c>
      <c r="C10" s="12">
        <v>9.6526427556916108</v>
      </c>
      <c r="D10" s="10">
        <f t="shared" si="0"/>
        <v>0.7601</v>
      </c>
      <c r="E10" s="10">
        <v>0.2399</v>
      </c>
      <c r="F10" s="10">
        <f t="shared" si="1"/>
        <v>0.22609999999999997</v>
      </c>
      <c r="G10" s="10">
        <v>0.77390000000000003</v>
      </c>
    </row>
    <row r="11" spans="1:9" x14ac:dyDescent="0.25">
      <c r="B11" s="13">
        <v>122.039</v>
      </c>
      <c r="C11" s="12">
        <v>3.4473724127470038</v>
      </c>
      <c r="D11" s="10">
        <f t="shared" si="0"/>
        <v>0.95509999999999995</v>
      </c>
      <c r="E11" s="10">
        <v>4.4900000000000002E-2</v>
      </c>
      <c r="F11" s="10">
        <f t="shared" si="1"/>
        <v>0.77400000000000002</v>
      </c>
      <c r="G11" s="10">
        <v>0.22600000000000001</v>
      </c>
    </row>
    <row r="12" spans="1:9" ht="15.75" thickBot="1" x14ac:dyDescent="0.3">
      <c r="A12" s="9"/>
      <c r="B12" s="17">
        <v>122.039</v>
      </c>
      <c r="C12" s="15">
        <v>5.5157958603952064</v>
      </c>
      <c r="D12" s="11">
        <f t="shared" si="0"/>
        <v>0.86180000000000001</v>
      </c>
      <c r="E12" s="11">
        <v>0.13819999999999999</v>
      </c>
      <c r="F12" s="11">
        <f t="shared" si="1"/>
        <v>0.66510000000000002</v>
      </c>
      <c r="G12" s="11">
        <v>0.33489999999999998</v>
      </c>
    </row>
    <row r="13" spans="1:9" x14ac:dyDescent="0.25">
      <c r="A13" s="18" t="s">
        <v>74</v>
      </c>
      <c r="B13" s="13">
        <f>-185+273.15</f>
        <v>88.149999999999977</v>
      </c>
      <c r="C13" s="12">
        <v>18.370222500000001</v>
      </c>
      <c r="D13" s="10">
        <f>1-E13</f>
        <v>0.54600000000000004</v>
      </c>
      <c r="E13" s="10">
        <v>0.45400000000000001</v>
      </c>
      <c r="F13" s="10">
        <f>1-G13</f>
        <v>0.29600000000000004</v>
      </c>
      <c r="G13" s="10">
        <v>0.70399999999999996</v>
      </c>
    </row>
    <row r="14" spans="1:9" x14ac:dyDescent="0.25">
      <c r="B14" s="13">
        <f>-185.01+273.15</f>
        <v>88.139999999999986</v>
      </c>
      <c r="C14" s="12">
        <v>16.890877499999998</v>
      </c>
      <c r="D14" s="10">
        <f t="shared" ref="D14:D77" si="2">1-E14</f>
        <v>0.59000000000000008</v>
      </c>
      <c r="E14" s="10">
        <v>0.41</v>
      </c>
      <c r="F14" s="10">
        <f t="shared" ref="F14:F77" si="3">1-G14</f>
        <v>0.22899999999999998</v>
      </c>
      <c r="G14" s="10">
        <v>0.77100000000000002</v>
      </c>
    </row>
    <row r="15" spans="1:9" x14ac:dyDescent="0.25">
      <c r="B15" s="13">
        <f>-185.03+273.15</f>
        <v>88.119999999999976</v>
      </c>
      <c r="C15" s="12">
        <v>12.989864999999998</v>
      </c>
      <c r="D15" s="10">
        <f t="shared" si="2"/>
        <v>0.69700000000000006</v>
      </c>
      <c r="E15" s="10">
        <v>0.30299999999999999</v>
      </c>
      <c r="F15" s="10">
        <f t="shared" si="3"/>
        <v>0.15200000000000002</v>
      </c>
      <c r="G15" s="10">
        <v>0.84799999999999998</v>
      </c>
    </row>
    <row r="16" spans="1:9" x14ac:dyDescent="0.25">
      <c r="B16" s="13">
        <f>-184.99+273.15</f>
        <v>88.159999999999968</v>
      </c>
      <c r="C16" s="12">
        <v>12.979732500000001</v>
      </c>
      <c r="D16" s="10">
        <f t="shared" si="2"/>
        <v>0.69599999999999995</v>
      </c>
      <c r="E16" s="10">
        <v>0.30399999999999999</v>
      </c>
      <c r="F16" s="10"/>
      <c r="G16" s="10"/>
    </row>
    <row r="17" spans="2:7" x14ac:dyDescent="0.25">
      <c r="B17" s="13">
        <f>-185+273.15</f>
        <v>88.149999999999977</v>
      </c>
      <c r="C17" s="12">
        <v>12.9696</v>
      </c>
      <c r="D17" s="10"/>
      <c r="E17" s="10"/>
      <c r="F17" s="10">
        <f t="shared" si="3"/>
        <v>0.13300000000000001</v>
      </c>
      <c r="G17" s="10">
        <v>0.86699999999999999</v>
      </c>
    </row>
    <row r="18" spans="2:7" x14ac:dyDescent="0.25">
      <c r="B18" s="13">
        <f>-185.02+273.15</f>
        <v>88.129999999999967</v>
      </c>
      <c r="C18" s="12">
        <v>9.0787200000000006</v>
      </c>
      <c r="D18" s="10">
        <f t="shared" si="2"/>
        <v>0.78300000000000003</v>
      </c>
      <c r="E18" s="10">
        <v>0.217</v>
      </c>
      <c r="F18" s="10">
        <f t="shared" si="3"/>
        <v>0.11299999999999999</v>
      </c>
      <c r="G18" s="10">
        <v>0.88700000000000001</v>
      </c>
    </row>
    <row r="19" spans="2:7" x14ac:dyDescent="0.25">
      <c r="B19" s="13">
        <f>-184.99+273.15</f>
        <v>88.159999999999968</v>
      </c>
      <c r="C19" s="12">
        <v>9.0483224999999994</v>
      </c>
      <c r="D19" s="10">
        <f t="shared" si="2"/>
        <v>0.79699999999999993</v>
      </c>
      <c r="E19" s="10">
        <v>0.20300000000000001</v>
      </c>
      <c r="F19" s="10">
        <f t="shared" si="3"/>
        <v>0.11199999999999999</v>
      </c>
      <c r="G19" s="10">
        <v>0.88800000000000001</v>
      </c>
    </row>
    <row r="20" spans="2:7" x14ac:dyDescent="0.25">
      <c r="B20" s="13">
        <f>-185.01+273.15</f>
        <v>88.139999999999986</v>
      </c>
      <c r="C20" s="12">
        <v>5.6640674999999998</v>
      </c>
      <c r="D20" s="10">
        <f t="shared" si="2"/>
        <v>0.86599999999999999</v>
      </c>
      <c r="E20" s="10">
        <v>0.13400000000000001</v>
      </c>
      <c r="F20" s="10">
        <f t="shared" si="3"/>
        <v>9.7999999999999976E-2</v>
      </c>
      <c r="G20" s="10">
        <v>0.90200000000000002</v>
      </c>
    </row>
    <row r="21" spans="2:7" x14ac:dyDescent="0.25">
      <c r="B21" s="13">
        <f>-185+273.15</f>
        <v>88.149999999999977</v>
      </c>
      <c r="C21" s="12">
        <v>5.6539349999999997</v>
      </c>
      <c r="D21" s="10">
        <f t="shared" si="2"/>
        <v>0.871</v>
      </c>
      <c r="E21" s="10">
        <v>0.129</v>
      </c>
      <c r="F21" s="10">
        <f t="shared" si="3"/>
        <v>0.10699999999999998</v>
      </c>
      <c r="G21" s="10">
        <v>0.89300000000000002</v>
      </c>
    </row>
    <row r="22" spans="2:7" x14ac:dyDescent="0.25">
      <c r="B22" s="13">
        <f>-185+273.15</f>
        <v>88.149999999999977</v>
      </c>
      <c r="C22" s="12">
        <v>5.6134050000000002</v>
      </c>
      <c r="D22" s="10">
        <f t="shared" si="2"/>
        <v>0.874</v>
      </c>
      <c r="E22" s="10">
        <v>0.126</v>
      </c>
      <c r="F22" s="10"/>
      <c r="G22" s="10"/>
    </row>
    <row r="23" spans="2:7" x14ac:dyDescent="0.25">
      <c r="B23" s="13">
        <f>-185+273.15</f>
        <v>88.149999999999977</v>
      </c>
      <c r="C23" s="12">
        <v>3.1816049999999998</v>
      </c>
      <c r="D23" s="10">
        <f t="shared" si="2"/>
        <v>0.92900000000000005</v>
      </c>
      <c r="E23" s="10">
        <v>7.0999999999999994E-2</v>
      </c>
      <c r="F23" s="10">
        <f t="shared" si="3"/>
        <v>0.11199999999999999</v>
      </c>
      <c r="G23" s="10">
        <v>0.88800000000000001</v>
      </c>
    </row>
    <row r="24" spans="2:7" x14ac:dyDescent="0.25">
      <c r="B24" s="13">
        <f>-185+273.15</f>
        <v>88.149999999999977</v>
      </c>
      <c r="C24" s="12">
        <v>2.2392824999999998</v>
      </c>
      <c r="D24" s="10">
        <f t="shared" si="2"/>
        <v>0.94799999999999995</v>
      </c>
      <c r="E24" s="10">
        <v>5.1999999999999998E-2</v>
      </c>
      <c r="F24" s="10">
        <f t="shared" si="3"/>
        <v>0.13400000000000001</v>
      </c>
      <c r="G24" s="10">
        <v>0.86599999999999999</v>
      </c>
    </row>
    <row r="25" spans="2:7" x14ac:dyDescent="0.25">
      <c r="B25" s="13">
        <f>-185.02+273.15</f>
        <v>88.129999999999967</v>
      </c>
      <c r="C25" s="12">
        <v>1.7427900000000001</v>
      </c>
      <c r="D25" s="10">
        <f t="shared" si="2"/>
        <v>0.96399999999999997</v>
      </c>
      <c r="E25" s="10">
        <v>3.5999999999999997E-2</v>
      </c>
      <c r="F25" s="10">
        <f t="shared" si="3"/>
        <v>0.16000000000000003</v>
      </c>
      <c r="G25" s="10">
        <v>0.84</v>
      </c>
    </row>
    <row r="26" spans="2:7" x14ac:dyDescent="0.25">
      <c r="B26" s="13">
        <f>-185+273.15</f>
        <v>88.149999999999977</v>
      </c>
      <c r="C26" s="12">
        <v>0.22088850000000002</v>
      </c>
      <c r="D26" s="10"/>
      <c r="E26" s="10"/>
      <c r="F26" s="10"/>
      <c r="G26" s="10"/>
    </row>
    <row r="27" spans="2:7" x14ac:dyDescent="0.25">
      <c r="B27" s="13">
        <f>-190.02+273.15</f>
        <v>83.129999999999967</v>
      </c>
      <c r="C27" s="12">
        <v>22.77786</v>
      </c>
      <c r="D27" s="10">
        <f t="shared" si="2"/>
        <v>0.45899999999999996</v>
      </c>
      <c r="E27" s="10">
        <v>0.54100000000000004</v>
      </c>
      <c r="F27" s="10">
        <f t="shared" si="3"/>
        <v>0.33699999999999997</v>
      </c>
      <c r="G27" s="10">
        <v>0.66300000000000003</v>
      </c>
    </row>
    <row r="28" spans="2:7" x14ac:dyDescent="0.25">
      <c r="B28" s="13">
        <f>-190.03+273.15</f>
        <v>83.119999999999976</v>
      </c>
      <c r="C28" s="12">
        <v>22.382692500000001</v>
      </c>
      <c r="D28" s="10">
        <f t="shared" si="2"/>
        <v>0.51400000000000001</v>
      </c>
      <c r="E28" s="10">
        <v>0.48599999999999999</v>
      </c>
      <c r="F28" s="10">
        <f t="shared" si="3"/>
        <v>0.30600000000000005</v>
      </c>
      <c r="G28" s="10">
        <v>0.69399999999999995</v>
      </c>
    </row>
    <row r="29" spans="2:7" x14ac:dyDescent="0.25">
      <c r="B29" s="13">
        <f>-190+273.15</f>
        <v>83.149999999999977</v>
      </c>
      <c r="C29" s="12">
        <v>21.805140000000002</v>
      </c>
      <c r="D29" s="10">
        <f t="shared" si="2"/>
        <v>0.61099999999999999</v>
      </c>
      <c r="E29" s="10">
        <v>0.38900000000000001</v>
      </c>
      <c r="F29" s="10">
        <f t="shared" si="3"/>
        <v>0.27500000000000002</v>
      </c>
      <c r="G29" s="10">
        <v>0.72499999999999998</v>
      </c>
    </row>
    <row r="30" spans="2:7" x14ac:dyDescent="0.25">
      <c r="B30" s="13">
        <f>-190.04+273.15</f>
        <v>83.109999999999985</v>
      </c>
      <c r="C30" s="12">
        <v>21.795007500000001</v>
      </c>
      <c r="D30" s="10">
        <f t="shared" si="2"/>
        <v>0.53</v>
      </c>
      <c r="E30" s="10">
        <v>0.47</v>
      </c>
      <c r="F30" s="10">
        <f t="shared" si="3"/>
        <v>0.26300000000000001</v>
      </c>
      <c r="G30" s="10">
        <v>0.73699999999999999</v>
      </c>
    </row>
    <row r="31" spans="2:7" x14ac:dyDescent="0.25">
      <c r="B31" s="13">
        <f>-189.98+273.15</f>
        <v>83.169999999999987</v>
      </c>
      <c r="C31" s="12">
        <v>21.31878</v>
      </c>
      <c r="D31" s="10">
        <f t="shared" si="2"/>
        <v>0.55200000000000005</v>
      </c>
      <c r="E31" s="10">
        <v>0.44800000000000001</v>
      </c>
      <c r="F31" s="10">
        <f t="shared" si="3"/>
        <v>0.24099999999999999</v>
      </c>
      <c r="G31" s="10">
        <v>0.75900000000000001</v>
      </c>
    </row>
    <row r="32" spans="2:7" x14ac:dyDescent="0.25">
      <c r="B32" s="13">
        <f>-190.02+273.15</f>
        <v>83.129999999999967</v>
      </c>
      <c r="C32" s="12">
        <v>20.812155000000001</v>
      </c>
      <c r="D32" s="10">
        <f t="shared" si="2"/>
        <v>0.57800000000000007</v>
      </c>
      <c r="E32" s="10">
        <v>0.42199999999999999</v>
      </c>
      <c r="F32" s="10">
        <f t="shared" si="3"/>
        <v>0.26500000000000001</v>
      </c>
      <c r="G32" s="10">
        <v>0.73499999999999999</v>
      </c>
    </row>
    <row r="33" spans="2:7" x14ac:dyDescent="0.25">
      <c r="B33" s="13">
        <f>-190.04+273.15</f>
        <v>83.109999999999985</v>
      </c>
      <c r="C33" s="12">
        <v>20.812155000000001</v>
      </c>
      <c r="D33" s="10">
        <f t="shared" si="2"/>
        <v>0.57000000000000006</v>
      </c>
      <c r="E33" s="10">
        <v>0.43</v>
      </c>
      <c r="F33" s="10">
        <f t="shared" si="3"/>
        <v>0.19999999999999996</v>
      </c>
      <c r="G33" s="10">
        <v>0.8</v>
      </c>
    </row>
    <row r="34" spans="2:7" x14ac:dyDescent="0.25">
      <c r="B34" s="13">
        <f>-190+273.15</f>
        <v>83.149999999999977</v>
      </c>
      <c r="C34" s="12">
        <v>20.812155000000001</v>
      </c>
      <c r="D34" s="10">
        <f t="shared" si="2"/>
        <v>0.56499999999999995</v>
      </c>
      <c r="E34" s="10">
        <v>0.435</v>
      </c>
      <c r="F34" s="10">
        <f t="shared" si="3"/>
        <v>0.23399999999999999</v>
      </c>
      <c r="G34" s="10">
        <v>0.76600000000000001</v>
      </c>
    </row>
    <row r="35" spans="2:7" x14ac:dyDescent="0.25">
      <c r="B35" s="13">
        <f>-190.01+273.15</f>
        <v>83.139999999999986</v>
      </c>
      <c r="C35" s="12">
        <v>20.325794999999999</v>
      </c>
      <c r="D35" s="10">
        <f t="shared" si="2"/>
        <v>0.58899999999999997</v>
      </c>
      <c r="E35" s="10">
        <v>0.41099999999999998</v>
      </c>
      <c r="F35" s="10">
        <f t="shared" si="3"/>
        <v>0.23299999999999998</v>
      </c>
      <c r="G35" s="10">
        <v>0.76700000000000002</v>
      </c>
    </row>
    <row r="36" spans="2:7" x14ac:dyDescent="0.25">
      <c r="B36" s="13">
        <f>-190.02+273.15</f>
        <v>83.129999999999967</v>
      </c>
      <c r="C36" s="12">
        <v>20.2953975</v>
      </c>
      <c r="D36" s="10">
        <f t="shared" si="2"/>
        <v>0.58499999999999996</v>
      </c>
      <c r="E36" s="10">
        <v>0.41499999999999998</v>
      </c>
      <c r="F36" s="10">
        <f t="shared" si="3"/>
        <v>0.22299999999999998</v>
      </c>
      <c r="G36" s="10">
        <v>0.77700000000000002</v>
      </c>
    </row>
    <row r="37" spans="2:7" x14ac:dyDescent="0.25">
      <c r="B37" s="13">
        <f>-190+273.15</f>
        <v>83.149999999999977</v>
      </c>
      <c r="C37" s="12">
        <v>19.839435000000002</v>
      </c>
      <c r="D37" s="10">
        <f t="shared" si="2"/>
        <v>0.59899999999999998</v>
      </c>
      <c r="E37" s="10">
        <v>0.40100000000000002</v>
      </c>
      <c r="F37" s="10">
        <f t="shared" si="3"/>
        <v>0.20499999999999996</v>
      </c>
      <c r="G37" s="10">
        <v>0.79500000000000004</v>
      </c>
    </row>
    <row r="38" spans="2:7" x14ac:dyDescent="0.25">
      <c r="B38" s="13">
        <f>-190.01+273.15</f>
        <v>83.139999999999986</v>
      </c>
      <c r="C38" s="12">
        <v>19.342942499999999</v>
      </c>
      <c r="D38" s="10">
        <f t="shared" si="2"/>
        <v>0.61899999999999999</v>
      </c>
      <c r="E38" s="10">
        <v>0.38100000000000001</v>
      </c>
      <c r="F38" s="10">
        <f t="shared" si="3"/>
        <v>0.19499999999999995</v>
      </c>
      <c r="G38" s="10">
        <v>0.80500000000000005</v>
      </c>
    </row>
    <row r="39" spans="2:7" x14ac:dyDescent="0.25">
      <c r="B39" s="13">
        <f>-190.02+273.15</f>
        <v>83.129999999999967</v>
      </c>
      <c r="C39" s="12">
        <v>18.856582499999998</v>
      </c>
      <c r="D39" s="10">
        <f t="shared" si="2"/>
        <v>0.63200000000000001</v>
      </c>
      <c r="E39" s="10">
        <v>0.36799999999999999</v>
      </c>
      <c r="F39" s="10">
        <f t="shared" si="3"/>
        <v>0.19199999999999995</v>
      </c>
      <c r="G39" s="10">
        <v>0.80800000000000005</v>
      </c>
    </row>
    <row r="40" spans="2:7" x14ac:dyDescent="0.25">
      <c r="B40" s="13">
        <f>-190+273.15</f>
        <v>83.149999999999977</v>
      </c>
      <c r="C40" s="12">
        <v>17.873729999999998</v>
      </c>
      <c r="D40" s="10">
        <f t="shared" si="2"/>
        <v>0.65600000000000003</v>
      </c>
      <c r="E40" s="10">
        <v>0.34399999999999997</v>
      </c>
      <c r="F40" s="10">
        <f t="shared" si="3"/>
        <v>0.16900000000000004</v>
      </c>
      <c r="G40" s="10">
        <v>0.83099999999999996</v>
      </c>
    </row>
    <row r="41" spans="2:7" x14ac:dyDescent="0.25">
      <c r="B41" s="13">
        <f>-190.02+273.15</f>
        <v>83.129999999999967</v>
      </c>
      <c r="C41" s="12">
        <v>16.901009999999999</v>
      </c>
      <c r="D41" s="10">
        <f t="shared" si="2"/>
        <v>0.67100000000000004</v>
      </c>
      <c r="E41" s="10">
        <v>0.32900000000000001</v>
      </c>
      <c r="F41" s="10">
        <f t="shared" si="3"/>
        <v>0.15700000000000003</v>
      </c>
      <c r="G41" s="10">
        <v>0.84299999999999997</v>
      </c>
    </row>
    <row r="42" spans="2:7" x14ac:dyDescent="0.25">
      <c r="B42" s="13">
        <f>-189.97+273.15</f>
        <v>83.179999999999978</v>
      </c>
      <c r="C42" s="12">
        <v>16.890877499999998</v>
      </c>
      <c r="D42" s="10">
        <f t="shared" si="2"/>
        <v>0.70799999999999996</v>
      </c>
      <c r="E42" s="10">
        <v>0.29199999999999998</v>
      </c>
      <c r="F42" s="10">
        <f t="shared" si="3"/>
        <v>0.16000000000000003</v>
      </c>
      <c r="G42" s="10">
        <v>0.84</v>
      </c>
    </row>
    <row r="43" spans="2:7" x14ac:dyDescent="0.25">
      <c r="B43" s="13">
        <f>-190.02+273.15</f>
        <v>83.129999999999967</v>
      </c>
      <c r="C43" s="12">
        <v>12.979732500000001</v>
      </c>
      <c r="D43" s="10">
        <f t="shared" si="2"/>
        <v>0.751</v>
      </c>
      <c r="E43" s="10">
        <v>0.249</v>
      </c>
      <c r="F43" s="10">
        <f t="shared" si="3"/>
        <v>0.11099999999999999</v>
      </c>
      <c r="G43" s="10">
        <v>0.88900000000000001</v>
      </c>
    </row>
    <row r="44" spans="2:7" x14ac:dyDescent="0.25">
      <c r="B44" s="13">
        <f>-190+273.15</f>
        <v>83.149999999999977</v>
      </c>
      <c r="C44" s="12">
        <v>12.979732500000001</v>
      </c>
      <c r="D44" s="10">
        <f t="shared" si="2"/>
        <v>0.746</v>
      </c>
      <c r="E44" s="10">
        <v>0.254</v>
      </c>
      <c r="F44" s="10">
        <f t="shared" si="3"/>
        <v>0.11199999999999999</v>
      </c>
      <c r="G44" s="10">
        <v>0.88800000000000001</v>
      </c>
    </row>
    <row r="45" spans="2:7" x14ac:dyDescent="0.25">
      <c r="B45" s="13">
        <f>-190.02+273.15</f>
        <v>83.129999999999967</v>
      </c>
      <c r="C45" s="12">
        <v>11.125484999999999</v>
      </c>
      <c r="D45" s="10">
        <f t="shared" si="2"/>
        <v>0.77200000000000002</v>
      </c>
      <c r="E45" s="10">
        <v>0.22800000000000001</v>
      </c>
      <c r="F45" s="10">
        <f t="shared" si="3"/>
        <v>9.5999999999999974E-2</v>
      </c>
      <c r="G45" s="10">
        <v>0.90400000000000003</v>
      </c>
    </row>
    <row r="46" spans="2:7" x14ac:dyDescent="0.25">
      <c r="B46" s="13">
        <f>-190.02+273.15</f>
        <v>83.129999999999967</v>
      </c>
      <c r="C46" s="12">
        <v>11.125484999999999</v>
      </c>
      <c r="D46" s="10">
        <f t="shared" si="2"/>
        <v>0.79</v>
      </c>
      <c r="E46" s="10">
        <v>0.21</v>
      </c>
      <c r="F46" s="10">
        <f t="shared" si="3"/>
        <v>9.2999999999999972E-2</v>
      </c>
      <c r="G46" s="10">
        <v>0.90700000000000003</v>
      </c>
    </row>
    <row r="47" spans="2:7" x14ac:dyDescent="0.25">
      <c r="B47" s="13">
        <f>-190.02+273.15</f>
        <v>83.129999999999967</v>
      </c>
      <c r="C47" s="12">
        <v>11.105219999999999</v>
      </c>
      <c r="D47" s="10">
        <f t="shared" si="2"/>
        <v>0.79400000000000004</v>
      </c>
      <c r="E47" s="10">
        <v>0.20599999999999999</v>
      </c>
      <c r="F47" s="10">
        <f t="shared" si="3"/>
        <v>9.3999999999999972E-2</v>
      </c>
      <c r="G47" s="10">
        <v>0.90600000000000003</v>
      </c>
    </row>
    <row r="48" spans="2:7" x14ac:dyDescent="0.25">
      <c r="B48" s="13">
        <f>-189.99+273.15</f>
        <v>83.159999999999968</v>
      </c>
      <c r="C48" s="12">
        <v>9.0483224999999994</v>
      </c>
      <c r="D48" s="10">
        <f t="shared" si="2"/>
        <v>0.83</v>
      </c>
      <c r="E48" s="10">
        <v>0.17</v>
      </c>
      <c r="F48" s="10">
        <f t="shared" si="3"/>
        <v>7.999999999999996E-2</v>
      </c>
      <c r="G48" s="10">
        <v>0.92</v>
      </c>
    </row>
    <row r="49" spans="2:7" x14ac:dyDescent="0.25">
      <c r="B49" s="13">
        <f>-190.01+273.15</f>
        <v>83.139999999999986</v>
      </c>
      <c r="C49" s="12">
        <v>9.0685874999999996</v>
      </c>
      <c r="D49" s="10">
        <f t="shared" si="2"/>
        <v>0.80499999999999994</v>
      </c>
      <c r="E49" s="10">
        <v>0.19500000000000001</v>
      </c>
      <c r="F49" s="10">
        <f t="shared" si="3"/>
        <v>8.1999999999999962E-2</v>
      </c>
      <c r="G49" s="10">
        <v>0.91800000000000004</v>
      </c>
    </row>
    <row r="50" spans="2:7" x14ac:dyDescent="0.25">
      <c r="B50" s="13">
        <f>-190.01+273.15</f>
        <v>83.139999999999986</v>
      </c>
      <c r="C50" s="12">
        <v>5.1878399999999996</v>
      </c>
      <c r="D50" s="10">
        <f t="shared" si="2"/>
        <v>0.875</v>
      </c>
      <c r="E50" s="10">
        <v>0.125</v>
      </c>
      <c r="F50" s="10">
        <f t="shared" si="3"/>
        <v>6.7999999999999949E-2</v>
      </c>
      <c r="G50" s="10">
        <v>0.93200000000000005</v>
      </c>
    </row>
    <row r="51" spans="2:7" x14ac:dyDescent="0.25">
      <c r="B51" s="13">
        <f>-190.02+273.15</f>
        <v>83.129999999999967</v>
      </c>
      <c r="C51" s="12">
        <v>5.1878399999999996</v>
      </c>
      <c r="D51" s="10">
        <f t="shared" si="2"/>
        <v>0.89800000000000002</v>
      </c>
      <c r="E51" s="10">
        <v>0.10199999999999999</v>
      </c>
      <c r="F51" s="10">
        <f t="shared" si="3"/>
        <v>6.899999999999995E-2</v>
      </c>
      <c r="G51" s="10">
        <v>0.93100000000000005</v>
      </c>
    </row>
    <row r="52" spans="2:7" x14ac:dyDescent="0.25">
      <c r="B52" s="13">
        <f>-190.02+273.15</f>
        <v>83.129999999999967</v>
      </c>
      <c r="C52" s="12">
        <v>1.7427900000000001</v>
      </c>
      <c r="D52" s="10">
        <f t="shared" si="2"/>
        <v>0.97299999999999998</v>
      </c>
      <c r="E52" s="10">
        <v>2.7E-2</v>
      </c>
      <c r="F52" s="10">
        <f t="shared" si="3"/>
        <v>0.10099999999999998</v>
      </c>
      <c r="G52" s="10">
        <v>0.89900000000000002</v>
      </c>
    </row>
    <row r="53" spans="2:7" x14ac:dyDescent="0.25">
      <c r="B53" s="13">
        <f>-190+273.15</f>
        <v>83.149999999999977</v>
      </c>
      <c r="C53" s="12">
        <v>0.1195635</v>
      </c>
      <c r="D53" s="10"/>
      <c r="E53" s="10"/>
      <c r="F53" s="10"/>
      <c r="G53" s="10"/>
    </row>
    <row r="54" spans="2:7" x14ac:dyDescent="0.25">
      <c r="B54" s="8">
        <f>-199.99+273.15</f>
        <v>73.159999999999968</v>
      </c>
      <c r="C54" s="12">
        <v>22.787992500000001</v>
      </c>
      <c r="D54" s="10">
        <f t="shared" si="2"/>
        <v>0.72499999999999998</v>
      </c>
      <c r="E54" s="10">
        <v>0.27500000000000002</v>
      </c>
      <c r="F54" s="10">
        <f t="shared" si="3"/>
        <v>0.10999999999999999</v>
      </c>
      <c r="G54" s="10">
        <v>0.89</v>
      </c>
    </row>
    <row r="55" spans="2:7" x14ac:dyDescent="0.25">
      <c r="B55" s="8">
        <f>-200+273.15</f>
        <v>73.149999999999977</v>
      </c>
      <c r="C55" s="12">
        <v>22.77786</v>
      </c>
      <c r="D55" s="10">
        <f t="shared" si="2"/>
        <v>0.73499999999999999</v>
      </c>
      <c r="E55" s="10">
        <v>0.26500000000000001</v>
      </c>
      <c r="F55" s="10">
        <f t="shared" si="3"/>
        <v>0.10699999999999998</v>
      </c>
      <c r="G55" s="10">
        <v>0.89300000000000002</v>
      </c>
    </row>
    <row r="56" spans="2:7" x14ac:dyDescent="0.25">
      <c r="B56" s="8">
        <f>-200.03+273.15</f>
        <v>73.119999999999976</v>
      </c>
      <c r="C56" s="12">
        <v>20.832419999999999</v>
      </c>
      <c r="D56" s="10">
        <f t="shared" si="2"/>
        <v>0.75</v>
      </c>
      <c r="E56" s="10">
        <v>0.25</v>
      </c>
      <c r="F56" s="10">
        <f t="shared" si="3"/>
        <v>8.7999999999999967E-2</v>
      </c>
      <c r="G56" s="10">
        <v>0.91200000000000003</v>
      </c>
    </row>
    <row r="57" spans="2:7" x14ac:dyDescent="0.25">
      <c r="B57" s="8">
        <f>-200.03+273.15</f>
        <v>73.119999999999976</v>
      </c>
      <c r="C57" s="12">
        <v>20.812155000000001</v>
      </c>
      <c r="D57" s="10">
        <f t="shared" si="2"/>
        <v>0.74299999999999999</v>
      </c>
      <c r="E57" s="10">
        <v>0.25700000000000001</v>
      </c>
      <c r="F57" s="10">
        <f t="shared" si="3"/>
        <v>9.7999999999999976E-2</v>
      </c>
      <c r="G57" s="10">
        <v>0.90200000000000002</v>
      </c>
    </row>
    <row r="58" spans="2:7" x14ac:dyDescent="0.25">
      <c r="B58" s="8">
        <f>-200+273.15</f>
        <v>73.149999999999977</v>
      </c>
      <c r="C58" s="12">
        <v>18.866714999999999</v>
      </c>
      <c r="D58" s="10">
        <f t="shared" si="2"/>
        <v>0.77100000000000002</v>
      </c>
      <c r="E58" s="10">
        <v>0.22900000000000001</v>
      </c>
      <c r="F58" s="10">
        <f t="shared" si="3"/>
        <v>8.3999999999999964E-2</v>
      </c>
      <c r="G58" s="10">
        <v>0.91600000000000004</v>
      </c>
    </row>
    <row r="59" spans="2:7" x14ac:dyDescent="0.25">
      <c r="B59" s="8">
        <f>-200.03+273.15</f>
        <v>73.119999999999976</v>
      </c>
      <c r="C59" s="12">
        <v>18.866714999999999</v>
      </c>
      <c r="D59" s="10">
        <f t="shared" si="2"/>
        <v>0.76400000000000001</v>
      </c>
      <c r="E59" s="10">
        <v>0.23599999999999999</v>
      </c>
      <c r="F59" s="10">
        <f t="shared" si="3"/>
        <v>8.5999999999999965E-2</v>
      </c>
      <c r="G59" s="10">
        <v>0.91400000000000003</v>
      </c>
    </row>
    <row r="60" spans="2:7" x14ac:dyDescent="0.25">
      <c r="B60" s="8">
        <f>-200.01+273.15</f>
        <v>73.139999999999986</v>
      </c>
      <c r="C60" s="12">
        <v>17.873729999999998</v>
      </c>
      <c r="D60" s="10">
        <f t="shared" si="2"/>
        <v>0.77</v>
      </c>
      <c r="E60" s="10">
        <v>0.23</v>
      </c>
      <c r="F60" s="10">
        <f t="shared" si="3"/>
        <v>7.999999999999996E-2</v>
      </c>
      <c r="G60" s="10">
        <v>0.92</v>
      </c>
    </row>
    <row r="61" spans="2:7" x14ac:dyDescent="0.25">
      <c r="B61" s="8">
        <f>-199.96+273.15</f>
        <v>73.189999999999969</v>
      </c>
      <c r="C61" s="12">
        <v>17.873729999999998</v>
      </c>
      <c r="D61" s="10">
        <f t="shared" si="2"/>
        <v>0.78200000000000003</v>
      </c>
      <c r="E61" s="10">
        <v>0.218</v>
      </c>
      <c r="F61" s="10">
        <f t="shared" si="3"/>
        <v>8.2999999999999963E-2</v>
      </c>
      <c r="G61" s="10">
        <v>0.91700000000000004</v>
      </c>
    </row>
    <row r="62" spans="2:7" x14ac:dyDescent="0.25">
      <c r="B62" s="8">
        <f>-200+273.15</f>
        <v>73.149999999999977</v>
      </c>
      <c r="C62" s="12">
        <v>15.441929999999999</v>
      </c>
      <c r="D62" s="10"/>
      <c r="E62" s="10"/>
      <c r="F62" s="10">
        <f t="shared" si="3"/>
        <v>6.899999999999995E-2</v>
      </c>
      <c r="G62" s="10">
        <v>0.93100000000000005</v>
      </c>
    </row>
    <row r="63" spans="2:7" x14ac:dyDescent="0.25">
      <c r="B63" s="8">
        <f>-200.03+273.15</f>
        <v>73.119999999999976</v>
      </c>
      <c r="C63" s="12">
        <v>15.441929999999999</v>
      </c>
      <c r="D63" s="10">
        <f t="shared" si="2"/>
        <v>0.79400000000000004</v>
      </c>
      <c r="E63" s="10">
        <v>0.20599999999999999</v>
      </c>
      <c r="F63" s="10">
        <f t="shared" si="3"/>
        <v>6.9999999999999951E-2</v>
      </c>
      <c r="G63" s="10">
        <v>0.93</v>
      </c>
    </row>
    <row r="64" spans="2:7" x14ac:dyDescent="0.25">
      <c r="B64" s="8">
        <f>-199.99+273.15</f>
        <v>73.159999999999968</v>
      </c>
      <c r="C64" s="12">
        <v>14.438812499999999</v>
      </c>
      <c r="D64" s="10"/>
      <c r="E64" s="10"/>
      <c r="F64" s="10">
        <f t="shared" si="3"/>
        <v>6.4999999999999947E-2</v>
      </c>
      <c r="G64" s="10">
        <v>0.93500000000000005</v>
      </c>
    </row>
    <row r="65" spans="2:7" x14ac:dyDescent="0.25">
      <c r="B65" s="8">
        <f>-200.01+273.15</f>
        <v>73.139999999999986</v>
      </c>
      <c r="C65" s="12">
        <v>12.9696</v>
      </c>
      <c r="D65" s="10"/>
      <c r="E65" s="10"/>
      <c r="F65" s="10">
        <f t="shared" si="3"/>
        <v>5.8000000000000052E-2</v>
      </c>
      <c r="G65" s="10">
        <v>0.94199999999999995</v>
      </c>
    </row>
    <row r="66" spans="2:7" x14ac:dyDescent="0.25">
      <c r="B66" s="8">
        <f>-200.01+273.15</f>
        <v>73.139999999999986</v>
      </c>
      <c r="C66" s="12">
        <v>11.540917500000001</v>
      </c>
      <c r="D66" s="10">
        <f t="shared" si="2"/>
        <v>0.83399999999999996</v>
      </c>
      <c r="E66" s="10">
        <v>0.16600000000000001</v>
      </c>
      <c r="F66" s="10">
        <f t="shared" si="3"/>
        <v>4.9000000000000044E-2</v>
      </c>
      <c r="G66" s="10">
        <v>0.95099999999999996</v>
      </c>
    </row>
    <row r="67" spans="2:7" x14ac:dyDescent="0.25">
      <c r="B67" s="8">
        <f>-200+273.15</f>
        <v>73.149999999999977</v>
      </c>
      <c r="C67" s="12">
        <v>11.530785</v>
      </c>
      <c r="D67" s="10">
        <f t="shared" si="2"/>
        <v>0.84599999999999997</v>
      </c>
      <c r="E67" s="10">
        <v>0.154</v>
      </c>
      <c r="F67" s="10">
        <f t="shared" si="3"/>
        <v>4.500000000000004E-2</v>
      </c>
      <c r="G67" s="10">
        <v>0.95499999999999996</v>
      </c>
    </row>
    <row r="68" spans="2:7" x14ac:dyDescent="0.25">
      <c r="B68" s="8">
        <f>-199.98+273.15</f>
        <v>73.169999999999987</v>
      </c>
      <c r="C68" s="12">
        <v>11.520652500000001</v>
      </c>
      <c r="D68" s="10">
        <f t="shared" si="2"/>
        <v>0.83499999999999996</v>
      </c>
      <c r="E68" s="10">
        <v>0.16500000000000001</v>
      </c>
      <c r="F68" s="10">
        <f t="shared" si="3"/>
        <v>5.2000000000000046E-2</v>
      </c>
      <c r="G68" s="10">
        <v>0.94799999999999995</v>
      </c>
    </row>
    <row r="69" spans="2:7" x14ac:dyDescent="0.25">
      <c r="B69" s="8">
        <f>-200+273.15</f>
        <v>73.149999999999977</v>
      </c>
      <c r="C69" s="12">
        <v>8.1262650000000001</v>
      </c>
      <c r="D69" s="10">
        <f t="shared" si="2"/>
        <v>0.873</v>
      </c>
      <c r="E69" s="10">
        <v>0.127</v>
      </c>
      <c r="F69" s="10">
        <f t="shared" si="3"/>
        <v>4.1000000000000036E-2</v>
      </c>
      <c r="G69" s="10">
        <v>0.95899999999999996</v>
      </c>
    </row>
    <row r="70" spans="2:7" x14ac:dyDescent="0.25">
      <c r="B70" s="8">
        <f>-200.01+273.15</f>
        <v>73.139999999999986</v>
      </c>
      <c r="C70" s="12">
        <v>8.1161324999999991</v>
      </c>
      <c r="D70" s="10">
        <f t="shared" si="2"/>
        <v>0.88</v>
      </c>
      <c r="E70" s="10">
        <v>0.12</v>
      </c>
      <c r="F70" s="10">
        <f t="shared" si="3"/>
        <v>3.6000000000000032E-2</v>
      </c>
      <c r="G70" s="10">
        <v>0.96399999999999997</v>
      </c>
    </row>
    <row r="71" spans="2:7" x14ac:dyDescent="0.25">
      <c r="B71" s="8">
        <f>-199.98+273.15</f>
        <v>73.169999999999987</v>
      </c>
      <c r="C71" s="12">
        <v>8.0756025000000005</v>
      </c>
      <c r="D71" s="10"/>
      <c r="E71" s="10"/>
      <c r="F71" s="10">
        <f t="shared" si="3"/>
        <v>3.7000000000000033E-2</v>
      </c>
      <c r="G71" s="10">
        <v>0.96299999999999997</v>
      </c>
    </row>
    <row r="72" spans="2:7" x14ac:dyDescent="0.25">
      <c r="B72" s="8">
        <f>-200.01+273.15</f>
        <v>73.139999999999986</v>
      </c>
      <c r="C72" s="12">
        <v>5.1675750000000003</v>
      </c>
      <c r="D72" s="10">
        <f t="shared" si="2"/>
        <v>0.91600000000000004</v>
      </c>
      <c r="E72" s="10">
        <v>8.4000000000000005E-2</v>
      </c>
      <c r="F72" s="10">
        <f t="shared" si="3"/>
        <v>3.3000000000000029E-2</v>
      </c>
      <c r="G72" s="10">
        <v>0.96699999999999997</v>
      </c>
    </row>
    <row r="73" spans="2:7" x14ac:dyDescent="0.25">
      <c r="B73" s="8">
        <f>-200+273.15</f>
        <v>73.149999999999977</v>
      </c>
      <c r="C73" s="12">
        <v>5.1574425000000002</v>
      </c>
      <c r="D73" s="10"/>
      <c r="E73" s="10"/>
      <c r="F73" s="10">
        <f t="shared" si="3"/>
        <v>3.0000000000000027E-2</v>
      </c>
      <c r="G73" s="10">
        <v>0.97</v>
      </c>
    </row>
    <row r="74" spans="2:7" x14ac:dyDescent="0.25">
      <c r="B74" s="8">
        <f>-200.01+273.15</f>
        <v>73.139999999999986</v>
      </c>
      <c r="C74" s="12">
        <v>3.2221350000000002</v>
      </c>
      <c r="D74" s="10">
        <f t="shared" si="2"/>
        <v>0.94399999999999995</v>
      </c>
      <c r="E74" s="10">
        <v>5.6000000000000001E-2</v>
      </c>
      <c r="F74" s="10">
        <f t="shared" si="3"/>
        <v>2.5000000000000022E-2</v>
      </c>
      <c r="G74" s="10">
        <v>0.97499999999999998</v>
      </c>
    </row>
    <row r="75" spans="2:7" x14ac:dyDescent="0.25">
      <c r="B75" s="8">
        <f>-200.01+273.15</f>
        <v>73.139999999999986</v>
      </c>
      <c r="C75" s="12">
        <v>3.1917374999999999</v>
      </c>
      <c r="D75" s="10"/>
      <c r="E75" s="10"/>
      <c r="F75" s="10">
        <f t="shared" si="3"/>
        <v>3.6000000000000032E-2</v>
      </c>
      <c r="G75" s="10">
        <v>0.96399999999999997</v>
      </c>
    </row>
    <row r="76" spans="2:7" x14ac:dyDescent="0.25">
      <c r="B76" s="8">
        <f>-200.01+273.15</f>
        <v>73.139999999999986</v>
      </c>
      <c r="C76" s="12">
        <v>2.2494149999999999</v>
      </c>
      <c r="D76" s="10"/>
      <c r="E76" s="10"/>
      <c r="F76" s="10">
        <f t="shared" si="3"/>
        <v>4.6000000000000041E-2</v>
      </c>
      <c r="G76" s="10">
        <v>0.95399999999999996</v>
      </c>
    </row>
    <row r="77" spans="2:7" x14ac:dyDescent="0.25">
      <c r="B77" s="8">
        <f>-199.98+273.15</f>
        <v>73.169999999999987</v>
      </c>
      <c r="C77" s="12">
        <v>1.7529224999999999</v>
      </c>
      <c r="D77" s="10">
        <f t="shared" si="2"/>
        <v>0.96699999999999997</v>
      </c>
      <c r="E77" s="10">
        <v>3.3000000000000002E-2</v>
      </c>
      <c r="F77" s="10">
        <f t="shared" si="3"/>
        <v>3.3000000000000029E-2</v>
      </c>
      <c r="G77" s="10">
        <v>0.96699999999999997</v>
      </c>
    </row>
    <row r="78" spans="2:7" x14ac:dyDescent="0.25">
      <c r="B78" s="8">
        <f>-200+273.15</f>
        <v>73.149999999999977</v>
      </c>
      <c r="C78" s="12">
        <v>3.3437250000000002E-2</v>
      </c>
      <c r="D78" s="22">
        <f t="shared" ref="D78:D93" si="4">1-E78</f>
        <v>1</v>
      </c>
      <c r="E78" s="22">
        <v>0</v>
      </c>
      <c r="F78" s="22">
        <f t="shared" ref="F78:F93" si="5">1-G78</f>
        <v>1</v>
      </c>
      <c r="G78" s="22">
        <v>0</v>
      </c>
    </row>
    <row r="79" spans="2:7" x14ac:dyDescent="0.25">
      <c r="B79" s="8">
        <f>-205.01+273.15</f>
        <v>68.139999999999986</v>
      </c>
      <c r="C79" s="12">
        <v>21.801086999999999</v>
      </c>
      <c r="D79" s="10">
        <f t="shared" si="4"/>
        <v>0.79800000000000004</v>
      </c>
      <c r="E79" s="10">
        <v>0.20200000000000001</v>
      </c>
      <c r="F79" s="10">
        <f t="shared" si="5"/>
        <v>6.5999999999999948E-2</v>
      </c>
      <c r="G79" s="10">
        <v>0.93400000000000005</v>
      </c>
    </row>
    <row r="80" spans="2:7" x14ac:dyDescent="0.25">
      <c r="B80" s="8">
        <f>-205+273.15</f>
        <v>68.149999999999977</v>
      </c>
      <c r="C80" s="12">
        <v>19.350035250000001</v>
      </c>
      <c r="D80" s="10">
        <f t="shared" si="4"/>
        <v>0.81200000000000006</v>
      </c>
      <c r="E80" s="10">
        <v>0.188</v>
      </c>
      <c r="F80" s="10">
        <f t="shared" si="5"/>
        <v>6.1000000000000054E-2</v>
      </c>
      <c r="G80" s="10">
        <v>0.93899999999999995</v>
      </c>
    </row>
    <row r="81" spans="1:7" x14ac:dyDescent="0.25">
      <c r="B81" s="8">
        <f>-205+273.15</f>
        <v>68.149999999999977</v>
      </c>
      <c r="C81" s="12">
        <v>15.434837250000001</v>
      </c>
      <c r="D81" s="10">
        <f t="shared" si="4"/>
        <v>0.83699999999999997</v>
      </c>
      <c r="E81" s="10">
        <v>0.16300000000000001</v>
      </c>
      <c r="F81" s="10">
        <f t="shared" si="5"/>
        <v>5.4000000000000048E-2</v>
      </c>
      <c r="G81" s="10">
        <v>0.94599999999999995</v>
      </c>
    </row>
    <row r="82" spans="1:7" x14ac:dyDescent="0.25">
      <c r="B82" s="8">
        <f>-205+273.15</f>
        <v>68.149999999999977</v>
      </c>
      <c r="C82" s="12">
        <v>15.418625249999998</v>
      </c>
      <c r="D82" s="10">
        <f t="shared" si="4"/>
        <v>0.84199999999999997</v>
      </c>
      <c r="E82" s="10">
        <v>0.158</v>
      </c>
      <c r="F82" s="10">
        <f t="shared" si="5"/>
        <v>3.2000000000000028E-2</v>
      </c>
      <c r="G82" s="10">
        <v>0.96799999999999997</v>
      </c>
    </row>
    <row r="83" spans="1:7" x14ac:dyDescent="0.25">
      <c r="B83" s="8">
        <f>-205+273.15</f>
        <v>68.149999999999977</v>
      </c>
      <c r="C83" s="12">
        <v>11.9948535</v>
      </c>
      <c r="D83" s="10">
        <f t="shared" si="4"/>
        <v>0.86199999999999999</v>
      </c>
      <c r="E83" s="10">
        <v>0.13800000000000001</v>
      </c>
      <c r="F83" s="10">
        <f t="shared" si="5"/>
        <v>3.5000000000000031E-2</v>
      </c>
      <c r="G83" s="10">
        <v>0.96499999999999997</v>
      </c>
    </row>
    <row r="84" spans="1:7" x14ac:dyDescent="0.25">
      <c r="B84" s="8">
        <f>-204.99+273.15</f>
        <v>68.159999999999968</v>
      </c>
      <c r="C84" s="12">
        <v>11.98573425</v>
      </c>
      <c r="D84" s="10"/>
      <c r="E84" s="10"/>
      <c r="F84" s="10">
        <f t="shared" si="5"/>
        <v>3.8000000000000034E-2</v>
      </c>
      <c r="G84" s="10">
        <v>0.96199999999999997</v>
      </c>
    </row>
    <row r="85" spans="1:7" x14ac:dyDescent="0.25">
      <c r="B85" s="8">
        <f>-205.01+273.15</f>
        <v>68.139999999999986</v>
      </c>
      <c r="C85" s="12">
        <v>8.0948542499999991</v>
      </c>
      <c r="D85" s="10">
        <f t="shared" si="4"/>
        <v>0.89800000000000002</v>
      </c>
      <c r="E85" s="10">
        <v>0.10199999999999999</v>
      </c>
      <c r="F85" s="10">
        <f t="shared" si="5"/>
        <v>2.300000000000002E-2</v>
      </c>
      <c r="G85" s="10">
        <v>0.97699999999999998</v>
      </c>
    </row>
    <row r="86" spans="1:7" x14ac:dyDescent="0.25">
      <c r="B86" s="8">
        <f>-205.01+273.15</f>
        <v>68.139999999999986</v>
      </c>
      <c r="C86" s="12">
        <v>8.0918144999999999</v>
      </c>
      <c r="D86" s="10"/>
      <c r="E86" s="10"/>
      <c r="F86" s="10">
        <f t="shared" si="5"/>
        <v>2.300000000000002E-2</v>
      </c>
      <c r="G86" s="10">
        <v>0.97699999999999998</v>
      </c>
    </row>
    <row r="87" spans="1:7" x14ac:dyDescent="0.25">
      <c r="B87" s="8">
        <f>-205+273.15</f>
        <v>68.149999999999977</v>
      </c>
      <c r="C87" s="12">
        <v>4.1999212500000001</v>
      </c>
      <c r="D87" s="10">
        <f t="shared" si="4"/>
        <v>0.93700000000000006</v>
      </c>
      <c r="E87" s="10">
        <v>6.3E-2</v>
      </c>
      <c r="F87" s="10">
        <f t="shared" si="5"/>
        <v>2.5000000000000022E-2</v>
      </c>
      <c r="G87" s="10">
        <v>0.97499999999999998</v>
      </c>
    </row>
    <row r="88" spans="1:7" x14ac:dyDescent="0.25">
      <c r="B88" s="8">
        <f>-205+273.15</f>
        <v>68.149999999999977</v>
      </c>
      <c r="C88" s="12">
        <v>4.1958682500000002</v>
      </c>
      <c r="D88" s="10">
        <f t="shared" si="4"/>
        <v>0.93799999999999994</v>
      </c>
      <c r="E88" s="10">
        <v>6.2E-2</v>
      </c>
      <c r="F88" s="10">
        <f t="shared" si="5"/>
        <v>1.5000000000000013E-2</v>
      </c>
      <c r="G88" s="10">
        <v>0.98499999999999999</v>
      </c>
    </row>
    <row r="89" spans="1:7" x14ac:dyDescent="0.25">
      <c r="B89" s="8">
        <f>-205.04+273.15</f>
        <v>68.109999999999985</v>
      </c>
      <c r="C89" s="12">
        <v>4.1806694999999996</v>
      </c>
      <c r="D89" s="10"/>
      <c r="E89" s="10"/>
      <c r="F89" s="10">
        <f t="shared" si="5"/>
        <v>1.3000000000000012E-2</v>
      </c>
      <c r="G89" s="10">
        <v>0.98699999999999999</v>
      </c>
    </row>
    <row r="90" spans="1:7" x14ac:dyDescent="0.25">
      <c r="B90" s="8">
        <f>-205+273.15</f>
        <v>68.149999999999977</v>
      </c>
      <c r="C90" s="12">
        <v>3.20896275</v>
      </c>
      <c r="D90" s="10">
        <f t="shared" si="4"/>
        <v>0.95099999999999996</v>
      </c>
      <c r="E90" s="10">
        <v>4.9000000000000002E-2</v>
      </c>
      <c r="F90" s="10">
        <f t="shared" si="5"/>
        <v>1.4000000000000012E-2</v>
      </c>
      <c r="G90" s="10">
        <v>0.98599999999999999</v>
      </c>
    </row>
    <row r="91" spans="1:7" x14ac:dyDescent="0.25">
      <c r="B91" s="8">
        <f>-205+273.15</f>
        <v>68.149999999999977</v>
      </c>
      <c r="C91" s="12">
        <v>2.6962582500000001</v>
      </c>
      <c r="D91" s="10">
        <f t="shared" si="4"/>
        <v>0.95799999999999996</v>
      </c>
      <c r="E91" s="10">
        <v>4.2000000000000003E-2</v>
      </c>
      <c r="F91" s="10">
        <f t="shared" si="5"/>
        <v>2.4000000000000021E-2</v>
      </c>
      <c r="G91" s="10">
        <v>0.97599999999999998</v>
      </c>
    </row>
    <row r="92" spans="1:7" x14ac:dyDescent="0.25">
      <c r="B92" s="8">
        <f>-204.98+273.15</f>
        <v>68.169999999999987</v>
      </c>
      <c r="C92" s="12">
        <v>2.1977392500000001</v>
      </c>
      <c r="D92" s="10">
        <f t="shared" si="4"/>
        <v>0.96699999999999997</v>
      </c>
      <c r="E92" s="10">
        <v>3.3000000000000002E-2</v>
      </c>
      <c r="F92" s="10">
        <f t="shared" si="5"/>
        <v>1.8000000000000016E-2</v>
      </c>
      <c r="G92" s="10">
        <v>0.98199999999999998</v>
      </c>
    </row>
    <row r="93" spans="1:7" ht="15.75" thickBot="1" x14ac:dyDescent="0.3">
      <c r="A93" s="9"/>
      <c r="B93" s="9">
        <f>-204.96+273.15</f>
        <v>68.189999999999969</v>
      </c>
      <c r="C93" s="15">
        <v>1.7245515</v>
      </c>
      <c r="D93" s="11">
        <f t="shared" si="4"/>
        <v>0.97</v>
      </c>
      <c r="E93" s="11">
        <v>0.03</v>
      </c>
      <c r="F93" s="11">
        <f t="shared" si="5"/>
        <v>2.1000000000000019E-2</v>
      </c>
      <c r="G93" s="11">
        <v>0.97899999999999998</v>
      </c>
    </row>
    <row r="94" spans="1:7" x14ac:dyDescent="0.25">
      <c r="A94" s="18" t="s">
        <v>53</v>
      </c>
      <c r="B94" s="8">
        <v>70</v>
      </c>
      <c r="C94" s="12">
        <v>0.49</v>
      </c>
      <c r="D94" s="10">
        <f>1-E94</f>
        <v>0.98899999999999999</v>
      </c>
      <c r="E94" s="10">
        <v>1.0999999999999999E-2</v>
      </c>
      <c r="F94" s="10">
        <f>1-G94</f>
        <v>5.0000000000000044E-2</v>
      </c>
      <c r="G94" s="10">
        <v>0.95</v>
      </c>
    </row>
    <row r="95" spans="1:7" x14ac:dyDescent="0.25">
      <c r="B95" s="8">
        <v>70</v>
      </c>
      <c r="C95" s="12">
        <v>0.79</v>
      </c>
      <c r="D95" s="10">
        <f t="shared" ref="D95:D158" si="6">1-E95</f>
        <v>0.98480000000000001</v>
      </c>
      <c r="E95" s="10">
        <v>1.52E-2</v>
      </c>
      <c r="F95" s="10">
        <f t="shared" ref="F95:F158" si="7">1-G95</f>
        <v>3.0399999999999983E-2</v>
      </c>
      <c r="G95" s="10">
        <v>0.96960000000000002</v>
      </c>
    </row>
    <row r="96" spans="1:7" x14ac:dyDescent="0.25">
      <c r="B96" s="8">
        <v>70</v>
      </c>
      <c r="C96" s="12">
        <v>1.46</v>
      </c>
      <c r="D96" s="10">
        <f t="shared" si="6"/>
        <v>0.97399999999999998</v>
      </c>
      <c r="E96" s="10">
        <v>2.5999999999999999E-2</v>
      </c>
      <c r="F96" s="10">
        <f t="shared" si="7"/>
        <v>1.9599999999999951E-2</v>
      </c>
      <c r="G96" s="10">
        <v>0.98040000000000005</v>
      </c>
    </row>
    <row r="97" spans="2:7" x14ac:dyDescent="0.25">
      <c r="B97" s="8">
        <v>70</v>
      </c>
      <c r="C97" s="12">
        <v>2.15</v>
      </c>
      <c r="D97" s="10">
        <f t="shared" si="6"/>
        <v>0.96509999999999996</v>
      </c>
      <c r="E97" s="10">
        <v>3.49E-2</v>
      </c>
      <c r="F97" s="10">
        <f t="shared" si="7"/>
        <v>1.3599999999999945E-2</v>
      </c>
      <c r="G97" s="10">
        <v>0.98640000000000005</v>
      </c>
    </row>
    <row r="98" spans="2:7" x14ac:dyDescent="0.25">
      <c r="B98" s="8">
        <v>70</v>
      </c>
      <c r="C98" s="12">
        <v>3.49</v>
      </c>
      <c r="D98" s="10">
        <f t="shared" si="6"/>
        <v>0.94540000000000002</v>
      </c>
      <c r="E98" s="10">
        <v>5.4600000000000003E-2</v>
      </c>
      <c r="F98" s="10">
        <f t="shared" si="7"/>
        <v>9.9000000000000199E-3</v>
      </c>
      <c r="G98" s="10">
        <v>0.99009999999999998</v>
      </c>
    </row>
    <row r="99" spans="2:7" x14ac:dyDescent="0.25">
      <c r="B99" s="8">
        <v>70</v>
      </c>
      <c r="C99" s="12">
        <v>4.9000000000000004</v>
      </c>
      <c r="D99" s="10">
        <f t="shared" si="6"/>
        <v>0.92959999999999998</v>
      </c>
      <c r="E99" s="10">
        <v>7.0400000000000004E-2</v>
      </c>
      <c r="F99" s="10">
        <f t="shared" si="7"/>
        <v>1.2199999999999989E-2</v>
      </c>
      <c r="G99" s="10">
        <v>0.98780000000000001</v>
      </c>
    </row>
    <row r="100" spans="2:7" x14ac:dyDescent="0.25">
      <c r="B100" s="8">
        <v>70</v>
      </c>
      <c r="C100" s="12">
        <v>6.28</v>
      </c>
      <c r="D100" s="10">
        <f t="shared" si="6"/>
        <v>0.91290000000000004</v>
      </c>
      <c r="E100" s="10">
        <v>8.7099999999999997E-2</v>
      </c>
      <c r="F100" s="10">
        <f t="shared" si="7"/>
        <v>1.3599999999999945E-2</v>
      </c>
      <c r="G100" s="10">
        <v>0.98640000000000005</v>
      </c>
    </row>
    <row r="101" spans="2:7" x14ac:dyDescent="0.25">
      <c r="B101" s="8">
        <v>70</v>
      </c>
      <c r="C101" s="12">
        <v>7.59</v>
      </c>
      <c r="D101" s="10">
        <f t="shared" si="6"/>
        <v>0.89880000000000004</v>
      </c>
      <c r="E101" s="10">
        <v>0.1012</v>
      </c>
      <c r="F101" s="10">
        <f t="shared" si="7"/>
        <v>1.8199999999999994E-2</v>
      </c>
      <c r="G101" s="10">
        <v>0.98180000000000001</v>
      </c>
    </row>
    <row r="102" spans="2:7" x14ac:dyDescent="0.25">
      <c r="B102" s="8">
        <v>70</v>
      </c>
      <c r="C102" s="12">
        <v>9.8000000000000007</v>
      </c>
      <c r="D102" s="10">
        <f t="shared" si="6"/>
        <v>0.87570000000000003</v>
      </c>
      <c r="E102" s="10">
        <v>0.12429999999999999</v>
      </c>
      <c r="F102" s="10">
        <f t="shared" si="7"/>
        <v>3.4599999999999964E-2</v>
      </c>
      <c r="G102" s="10">
        <v>0.96540000000000004</v>
      </c>
    </row>
    <row r="103" spans="2:7" x14ac:dyDescent="0.25">
      <c r="B103" s="8">
        <v>70</v>
      </c>
      <c r="C103" s="12">
        <v>10.78</v>
      </c>
      <c r="D103" s="10">
        <f t="shared" si="6"/>
        <v>0.86729999999999996</v>
      </c>
      <c r="E103" s="10">
        <v>0.13270000000000001</v>
      </c>
      <c r="F103" s="10">
        <f t="shared" si="7"/>
        <v>3.8799999999999946E-2</v>
      </c>
      <c r="G103" s="10">
        <v>0.96120000000000005</v>
      </c>
    </row>
    <row r="104" spans="2:7" x14ac:dyDescent="0.25">
      <c r="B104" s="8">
        <v>70</v>
      </c>
      <c r="C104" s="12">
        <v>11.86</v>
      </c>
      <c r="D104" s="10">
        <f t="shared" si="6"/>
        <v>0.85670000000000002</v>
      </c>
      <c r="E104" s="10">
        <v>0.14330000000000001</v>
      </c>
      <c r="F104" s="10">
        <f t="shared" si="7"/>
        <v>4.2300000000000004E-2</v>
      </c>
      <c r="G104" s="10">
        <v>0.9577</v>
      </c>
    </row>
    <row r="105" spans="2:7" x14ac:dyDescent="0.25">
      <c r="B105" s="8">
        <v>70</v>
      </c>
      <c r="C105" s="12">
        <v>13.98</v>
      </c>
      <c r="D105" s="10">
        <f t="shared" si="6"/>
        <v>0.83760000000000001</v>
      </c>
      <c r="E105" s="10">
        <v>0.16239999999999999</v>
      </c>
      <c r="F105" s="10">
        <f t="shared" si="7"/>
        <v>5.0899999999999945E-2</v>
      </c>
      <c r="G105" s="10">
        <v>0.94910000000000005</v>
      </c>
    </row>
    <row r="106" spans="2:7" x14ac:dyDescent="0.25">
      <c r="B106" s="8">
        <v>70</v>
      </c>
      <c r="C106" s="12">
        <v>15.78</v>
      </c>
      <c r="D106" s="10">
        <f t="shared" si="6"/>
        <v>0.8236</v>
      </c>
      <c r="E106" s="10">
        <v>0.1764</v>
      </c>
      <c r="F106" s="10">
        <f t="shared" si="7"/>
        <v>5.9400000000000008E-2</v>
      </c>
      <c r="G106" s="10">
        <v>0.94059999999999999</v>
      </c>
    </row>
    <row r="107" spans="2:7" x14ac:dyDescent="0.25">
      <c r="B107" s="8">
        <v>70</v>
      </c>
      <c r="C107" s="12">
        <v>19.18</v>
      </c>
      <c r="D107" s="10">
        <f t="shared" si="6"/>
        <v>0.79699999999999993</v>
      </c>
      <c r="E107" s="10">
        <v>0.20300000000000001</v>
      </c>
      <c r="F107" s="10">
        <f t="shared" si="7"/>
        <v>6.9899999999999962E-2</v>
      </c>
      <c r="G107" s="10">
        <v>0.93010000000000004</v>
      </c>
    </row>
    <row r="108" spans="2:7" x14ac:dyDescent="0.25">
      <c r="B108" s="8">
        <v>70</v>
      </c>
      <c r="C108" s="12">
        <v>22.38</v>
      </c>
      <c r="D108" s="10">
        <f t="shared" si="6"/>
        <v>0.77300000000000002</v>
      </c>
      <c r="E108" s="10">
        <v>0.22700000000000001</v>
      </c>
      <c r="F108" s="10">
        <f t="shared" si="7"/>
        <v>8.450000000000002E-2</v>
      </c>
      <c r="G108" s="10">
        <v>0.91549999999999998</v>
      </c>
    </row>
    <row r="109" spans="2:7" x14ac:dyDescent="0.25">
      <c r="B109" s="8">
        <v>70</v>
      </c>
      <c r="C109" s="12">
        <v>25.02</v>
      </c>
      <c r="D109" s="10">
        <f t="shared" si="6"/>
        <v>0.75319999999999998</v>
      </c>
      <c r="E109" s="10">
        <v>0.24679999999999999</v>
      </c>
      <c r="F109" s="10">
        <f t="shared" si="7"/>
        <v>9.8199999999999954E-2</v>
      </c>
      <c r="G109" s="10">
        <v>0.90180000000000005</v>
      </c>
    </row>
    <row r="110" spans="2:7" x14ac:dyDescent="0.25">
      <c r="B110" s="8">
        <v>70</v>
      </c>
      <c r="C110" s="12">
        <v>28.09</v>
      </c>
      <c r="D110" s="10">
        <f t="shared" si="6"/>
        <v>0.72839999999999994</v>
      </c>
      <c r="E110" s="10">
        <v>0.27160000000000001</v>
      </c>
      <c r="F110" s="10">
        <f t="shared" si="7"/>
        <v>0.1119</v>
      </c>
      <c r="G110" s="10">
        <v>0.8881</v>
      </c>
    </row>
    <row r="111" spans="2:7" x14ac:dyDescent="0.25">
      <c r="B111" s="8">
        <v>70</v>
      </c>
      <c r="C111" s="12">
        <v>30.58</v>
      </c>
      <c r="D111" s="10">
        <f t="shared" si="6"/>
        <v>0.71</v>
      </c>
      <c r="E111" s="10">
        <v>0.28999999999999998</v>
      </c>
      <c r="F111" s="10">
        <f t="shared" si="7"/>
        <v>0.12019999999999997</v>
      </c>
      <c r="G111" s="10">
        <v>0.87980000000000003</v>
      </c>
    </row>
    <row r="112" spans="2:7" x14ac:dyDescent="0.25">
      <c r="B112" s="8">
        <v>70</v>
      </c>
      <c r="C112" s="12">
        <v>32.630000000000003</v>
      </c>
      <c r="D112" s="10">
        <f t="shared" si="6"/>
        <v>0.69469999999999998</v>
      </c>
      <c r="E112" s="10">
        <v>0.30530000000000002</v>
      </c>
      <c r="F112" s="10">
        <f t="shared" si="7"/>
        <v>0.13339999999999996</v>
      </c>
      <c r="G112" s="10">
        <v>0.86660000000000004</v>
      </c>
    </row>
    <row r="113" spans="2:7" x14ac:dyDescent="0.25">
      <c r="B113" s="8">
        <v>70</v>
      </c>
      <c r="C113" s="12">
        <v>33.44</v>
      </c>
      <c r="D113" s="10">
        <f t="shared" si="6"/>
        <v>0.68880000000000008</v>
      </c>
      <c r="E113" s="10">
        <v>0.31119999999999998</v>
      </c>
      <c r="F113" s="10">
        <f t="shared" si="7"/>
        <v>0.13980000000000004</v>
      </c>
      <c r="G113" s="10">
        <v>0.86019999999999996</v>
      </c>
    </row>
    <row r="114" spans="2:7" x14ac:dyDescent="0.25">
      <c r="B114" s="8">
        <v>70</v>
      </c>
      <c r="C114" s="12">
        <v>34.89</v>
      </c>
      <c r="D114" s="10">
        <f t="shared" si="6"/>
        <v>0.67779999999999996</v>
      </c>
      <c r="E114" s="10">
        <v>0.32219999999999999</v>
      </c>
      <c r="F114" s="10">
        <f t="shared" si="7"/>
        <v>0.14529999999999998</v>
      </c>
      <c r="G114" s="10">
        <v>0.85470000000000002</v>
      </c>
    </row>
    <row r="115" spans="2:7" x14ac:dyDescent="0.25">
      <c r="B115" s="8">
        <v>70</v>
      </c>
      <c r="C115" s="12">
        <v>35.74</v>
      </c>
      <c r="D115" s="10">
        <f t="shared" si="6"/>
        <v>0.66860000000000008</v>
      </c>
      <c r="E115" s="10">
        <v>0.33139999999999997</v>
      </c>
      <c r="F115" s="10">
        <f t="shared" si="7"/>
        <v>0.15180000000000005</v>
      </c>
      <c r="G115" s="10">
        <v>0.84819999999999995</v>
      </c>
    </row>
    <row r="116" spans="2:7" x14ac:dyDescent="0.25">
      <c r="B116" s="8">
        <v>70</v>
      </c>
      <c r="C116" s="12">
        <v>37.94</v>
      </c>
      <c r="D116" s="10">
        <f t="shared" si="6"/>
        <v>0.64979999999999993</v>
      </c>
      <c r="E116" s="10">
        <v>0.35020000000000001</v>
      </c>
      <c r="F116" s="10">
        <f t="shared" si="7"/>
        <v>0.16649999999999998</v>
      </c>
      <c r="G116" s="10">
        <v>0.83350000000000002</v>
      </c>
    </row>
    <row r="117" spans="2:7" x14ac:dyDescent="0.25">
      <c r="B117" s="8">
        <v>70</v>
      </c>
      <c r="C117" s="12">
        <v>40.44</v>
      </c>
      <c r="D117" s="10">
        <f t="shared" si="6"/>
        <v>0.62739999999999996</v>
      </c>
      <c r="E117" s="10">
        <v>0.37259999999999999</v>
      </c>
      <c r="F117" s="10">
        <f t="shared" si="7"/>
        <v>0.17249999999999999</v>
      </c>
      <c r="G117" s="10">
        <v>0.82750000000000001</v>
      </c>
    </row>
    <row r="118" spans="2:7" x14ac:dyDescent="0.25">
      <c r="B118" s="8">
        <v>70</v>
      </c>
      <c r="C118" s="12">
        <v>42.01</v>
      </c>
      <c r="D118" s="10">
        <f t="shared" si="6"/>
        <v>0.61099999999999999</v>
      </c>
      <c r="E118" s="10">
        <v>0.38900000000000001</v>
      </c>
      <c r="F118" s="10">
        <f t="shared" si="7"/>
        <v>0.18269999999999997</v>
      </c>
      <c r="G118" s="10">
        <v>0.81730000000000003</v>
      </c>
    </row>
    <row r="119" spans="2:7" x14ac:dyDescent="0.25">
      <c r="B119" s="8">
        <v>70</v>
      </c>
      <c r="C119" s="12">
        <v>44.23</v>
      </c>
      <c r="D119" s="10">
        <f t="shared" si="6"/>
        <v>0.58699999999999997</v>
      </c>
      <c r="E119" s="10">
        <v>0.41299999999999998</v>
      </c>
      <c r="F119" s="10">
        <f t="shared" si="7"/>
        <v>0.19299999999999995</v>
      </c>
      <c r="G119" s="10">
        <v>0.80700000000000005</v>
      </c>
    </row>
    <row r="120" spans="2:7" x14ac:dyDescent="0.25">
      <c r="B120" s="8">
        <v>70</v>
      </c>
      <c r="C120" s="12">
        <v>46.91</v>
      </c>
      <c r="D120" s="10">
        <f t="shared" si="6"/>
        <v>0.55699999999999994</v>
      </c>
      <c r="E120" s="10">
        <v>0.443</v>
      </c>
      <c r="F120" s="10">
        <f t="shared" si="7"/>
        <v>0.20740000000000003</v>
      </c>
      <c r="G120" s="10">
        <v>0.79259999999999997</v>
      </c>
    </row>
    <row r="121" spans="2:7" x14ac:dyDescent="0.25">
      <c r="B121" s="8">
        <v>70</v>
      </c>
      <c r="C121" s="12">
        <v>49.75</v>
      </c>
      <c r="D121" s="10">
        <f t="shared" si="6"/>
        <v>0.52500000000000002</v>
      </c>
      <c r="E121" s="10">
        <v>0.47499999999999998</v>
      </c>
      <c r="F121" s="10">
        <f t="shared" si="7"/>
        <v>0.24</v>
      </c>
      <c r="G121" s="10">
        <v>0.76</v>
      </c>
    </row>
    <row r="122" spans="2:7" x14ac:dyDescent="0.25">
      <c r="B122" s="8">
        <v>70</v>
      </c>
      <c r="C122" s="12">
        <v>50.93</v>
      </c>
      <c r="D122" s="10">
        <f t="shared" si="6"/>
        <v>0.50249999999999995</v>
      </c>
      <c r="E122" s="10">
        <v>0.4975</v>
      </c>
      <c r="F122" s="10">
        <f t="shared" si="7"/>
        <v>0.26129999999999998</v>
      </c>
      <c r="G122" s="10">
        <v>0.73870000000000002</v>
      </c>
    </row>
    <row r="123" spans="2:7" x14ac:dyDescent="0.25">
      <c r="B123" s="8">
        <v>70</v>
      </c>
      <c r="C123" s="12">
        <v>51.64</v>
      </c>
      <c r="D123" s="10">
        <f t="shared" si="6"/>
        <v>0.48829999999999996</v>
      </c>
      <c r="E123" s="10">
        <v>0.51170000000000004</v>
      </c>
      <c r="F123" s="10"/>
      <c r="G123" s="10"/>
    </row>
    <row r="124" spans="2:7" x14ac:dyDescent="0.25">
      <c r="B124" s="8">
        <v>70</v>
      </c>
      <c r="C124" s="12">
        <v>52.61</v>
      </c>
      <c r="D124" s="10">
        <f t="shared" si="6"/>
        <v>0.46299999999999997</v>
      </c>
      <c r="E124" s="10">
        <v>0.53700000000000003</v>
      </c>
      <c r="F124" s="10">
        <f t="shared" si="7"/>
        <v>0.30500000000000005</v>
      </c>
      <c r="G124" s="10">
        <v>0.69499999999999995</v>
      </c>
    </row>
    <row r="125" spans="2:7" x14ac:dyDescent="0.25">
      <c r="B125" s="8">
        <v>70</v>
      </c>
      <c r="C125" s="12">
        <v>52.94</v>
      </c>
      <c r="D125" s="10">
        <f t="shared" si="6"/>
        <v>0.44399999999999995</v>
      </c>
      <c r="E125" s="10">
        <v>0.55600000000000005</v>
      </c>
      <c r="F125" s="10">
        <f t="shared" si="7"/>
        <v>0.32499999999999996</v>
      </c>
      <c r="G125" s="10">
        <v>0.67500000000000004</v>
      </c>
    </row>
    <row r="126" spans="2:7" x14ac:dyDescent="0.25">
      <c r="B126" s="8">
        <v>77.3</v>
      </c>
      <c r="C126" s="12">
        <v>0.65</v>
      </c>
      <c r="D126" s="10">
        <f t="shared" si="6"/>
        <v>0.98640000000000005</v>
      </c>
      <c r="E126" s="10">
        <v>1.3599999999999999E-2</v>
      </c>
      <c r="F126" s="10">
        <f t="shared" si="7"/>
        <v>0.10260000000000002</v>
      </c>
      <c r="G126" s="10">
        <v>0.89739999999999998</v>
      </c>
    </row>
    <row r="127" spans="2:7" x14ac:dyDescent="0.25">
      <c r="B127" s="8">
        <v>77.3</v>
      </c>
      <c r="C127" s="12">
        <v>1.51</v>
      </c>
      <c r="D127" s="10">
        <f t="shared" si="6"/>
        <v>0.9708</v>
      </c>
      <c r="E127" s="10">
        <v>2.92E-2</v>
      </c>
      <c r="F127" s="10">
        <f t="shared" si="7"/>
        <v>5.6300000000000017E-2</v>
      </c>
      <c r="G127" s="10">
        <v>0.94369999999999998</v>
      </c>
    </row>
    <row r="128" spans="2:7" x14ac:dyDescent="0.25">
      <c r="B128" s="8">
        <v>77.3</v>
      </c>
      <c r="C128" s="12">
        <v>2.1</v>
      </c>
      <c r="D128" s="10">
        <f t="shared" si="6"/>
        <v>0.96309999999999996</v>
      </c>
      <c r="E128" s="10">
        <v>3.6900000000000002E-2</v>
      </c>
      <c r="F128" s="10">
        <f t="shared" si="7"/>
        <v>4.4599999999999973E-2</v>
      </c>
      <c r="G128" s="10">
        <v>0.95540000000000003</v>
      </c>
    </row>
    <row r="129" spans="2:7" x14ac:dyDescent="0.25">
      <c r="B129" s="8">
        <v>77.3</v>
      </c>
      <c r="C129" s="12">
        <v>2.86</v>
      </c>
      <c r="D129" s="10">
        <f t="shared" si="6"/>
        <v>0.95020000000000004</v>
      </c>
      <c r="E129" s="10">
        <v>4.9799999999999997E-2</v>
      </c>
      <c r="F129" s="10">
        <f t="shared" si="7"/>
        <v>3.9799999999999947E-2</v>
      </c>
      <c r="G129" s="10">
        <v>0.96020000000000005</v>
      </c>
    </row>
    <row r="130" spans="2:7" x14ac:dyDescent="0.25">
      <c r="B130" s="8">
        <v>77.3</v>
      </c>
      <c r="C130" s="12">
        <v>3.6</v>
      </c>
      <c r="D130" s="10">
        <f t="shared" si="6"/>
        <v>0.93810000000000004</v>
      </c>
      <c r="E130" s="10">
        <v>6.1899999999999997E-2</v>
      </c>
      <c r="F130" s="10">
        <f t="shared" si="7"/>
        <v>3.8499999999999979E-2</v>
      </c>
      <c r="G130" s="10">
        <v>0.96150000000000002</v>
      </c>
    </row>
    <row r="131" spans="2:7" x14ac:dyDescent="0.25">
      <c r="B131" s="8">
        <v>77.3</v>
      </c>
      <c r="C131" s="12">
        <v>4.2699999999999996</v>
      </c>
      <c r="D131" s="10">
        <f t="shared" si="6"/>
        <v>0.92679999999999996</v>
      </c>
      <c r="E131" s="10">
        <v>7.3200000000000001E-2</v>
      </c>
      <c r="F131" s="10">
        <f t="shared" si="7"/>
        <v>3.7200000000000011E-2</v>
      </c>
      <c r="G131" s="10">
        <v>0.96279999999999999</v>
      </c>
    </row>
    <row r="132" spans="2:7" x14ac:dyDescent="0.25">
      <c r="B132" s="8">
        <v>77.3</v>
      </c>
      <c r="C132" s="12">
        <v>4.95</v>
      </c>
      <c r="D132" s="10">
        <f t="shared" si="6"/>
        <v>0.9153</v>
      </c>
      <c r="E132" s="10">
        <v>8.4699999999999998E-2</v>
      </c>
      <c r="F132" s="10">
        <f t="shared" si="7"/>
        <v>3.7799999999999945E-2</v>
      </c>
      <c r="G132" s="10">
        <v>0.96220000000000006</v>
      </c>
    </row>
    <row r="133" spans="2:7" x14ac:dyDescent="0.25">
      <c r="B133" s="8">
        <v>77.3</v>
      </c>
      <c r="C133" s="12">
        <v>5.64</v>
      </c>
      <c r="D133" s="10">
        <f t="shared" si="6"/>
        <v>0.9052</v>
      </c>
      <c r="E133" s="10">
        <v>9.4799999999999995E-2</v>
      </c>
      <c r="F133" s="10">
        <f t="shared" si="7"/>
        <v>3.5299999999999998E-2</v>
      </c>
      <c r="G133" s="10">
        <v>0.9647</v>
      </c>
    </row>
    <row r="134" spans="2:7" x14ac:dyDescent="0.25">
      <c r="B134" s="8">
        <v>77.3</v>
      </c>
      <c r="C134" s="12">
        <v>6.36</v>
      </c>
      <c r="D134" s="10">
        <f t="shared" si="6"/>
        <v>0.89419999999999999</v>
      </c>
      <c r="E134" s="10">
        <v>0.10580000000000001</v>
      </c>
      <c r="F134" s="10">
        <f t="shared" si="7"/>
        <v>3.6599999999999966E-2</v>
      </c>
      <c r="G134" s="10">
        <v>0.96340000000000003</v>
      </c>
    </row>
    <row r="135" spans="2:7" x14ac:dyDescent="0.25">
      <c r="B135" s="8">
        <v>77.3</v>
      </c>
      <c r="C135" s="12">
        <v>7.03</v>
      </c>
      <c r="D135" s="10">
        <f t="shared" si="6"/>
        <v>0.88349999999999995</v>
      </c>
      <c r="E135" s="10">
        <v>0.11650000000000001</v>
      </c>
      <c r="F135" s="10">
        <f t="shared" si="7"/>
        <v>3.5900000000000043E-2</v>
      </c>
      <c r="G135" s="10">
        <v>0.96409999999999996</v>
      </c>
    </row>
    <row r="136" spans="2:7" x14ac:dyDescent="0.25">
      <c r="B136" s="8">
        <v>77.3</v>
      </c>
      <c r="C136" s="12">
        <v>7.66</v>
      </c>
      <c r="D136" s="10">
        <f t="shared" si="6"/>
        <v>0.87590000000000001</v>
      </c>
      <c r="E136" s="10">
        <v>0.1241</v>
      </c>
      <c r="F136" s="10">
        <f t="shared" si="7"/>
        <v>4.3000000000000038E-2</v>
      </c>
      <c r="G136" s="10">
        <v>0.95699999999999996</v>
      </c>
    </row>
    <row r="137" spans="2:7" x14ac:dyDescent="0.25">
      <c r="B137" s="8">
        <v>77.3</v>
      </c>
      <c r="C137" s="12">
        <v>8.36</v>
      </c>
      <c r="D137" s="10">
        <f t="shared" si="6"/>
        <v>0.86450000000000005</v>
      </c>
      <c r="E137" s="10">
        <v>0.13550000000000001</v>
      </c>
      <c r="F137" s="10">
        <f t="shared" si="7"/>
        <v>4.6200000000000019E-2</v>
      </c>
      <c r="G137" s="10">
        <v>0.95379999999999998</v>
      </c>
    </row>
    <row r="138" spans="2:7" x14ac:dyDescent="0.25">
      <c r="B138" s="8">
        <v>77.3</v>
      </c>
      <c r="C138" s="12">
        <v>10.47</v>
      </c>
      <c r="D138" s="10">
        <f t="shared" si="6"/>
        <v>0.83519999999999994</v>
      </c>
      <c r="E138" s="10">
        <v>0.1648</v>
      </c>
      <c r="F138" s="10">
        <f t="shared" si="7"/>
        <v>5.8200000000000029E-2</v>
      </c>
      <c r="G138" s="10">
        <v>0.94179999999999997</v>
      </c>
    </row>
    <row r="139" spans="2:7" x14ac:dyDescent="0.25">
      <c r="B139" s="8">
        <v>77.3</v>
      </c>
      <c r="C139" s="12">
        <v>11.13</v>
      </c>
      <c r="D139" s="10">
        <f t="shared" si="6"/>
        <v>0.82569999999999999</v>
      </c>
      <c r="E139" s="10">
        <v>0.17430000000000001</v>
      </c>
      <c r="F139" s="10">
        <f t="shared" si="7"/>
        <v>6.3799999999999968E-2</v>
      </c>
      <c r="G139" s="10">
        <v>0.93620000000000003</v>
      </c>
    </row>
    <row r="140" spans="2:7" x14ac:dyDescent="0.25">
      <c r="B140" s="8">
        <v>77.3</v>
      </c>
      <c r="C140" s="12">
        <v>12.31</v>
      </c>
      <c r="D140" s="10">
        <f t="shared" si="6"/>
        <v>0.80859999999999999</v>
      </c>
      <c r="E140" s="10">
        <v>0.19139999999999999</v>
      </c>
      <c r="F140" s="10">
        <f t="shared" si="7"/>
        <v>6.8699999999999983E-2</v>
      </c>
      <c r="G140" s="10">
        <v>0.93130000000000002</v>
      </c>
    </row>
    <row r="141" spans="2:7" x14ac:dyDescent="0.25">
      <c r="B141" s="8">
        <v>77.3</v>
      </c>
      <c r="C141" s="12">
        <v>13.94</v>
      </c>
      <c r="D141" s="10">
        <f t="shared" si="6"/>
        <v>0.78449999999999998</v>
      </c>
      <c r="E141" s="10">
        <v>0.2155</v>
      </c>
      <c r="F141" s="10">
        <f t="shared" si="7"/>
        <v>7.999999999999996E-2</v>
      </c>
      <c r="G141" s="10">
        <v>0.92</v>
      </c>
    </row>
    <row r="142" spans="2:7" x14ac:dyDescent="0.25">
      <c r="B142" s="8">
        <v>77.3</v>
      </c>
      <c r="C142" s="12">
        <v>15.99</v>
      </c>
      <c r="D142" s="10">
        <f t="shared" si="6"/>
        <v>0.75900000000000001</v>
      </c>
      <c r="E142" s="10">
        <v>0.24099999999999999</v>
      </c>
      <c r="F142" s="10">
        <f t="shared" si="7"/>
        <v>9.4700000000000006E-2</v>
      </c>
      <c r="G142" s="10">
        <v>0.90529999999999999</v>
      </c>
    </row>
    <row r="143" spans="2:7" x14ac:dyDescent="0.25">
      <c r="B143" s="8">
        <v>77.3</v>
      </c>
      <c r="C143" s="12">
        <v>18.899999999999999</v>
      </c>
      <c r="D143" s="10">
        <f t="shared" si="6"/>
        <v>0.71489999999999998</v>
      </c>
      <c r="E143" s="10">
        <v>0.28510000000000002</v>
      </c>
      <c r="F143" s="10">
        <f t="shared" si="7"/>
        <v>0.11960000000000004</v>
      </c>
      <c r="G143" s="10">
        <v>0.88039999999999996</v>
      </c>
    </row>
    <row r="144" spans="2:7" x14ac:dyDescent="0.25">
      <c r="B144" s="8">
        <v>77.3</v>
      </c>
      <c r="C144" s="12">
        <v>22.15</v>
      </c>
      <c r="D144" s="10">
        <f t="shared" si="6"/>
        <v>0.66660000000000008</v>
      </c>
      <c r="E144" s="10">
        <v>0.33339999999999997</v>
      </c>
      <c r="F144" s="10">
        <f t="shared" si="7"/>
        <v>0.14800000000000002</v>
      </c>
      <c r="G144" s="10">
        <v>0.85199999999999998</v>
      </c>
    </row>
    <row r="145" spans="2:7" x14ac:dyDescent="0.25">
      <c r="B145" s="8">
        <v>77.3</v>
      </c>
      <c r="C145" s="12">
        <v>24.9</v>
      </c>
      <c r="D145" s="10">
        <f t="shared" si="6"/>
        <v>0.61860000000000004</v>
      </c>
      <c r="E145" s="10">
        <v>0.38140000000000002</v>
      </c>
      <c r="F145" s="10">
        <f t="shared" si="7"/>
        <v>0.18220000000000003</v>
      </c>
      <c r="G145" s="10">
        <v>0.81779999999999997</v>
      </c>
    </row>
    <row r="146" spans="2:7" x14ac:dyDescent="0.25">
      <c r="B146" s="8">
        <v>77.3</v>
      </c>
      <c r="C146" s="12">
        <v>26.99</v>
      </c>
      <c r="D146" s="10">
        <f t="shared" si="6"/>
        <v>0.57299999999999995</v>
      </c>
      <c r="E146" s="10">
        <v>0.42699999999999999</v>
      </c>
      <c r="F146" s="10">
        <f t="shared" si="7"/>
        <v>0.21230000000000004</v>
      </c>
      <c r="G146" s="10">
        <v>0.78769999999999996</v>
      </c>
    </row>
    <row r="147" spans="2:7" x14ac:dyDescent="0.25">
      <c r="B147" s="8">
        <v>77.3</v>
      </c>
      <c r="C147" s="12">
        <v>29.13</v>
      </c>
      <c r="D147" s="10">
        <f t="shared" si="6"/>
        <v>0.50900000000000001</v>
      </c>
      <c r="E147" s="10">
        <v>0.49099999999999999</v>
      </c>
      <c r="F147" s="10">
        <f t="shared" si="7"/>
        <v>0.26200000000000001</v>
      </c>
      <c r="G147" s="10">
        <v>0.73799999999999999</v>
      </c>
    </row>
    <row r="148" spans="2:7" x14ac:dyDescent="0.25">
      <c r="B148" s="8">
        <v>77.3</v>
      </c>
      <c r="C148" s="12">
        <v>29.67</v>
      </c>
      <c r="D148" s="10">
        <f t="shared" si="6"/>
        <v>0.48299999999999998</v>
      </c>
      <c r="E148" s="10">
        <v>0.51700000000000002</v>
      </c>
      <c r="F148" s="10">
        <f t="shared" si="7"/>
        <v>0.27800000000000002</v>
      </c>
      <c r="G148" s="10">
        <v>0.72199999999999998</v>
      </c>
    </row>
    <row r="149" spans="2:7" x14ac:dyDescent="0.25">
      <c r="B149" s="8">
        <v>77.3</v>
      </c>
      <c r="C149" s="12">
        <v>30.14</v>
      </c>
      <c r="D149" s="10">
        <f t="shared" si="6"/>
        <v>0.45399999999999996</v>
      </c>
      <c r="E149" s="10">
        <v>0.54600000000000004</v>
      </c>
      <c r="F149" s="10">
        <f t="shared" si="7"/>
        <v>0.30200000000000005</v>
      </c>
      <c r="G149" s="10">
        <v>0.69799999999999995</v>
      </c>
    </row>
    <row r="150" spans="2:7" x14ac:dyDescent="0.25">
      <c r="B150" s="8">
        <v>85</v>
      </c>
      <c r="C150" s="12">
        <v>0.52</v>
      </c>
      <c r="D150" s="10">
        <f t="shared" si="6"/>
        <v>0.99099999999999999</v>
      </c>
      <c r="E150" s="10">
        <v>8.9999999999999993E-3</v>
      </c>
      <c r="F150" s="10">
        <f t="shared" si="7"/>
        <v>0.30300000000000005</v>
      </c>
      <c r="G150" s="10">
        <v>0.69699999999999995</v>
      </c>
    </row>
    <row r="151" spans="2:7" x14ac:dyDescent="0.25">
      <c r="B151" s="8">
        <v>85</v>
      </c>
      <c r="C151" s="12">
        <v>0.78</v>
      </c>
      <c r="D151" s="10">
        <f t="shared" si="6"/>
        <v>0.98580000000000001</v>
      </c>
      <c r="E151" s="10">
        <v>1.4200000000000001E-2</v>
      </c>
      <c r="F151" s="10">
        <f t="shared" si="7"/>
        <v>0.18189999999999995</v>
      </c>
      <c r="G151" s="10">
        <v>0.81810000000000005</v>
      </c>
    </row>
    <row r="152" spans="2:7" x14ac:dyDescent="0.25">
      <c r="B152" s="8">
        <v>85</v>
      </c>
      <c r="C152" s="12">
        <v>1.45</v>
      </c>
      <c r="D152" s="10">
        <f t="shared" si="6"/>
        <v>0.97340000000000004</v>
      </c>
      <c r="E152" s="10">
        <v>2.6599999999999999E-2</v>
      </c>
      <c r="F152" s="10">
        <f t="shared" si="7"/>
        <v>0.127</v>
      </c>
      <c r="G152" s="10">
        <v>0.873</v>
      </c>
    </row>
    <row r="153" spans="2:7" x14ac:dyDescent="0.25">
      <c r="B153" s="8">
        <v>85</v>
      </c>
      <c r="C153" s="12">
        <v>2.86</v>
      </c>
      <c r="D153" s="10">
        <f t="shared" si="6"/>
        <v>0.94569999999999999</v>
      </c>
      <c r="E153" s="10">
        <v>5.4300000000000001E-2</v>
      </c>
      <c r="F153" s="10">
        <f t="shared" si="7"/>
        <v>8.8999999999999968E-2</v>
      </c>
      <c r="G153" s="10">
        <v>0.91100000000000003</v>
      </c>
    </row>
    <row r="154" spans="2:7" x14ac:dyDescent="0.25">
      <c r="B154" s="8">
        <v>85</v>
      </c>
      <c r="C154" s="12">
        <v>4.2</v>
      </c>
      <c r="D154" s="10">
        <f t="shared" si="6"/>
        <v>0.91859999999999997</v>
      </c>
      <c r="E154" s="10">
        <v>8.14E-2</v>
      </c>
      <c r="F154" s="10">
        <f t="shared" si="7"/>
        <v>7.8200000000000047E-2</v>
      </c>
      <c r="G154" s="10">
        <v>0.92179999999999995</v>
      </c>
    </row>
    <row r="155" spans="2:7" x14ac:dyDescent="0.25">
      <c r="B155" s="8">
        <v>85</v>
      </c>
      <c r="C155" s="12">
        <v>4.9400000000000004</v>
      </c>
      <c r="D155" s="10">
        <f t="shared" si="6"/>
        <v>0.90429999999999999</v>
      </c>
      <c r="E155" s="10">
        <v>9.5699999999999993E-2</v>
      </c>
      <c r="F155" s="10">
        <f t="shared" si="7"/>
        <v>7.6999999999999957E-2</v>
      </c>
      <c r="G155" s="10">
        <v>0.92300000000000004</v>
      </c>
    </row>
    <row r="156" spans="2:7" x14ac:dyDescent="0.25">
      <c r="B156" s="8">
        <v>85</v>
      </c>
      <c r="C156" s="12">
        <v>5.63</v>
      </c>
      <c r="D156" s="10">
        <f t="shared" si="6"/>
        <v>0.89159999999999995</v>
      </c>
      <c r="E156" s="10">
        <v>0.1084</v>
      </c>
      <c r="F156" s="10">
        <f t="shared" si="7"/>
        <v>7.669999999999999E-2</v>
      </c>
      <c r="G156" s="10">
        <v>0.92330000000000001</v>
      </c>
    </row>
    <row r="157" spans="2:7" x14ac:dyDescent="0.25">
      <c r="B157" s="8">
        <v>85</v>
      </c>
      <c r="C157" s="12">
        <v>7.01</v>
      </c>
      <c r="D157" s="10">
        <f t="shared" si="6"/>
        <v>0.86360000000000003</v>
      </c>
      <c r="E157" s="10">
        <v>0.13639999999999999</v>
      </c>
      <c r="F157" s="10">
        <f t="shared" si="7"/>
        <v>8.0600000000000005E-2</v>
      </c>
      <c r="G157" s="10">
        <v>0.9194</v>
      </c>
    </row>
    <row r="158" spans="2:7" x14ac:dyDescent="0.25">
      <c r="B158" s="8">
        <v>85</v>
      </c>
      <c r="C158" s="12">
        <v>8.3800000000000008</v>
      </c>
      <c r="D158" s="10">
        <f t="shared" si="6"/>
        <v>0.83599999999999997</v>
      </c>
      <c r="E158" s="10">
        <v>0.16400000000000001</v>
      </c>
      <c r="F158" s="10">
        <f t="shared" si="7"/>
        <v>8.3300000000000041E-2</v>
      </c>
      <c r="G158" s="10">
        <v>0.91669999999999996</v>
      </c>
    </row>
    <row r="159" spans="2:7" x14ac:dyDescent="0.25">
      <c r="B159" s="8">
        <v>85</v>
      </c>
      <c r="C159" s="12">
        <v>10.1</v>
      </c>
      <c r="D159" s="10">
        <f t="shared" ref="D159:D222" si="8">1-E159</f>
        <v>0.80230000000000001</v>
      </c>
      <c r="E159" s="10">
        <v>0.19769999999999999</v>
      </c>
      <c r="F159" s="10">
        <f t="shared" ref="F159:F222" si="9">1-G159</f>
        <v>9.4700000000000006E-2</v>
      </c>
      <c r="G159" s="10">
        <v>0.90529999999999999</v>
      </c>
    </row>
    <row r="160" spans="2:7" x14ac:dyDescent="0.25">
      <c r="B160" s="8">
        <v>85</v>
      </c>
      <c r="C160" s="12">
        <v>11.84</v>
      </c>
      <c r="D160" s="10">
        <f t="shared" si="8"/>
        <v>0.76790000000000003</v>
      </c>
      <c r="E160" s="10">
        <v>0.2321</v>
      </c>
      <c r="F160" s="10">
        <f t="shared" si="9"/>
        <v>0.10809999999999997</v>
      </c>
      <c r="G160" s="10">
        <v>0.89190000000000003</v>
      </c>
    </row>
    <row r="161" spans="2:7" x14ac:dyDescent="0.25">
      <c r="B161" s="8">
        <v>85</v>
      </c>
      <c r="C161" s="12">
        <v>13.86</v>
      </c>
      <c r="D161" s="10">
        <f t="shared" si="8"/>
        <v>0.72399999999999998</v>
      </c>
      <c r="E161" s="10">
        <v>0.27600000000000002</v>
      </c>
      <c r="F161" s="10">
        <f t="shared" si="9"/>
        <v>0.12980000000000003</v>
      </c>
      <c r="G161" s="10">
        <v>0.87019999999999997</v>
      </c>
    </row>
    <row r="162" spans="2:7" x14ac:dyDescent="0.25">
      <c r="B162" s="8">
        <v>85</v>
      </c>
      <c r="C162" s="12">
        <v>15.42</v>
      </c>
      <c r="D162" s="10">
        <f t="shared" si="8"/>
        <v>0.68779999999999997</v>
      </c>
      <c r="E162" s="10">
        <v>0.31219999999999998</v>
      </c>
      <c r="F162" s="10">
        <f t="shared" si="9"/>
        <v>0.14939999999999998</v>
      </c>
      <c r="G162" s="10">
        <v>0.85060000000000002</v>
      </c>
    </row>
    <row r="163" spans="2:7" x14ac:dyDescent="0.25">
      <c r="B163" s="8">
        <v>85</v>
      </c>
      <c r="C163" s="12">
        <v>17.02</v>
      </c>
      <c r="D163" s="10">
        <f t="shared" si="8"/>
        <v>0.64629999999999999</v>
      </c>
      <c r="E163" s="10">
        <v>0.35370000000000001</v>
      </c>
      <c r="F163" s="10">
        <f t="shared" si="9"/>
        <v>0.17310000000000003</v>
      </c>
      <c r="G163" s="10">
        <v>0.82689999999999997</v>
      </c>
    </row>
    <row r="164" spans="2:7" x14ac:dyDescent="0.25">
      <c r="B164" s="8">
        <v>85</v>
      </c>
      <c r="C164" s="12">
        <v>18.41</v>
      </c>
      <c r="D164" s="10">
        <f t="shared" si="8"/>
        <v>0.60640000000000005</v>
      </c>
      <c r="E164" s="10">
        <v>0.39360000000000001</v>
      </c>
      <c r="F164" s="10">
        <f t="shared" si="9"/>
        <v>0.20589999999999997</v>
      </c>
      <c r="G164" s="10">
        <v>0.79410000000000003</v>
      </c>
    </row>
    <row r="165" spans="2:7" x14ac:dyDescent="0.25">
      <c r="B165" s="8">
        <v>85</v>
      </c>
      <c r="C165" s="12">
        <v>19.440000000000001</v>
      </c>
      <c r="D165" s="10">
        <f t="shared" si="8"/>
        <v>0.56879999999999997</v>
      </c>
      <c r="E165" s="10">
        <v>0.43120000000000003</v>
      </c>
      <c r="F165" s="10">
        <f t="shared" si="9"/>
        <v>0.23060000000000003</v>
      </c>
      <c r="G165" s="10">
        <v>0.76939999999999997</v>
      </c>
    </row>
    <row r="166" spans="2:7" x14ac:dyDescent="0.25">
      <c r="B166" s="8">
        <v>85</v>
      </c>
      <c r="C166" s="12">
        <v>20.09</v>
      </c>
      <c r="D166" s="10">
        <f t="shared" si="8"/>
        <v>0.53899999999999992</v>
      </c>
      <c r="E166" s="10">
        <v>0.46100000000000002</v>
      </c>
      <c r="F166" s="10">
        <f t="shared" si="9"/>
        <v>0.25480000000000003</v>
      </c>
      <c r="G166" s="10">
        <v>0.74519999999999997</v>
      </c>
    </row>
    <row r="167" spans="2:7" x14ac:dyDescent="0.25">
      <c r="B167" s="8">
        <v>85</v>
      </c>
      <c r="C167" s="12">
        <v>20.79</v>
      </c>
      <c r="D167" s="10">
        <f t="shared" si="8"/>
        <v>0.49</v>
      </c>
      <c r="E167" s="10">
        <v>0.51</v>
      </c>
      <c r="F167" s="10">
        <f t="shared" si="9"/>
        <v>0.29400000000000004</v>
      </c>
      <c r="G167" s="10">
        <v>0.70599999999999996</v>
      </c>
    </row>
    <row r="168" spans="2:7" x14ac:dyDescent="0.25">
      <c r="B168" s="8">
        <v>85</v>
      </c>
      <c r="C168" s="12">
        <v>21.07</v>
      </c>
      <c r="D168" s="10">
        <f t="shared" si="8"/>
        <v>0.46399999999999997</v>
      </c>
      <c r="E168" s="10">
        <v>0.53600000000000003</v>
      </c>
      <c r="F168" s="10">
        <f t="shared" si="9"/>
        <v>0.30700000000000005</v>
      </c>
      <c r="G168" s="10">
        <v>0.69299999999999995</v>
      </c>
    </row>
    <row r="169" spans="2:7" x14ac:dyDescent="0.25">
      <c r="B169" s="8">
        <v>95</v>
      </c>
      <c r="C169" s="12">
        <v>0.91</v>
      </c>
      <c r="D169" s="10">
        <f t="shared" si="8"/>
        <v>0.98799999999999999</v>
      </c>
      <c r="E169" s="10">
        <v>1.2E-2</v>
      </c>
      <c r="F169" s="10">
        <f t="shared" si="9"/>
        <v>0.41059999999999997</v>
      </c>
      <c r="G169" s="10">
        <v>0.58940000000000003</v>
      </c>
    </row>
    <row r="170" spans="2:7" x14ac:dyDescent="0.25">
      <c r="B170" s="8">
        <v>95</v>
      </c>
      <c r="C170" s="12">
        <v>1.47</v>
      </c>
      <c r="D170" s="10">
        <f t="shared" si="8"/>
        <v>0.97599999999999998</v>
      </c>
      <c r="E170" s="10">
        <v>2.4E-2</v>
      </c>
      <c r="F170" s="10">
        <f t="shared" si="9"/>
        <v>0.27690000000000003</v>
      </c>
      <c r="G170" s="10">
        <v>0.72309999999999997</v>
      </c>
    </row>
    <row r="171" spans="2:7" x14ac:dyDescent="0.25">
      <c r="B171" s="8">
        <v>95</v>
      </c>
      <c r="C171" s="12">
        <v>2.83</v>
      </c>
      <c r="D171" s="10">
        <f t="shared" si="8"/>
        <v>0.94569999999999999</v>
      </c>
      <c r="E171" s="10">
        <v>5.4300000000000001E-2</v>
      </c>
      <c r="F171" s="10">
        <f t="shared" si="9"/>
        <v>0.19140000000000001</v>
      </c>
      <c r="G171" s="10">
        <v>0.80859999999999999</v>
      </c>
    </row>
    <row r="172" spans="2:7" x14ac:dyDescent="0.25">
      <c r="B172" s="8">
        <v>95</v>
      </c>
      <c r="C172" s="12">
        <v>4.22</v>
      </c>
      <c r="D172" s="10">
        <f t="shared" si="8"/>
        <v>0.91190000000000004</v>
      </c>
      <c r="E172" s="10">
        <v>8.8099999999999998E-2</v>
      </c>
      <c r="F172" s="10">
        <f t="shared" si="9"/>
        <v>0.16890000000000005</v>
      </c>
      <c r="G172" s="10">
        <v>0.83109999999999995</v>
      </c>
    </row>
    <row r="173" spans="2:7" x14ac:dyDescent="0.25">
      <c r="B173" s="8">
        <v>95</v>
      </c>
      <c r="C173" s="12">
        <v>5.62</v>
      </c>
      <c r="D173" s="10">
        <f t="shared" si="8"/>
        <v>0.87790000000000001</v>
      </c>
      <c r="E173" s="10">
        <v>0.1221</v>
      </c>
      <c r="F173" s="10">
        <f t="shared" si="9"/>
        <v>0.16200000000000003</v>
      </c>
      <c r="G173" s="10">
        <v>0.83799999999999997</v>
      </c>
    </row>
    <row r="174" spans="2:7" x14ac:dyDescent="0.25">
      <c r="B174" s="8">
        <v>95</v>
      </c>
      <c r="C174" s="12">
        <v>7.01</v>
      </c>
      <c r="D174" s="10">
        <f t="shared" si="8"/>
        <v>0.84399999999999997</v>
      </c>
      <c r="E174" s="10">
        <v>0.156</v>
      </c>
      <c r="F174" s="10">
        <f t="shared" si="9"/>
        <v>0.16310000000000002</v>
      </c>
      <c r="G174" s="10">
        <v>0.83689999999999998</v>
      </c>
    </row>
    <row r="175" spans="2:7" x14ac:dyDescent="0.25">
      <c r="B175" s="8">
        <v>95</v>
      </c>
      <c r="C175" s="12">
        <v>8.4</v>
      </c>
      <c r="D175" s="10">
        <f t="shared" si="8"/>
        <v>0.80669999999999997</v>
      </c>
      <c r="E175" s="10">
        <v>0.1933</v>
      </c>
      <c r="F175" s="10">
        <f t="shared" si="9"/>
        <v>0.16910000000000003</v>
      </c>
      <c r="G175" s="10">
        <v>0.83089999999999997</v>
      </c>
    </row>
    <row r="176" spans="2:7" x14ac:dyDescent="0.25">
      <c r="B176" s="8">
        <v>95</v>
      </c>
      <c r="C176" s="12">
        <v>9.5299999999999994</v>
      </c>
      <c r="D176" s="10">
        <f t="shared" si="8"/>
        <v>0.77449999999999997</v>
      </c>
      <c r="E176" s="10">
        <v>0.22550000000000001</v>
      </c>
      <c r="F176" s="10">
        <f t="shared" si="9"/>
        <v>0.17930000000000001</v>
      </c>
      <c r="G176" s="10">
        <v>0.82069999999999999</v>
      </c>
    </row>
    <row r="177" spans="2:7" x14ac:dyDescent="0.25">
      <c r="B177" s="8">
        <v>95</v>
      </c>
      <c r="C177" s="12">
        <v>10.51</v>
      </c>
      <c r="D177" s="10">
        <f t="shared" si="8"/>
        <v>0.74780000000000002</v>
      </c>
      <c r="E177" s="10">
        <v>0.25219999999999998</v>
      </c>
      <c r="F177" s="10">
        <f t="shared" si="9"/>
        <v>0.19010000000000005</v>
      </c>
      <c r="G177" s="10">
        <v>0.80989999999999995</v>
      </c>
    </row>
    <row r="178" spans="2:7" x14ac:dyDescent="0.25">
      <c r="B178" s="8">
        <v>95</v>
      </c>
      <c r="C178" s="12">
        <v>11.83</v>
      </c>
      <c r="D178" s="10">
        <f t="shared" si="8"/>
        <v>0.70279999999999998</v>
      </c>
      <c r="E178" s="10">
        <v>0.29720000000000002</v>
      </c>
      <c r="F178" s="10">
        <f t="shared" si="9"/>
        <v>0.21230000000000004</v>
      </c>
      <c r="G178" s="10">
        <v>0.78769999999999996</v>
      </c>
    </row>
    <row r="179" spans="2:7" x14ac:dyDescent="0.25">
      <c r="B179" s="8">
        <v>95</v>
      </c>
      <c r="C179" s="12">
        <v>13.17</v>
      </c>
      <c r="D179" s="10">
        <f t="shared" si="8"/>
        <v>0.65359999999999996</v>
      </c>
      <c r="E179" s="10">
        <v>0.34639999999999999</v>
      </c>
      <c r="F179" s="10">
        <f t="shared" si="9"/>
        <v>0.24350000000000005</v>
      </c>
      <c r="G179" s="10">
        <v>0.75649999999999995</v>
      </c>
    </row>
    <row r="180" spans="2:7" x14ac:dyDescent="0.25">
      <c r="B180" s="8">
        <v>95</v>
      </c>
      <c r="C180" s="12">
        <v>14.61</v>
      </c>
      <c r="D180" s="10">
        <f t="shared" si="8"/>
        <v>0.57400000000000007</v>
      </c>
      <c r="E180" s="10">
        <v>0.42599999999999999</v>
      </c>
      <c r="F180" s="10">
        <f t="shared" si="9"/>
        <v>0.29200000000000004</v>
      </c>
      <c r="G180" s="10">
        <v>0.70799999999999996</v>
      </c>
    </row>
    <row r="181" spans="2:7" x14ac:dyDescent="0.25">
      <c r="B181" s="8">
        <v>95</v>
      </c>
      <c r="C181" s="12">
        <v>14.93</v>
      </c>
      <c r="D181" s="10">
        <f t="shared" si="8"/>
        <v>0.53699999999999992</v>
      </c>
      <c r="E181" s="10">
        <v>0.46300000000000002</v>
      </c>
      <c r="F181" s="10">
        <f t="shared" si="9"/>
        <v>0.32899999999999996</v>
      </c>
      <c r="G181" s="10">
        <v>0.67100000000000004</v>
      </c>
    </row>
    <row r="182" spans="2:7" x14ac:dyDescent="0.25">
      <c r="B182" s="8">
        <v>105</v>
      </c>
      <c r="C182" s="12">
        <v>1.21</v>
      </c>
      <c r="D182" s="10">
        <f t="shared" si="8"/>
        <v>0.9879</v>
      </c>
      <c r="E182" s="10">
        <v>1.21E-2</v>
      </c>
      <c r="F182" s="10">
        <f t="shared" si="9"/>
        <v>0.69900000000000007</v>
      </c>
      <c r="G182" s="10">
        <v>0.30099999999999999</v>
      </c>
    </row>
    <row r="183" spans="2:7" x14ac:dyDescent="0.25">
      <c r="B183" s="8">
        <v>105</v>
      </c>
      <c r="C183" s="12">
        <v>1.51</v>
      </c>
      <c r="D183" s="10">
        <f t="shared" si="8"/>
        <v>0.98029999999999995</v>
      </c>
      <c r="E183" s="10">
        <v>1.9699999999999999E-2</v>
      </c>
      <c r="F183" s="10">
        <f t="shared" si="9"/>
        <v>0.59440000000000004</v>
      </c>
      <c r="G183" s="10">
        <v>0.40560000000000002</v>
      </c>
    </row>
    <row r="184" spans="2:7" x14ac:dyDescent="0.25">
      <c r="B184" s="8">
        <v>105</v>
      </c>
      <c r="C184" s="12">
        <v>1.9</v>
      </c>
      <c r="D184" s="10">
        <f t="shared" si="8"/>
        <v>0.97089999999999999</v>
      </c>
      <c r="E184" s="10">
        <v>2.9100000000000001E-2</v>
      </c>
      <c r="F184" s="10">
        <f t="shared" si="9"/>
        <v>0.50280000000000002</v>
      </c>
      <c r="G184" s="10">
        <v>0.49719999999999998</v>
      </c>
    </row>
    <row r="185" spans="2:7" x14ac:dyDescent="0.25">
      <c r="B185" s="8">
        <v>105</v>
      </c>
      <c r="C185" s="12">
        <v>2.21</v>
      </c>
      <c r="D185" s="10">
        <f t="shared" si="8"/>
        <v>0.96360000000000001</v>
      </c>
      <c r="E185" s="10">
        <v>3.6400000000000002E-2</v>
      </c>
      <c r="F185" s="10">
        <f t="shared" si="9"/>
        <v>0.4496</v>
      </c>
      <c r="G185" s="10">
        <v>0.5504</v>
      </c>
    </row>
    <row r="186" spans="2:7" x14ac:dyDescent="0.25">
      <c r="B186" s="8">
        <v>105</v>
      </c>
      <c r="C186" s="12">
        <v>2.81</v>
      </c>
      <c r="D186" s="10">
        <f t="shared" si="8"/>
        <v>0.94589999999999996</v>
      </c>
      <c r="E186" s="10">
        <v>5.4100000000000002E-2</v>
      </c>
      <c r="F186" s="10">
        <f t="shared" si="9"/>
        <v>0.38229999999999997</v>
      </c>
      <c r="G186" s="10">
        <v>0.61770000000000003</v>
      </c>
    </row>
    <row r="187" spans="2:7" x14ac:dyDescent="0.25">
      <c r="B187" s="8">
        <v>105</v>
      </c>
      <c r="C187" s="12">
        <v>3.57</v>
      </c>
      <c r="D187" s="10">
        <f t="shared" si="8"/>
        <v>0.92690000000000006</v>
      </c>
      <c r="E187" s="10">
        <v>7.3099999999999998E-2</v>
      </c>
      <c r="F187" s="10">
        <f t="shared" si="9"/>
        <v>0.33720000000000006</v>
      </c>
      <c r="G187" s="10">
        <v>0.66279999999999994</v>
      </c>
    </row>
    <row r="188" spans="2:7" x14ac:dyDescent="0.25">
      <c r="B188" s="8">
        <v>105</v>
      </c>
      <c r="C188" s="12">
        <v>4.62</v>
      </c>
      <c r="D188" s="10">
        <f t="shared" si="8"/>
        <v>0.89659999999999995</v>
      </c>
      <c r="E188" s="10">
        <v>0.10340000000000001</v>
      </c>
      <c r="F188" s="10">
        <f t="shared" si="9"/>
        <v>0.30469999999999997</v>
      </c>
      <c r="G188" s="10">
        <v>0.69530000000000003</v>
      </c>
    </row>
    <row r="189" spans="2:7" x14ac:dyDescent="0.25">
      <c r="B189" s="8">
        <v>105</v>
      </c>
      <c r="C189" s="12">
        <v>5.62</v>
      </c>
      <c r="D189" s="10">
        <f t="shared" si="8"/>
        <v>0.86780000000000002</v>
      </c>
      <c r="E189" s="10">
        <v>0.13220000000000001</v>
      </c>
      <c r="F189" s="10">
        <f t="shared" si="9"/>
        <v>0.28990000000000005</v>
      </c>
      <c r="G189" s="10">
        <v>0.71009999999999995</v>
      </c>
    </row>
    <row r="190" spans="2:7" x14ac:dyDescent="0.25">
      <c r="B190" s="8">
        <v>105</v>
      </c>
      <c r="C190" s="12">
        <v>6.64</v>
      </c>
      <c r="D190" s="10">
        <f t="shared" si="8"/>
        <v>0.83560000000000001</v>
      </c>
      <c r="E190" s="10">
        <v>0.16439999999999999</v>
      </c>
      <c r="F190" s="10">
        <f t="shared" si="9"/>
        <v>0.28620000000000001</v>
      </c>
      <c r="G190" s="10">
        <v>0.71379999999999999</v>
      </c>
    </row>
    <row r="191" spans="2:7" x14ac:dyDescent="0.25">
      <c r="B191" s="8">
        <v>105</v>
      </c>
      <c r="C191" s="12">
        <v>7.73</v>
      </c>
      <c r="D191" s="10">
        <f t="shared" si="8"/>
        <v>0.79849999999999999</v>
      </c>
      <c r="E191" s="10">
        <v>0.20150000000000001</v>
      </c>
      <c r="F191" s="10">
        <f t="shared" si="9"/>
        <v>0.28449999999999998</v>
      </c>
      <c r="G191" s="10">
        <v>0.71550000000000002</v>
      </c>
    </row>
    <row r="192" spans="2:7" x14ac:dyDescent="0.25">
      <c r="B192" s="8">
        <v>105</v>
      </c>
      <c r="C192" s="12">
        <v>8.58</v>
      </c>
      <c r="D192" s="10">
        <f t="shared" si="8"/>
        <v>0.7671</v>
      </c>
      <c r="E192" s="10">
        <v>0.2329</v>
      </c>
      <c r="F192" s="10">
        <f t="shared" si="9"/>
        <v>0.29520000000000002</v>
      </c>
      <c r="G192" s="10">
        <v>0.70479999999999998</v>
      </c>
    </row>
    <row r="193" spans="2:7" x14ac:dyDescent="0.25">
      <c r="B193" s="8">
        <v>105</v>
      </c>
      <c r="C193" s="12">
        <v>9.15</v>
      </c>
      <c r="D193" s="10">
        <f t="shared" si="8"/>
        <v>0.74439999999999995</v>
      </c>
      <c r="E193" s="10">
        <v>0.25559999999999999</v>
      </c>
      <c r="F193" s="10">
        <f t="shared" si="9"/>
        <v>0.30359999999999998</v>
      </c>
      <c r="G193" s="10">
        <v>0.69640000000000002</v>
      </c>
    </row>
    <row r="194" spans="2:7" x14ac:dyDescent="0.25">
      <c r="B194" s="8">
        <v>105</v>
      </c>
      <c r="C194" s="12">
        <v>9.75</v>
      </c>
      <c r="D194" s="10">
        <f t="shared" si="8"/>
        <v>0.71870000000000001</v>
      </c>
      <c r="E194" s="10">
        <v>0.28129999999999999</v>
      </c>
      <c r="F194" s="10">
        <f t="shared" si="9"/>
        <v>0.31599999999999995</v>
      </c>
      <c r="G194" s="10">
        <v>0.68400000000000005</v>
      </c>
    </row>
    <row r="195" spans="2:7" x14ac:dyDescent="0.25">
      <c r="B195" s="8">
        <v>105</v>
      </c>
      <c r="C195" s="12">
        <v>10.56</v>
      </c>
      <c r="D195" s="10">
        <f t="shared" si="8"/>
        <v>0.67520000000000002</v>
      </c>
      <c r="E195" s="10">
        <v>0.32479999999999998</v>
      </c>
      <c r="F195" s="10">
        <f t="shared" si="9"/>
        <v>0.33879999999999999</v>
      </c>
      <c r="G195" s="10">
        <v>0.66120000000000001</v>
      </c>
    </row>
    <row r="196" spans="2:7" x14ac:dyDescent="0.25">
      <c r="B196" s="8">
        <v>105</v>
      </c>
      <c r="C196" s="12">
        <v>11.22</v>
      </c>
      <c r="D196" s="10">
        <f t="shared" si="8"/>
        <v>0.63019999999999998</v>
      </c>
      <c r="E196" s="10">
        <v>0.36980000000000002</v>
      </c>
      <c r="F196" s="10">
        <f t="shared" si="9"/>
        <v>0.37380000000000002</v>
      </c>
      <c r="G196" s="10">
        <v>0.62619999999999998</v>
      </c>
    </row>
    <row r="197" spans="2:7" x14ac:dyDescent="0.25">
      <c r="B197" s="8">
        <v>105</v>
      </c>
      <c r="C197" s="12">
        <v>11.56</v>
      </c>
      <c r="D197" s="10">
        <f t="shared" si="8"/>
        <v>0.59799999999999998</v>
      </c>
      <c r="E197" s="10">
        <v>0.40200000000000002</v>
      </c>
      <c r="F197" s="10">
        <f t="shared" si="9"/>
        <v>0.40400000000000003</v>
      </c>
      <c r="G197" s="10">
        <v>0.59599999999999997</v>
      </c>
    </row>
    <row r="198" spans="2:7" x14ac:dyDescent="0.25">
      <c r="B198" s="8">
        <v>105</v>
      </c>
      <c r="C198" s="12">
        <v>11.73</v>
      </c>
      <c r="D198" s="10">
        <f t="shared" si="8"/>
        <v>0.56899999999999995</v>
      </c>
      <c r="E198" s="10">
        <v>0.43099999999999999</v>
      </c>
      <c r="F198" s="10">
        <f t="shared" si="9"/>
        <v>0.42800000000000005</v>
      </c>
      <c r="G198" s="10">
        <v>0.57199999999999995</v>
      </c>
    </row>
    <row r="199" spans="2:7" x14ac:dyDescent="0.25">
      <c r="B199" s="8">
        <v>115</v>
      </c>
      <c r="C199" s="12">
        <v>1.71</v>
      </c>
      <c r="D199" s="10">
        <f t="shared" si="8"/>
        <v>0.99160000000000004</v>
      </c>
      <c r="E199" s="10">
        <v>8.3999999999999995E-3</v>
      </c>
      <c r="F199" s="10">
        <f t="shared" si="9"/>
        <v>0.89049999999999996</v>
      </c>
      <c r="G199" s="10">
        <v>0.1095</v>
      </c>
    </row>
    <row r="200" spans="2:7" x14ac:dyDescent="0.25">
      <c r="B200" s="8">
        <v>115</v>
      </c>
      <c r="C200" s="12">
        <v>1.95</v>
      </c>
      <c r="D200" s="10">
        <f t="shared" si="8"/>
        <v>0.98409999999999997</v>
      </c>
      <c r="E200" s="10">
        <v>1.5900000000000001E-2</v>
      </c>
      <c r="F200" s="10">
        <f t="shared" si="9"/>
        <v>0.81620000000000004</v>
      </c>
      <c r="G200" s="10">
        <v>0.18379999999999999</v>
      </c>
    </row>
    <row r="201" spans="2:7" x14ac:dyDescent="0.25">
      <c r="B201" s="8">
        <v>115</v>
      </c>
      <c r="C201" s="12">
        <v>2.2599999999999998</v>
      </c>
      <c r="D201" s="10">
        <f t="shared" si="8"/>
        <v>0.97509999999999997</v>
      </c>
      <c r="E201" s="10">
        <v>2.4899999999999999E-2</v>
      </c>
      <c r="F201" s="10">
        <f t="shared" si="9"/>
        <v>0.74039999999999995</v>
      </c>
      <c r="G201" s="10">
        <v>0.2596</v>
      </c>
    </row>
    <row r="202" spans="2:7" x14ac:dyDescent="0.25">
      <c r="B202" s="8">
        <v>115</v>
      </c>
      <c r="C202" s="12">
        <v>2.92</v>
      </c>
      <c r="D202" s="10">
        <f t="shared" si="8"/>
        <v>0.9556</v>
      </c>
      <c r="E202" s="10">
        <v>4.4400000000000002E-2</v>
      </c>
      <c r="F202" s="10">
        <f t="shared" si="9"/>
        <v>0.63159999999999994</v>
      </c>
      <c r="G202" s="10">
        <v>0.36840000000000001</v>
      </c>
    </row>
    <row r="203" spans="2:7" x14ac:dyDescent="0.25">
      <c r="B203" s="8">
        <v>115</v>
      </c>
      <c r="C203" s="12">
        <v>3.62</v>
      </c>
      <c r="D203" s="10">
        <f t="shared" si="8"/>
        <v>0.93369999999999997</v>
      </c>
      <c r="E203" s="10">
        <v>6.6299999999999998E-2</v>
      </c>
      <c r="F203" s="10">
        <f t="shared" si="9"/>
        <v>0.56069999999999998</v>
      </c>
      <c r="G203" s="10">
        <v>0.43930000000000002</v>
      </c>
    </row>
    <row r="204" spans="2:7" x14ac:dyDescent="0.25">
      <c r="B204" s="8">
        <v>115</v>
      </c>
      <c r="C204" s="12">
        <v>4.2</v>
      </c>
      <c r="D204" s="10">
        <f t="shared" si="8"/>
        <v>0.91410000000000002</v>
      </c>
      <c r="E204" s="10">
        <v>8.5900000000000004E-2</v>
      </c>
      <c r="F204" s="10">
        <f t="shared" si="9"/>
        <v>0.52350000000000008</v>
      </c>
      <c r="G204" s="10">
        <v>0.47649999999999998</v>
      </c>
    </row>
    <row r="205" spans="2:7" x14ac:dyDescent="0.25">
      <c r="B205" s="8">
        <v>115</v>
      </c>
      <c r="C205" s="12">
        <v>4.9800000000000004</v>
      </c>
      <c r="D205" s="10">
        <f t="shared" si="8"/>
        <v>0.88580000000000003</v>
      </c>
      <c r="E205" s="10">
        <v>0.1142</v>
      </c>
      <c r="F205" s="10">
        <f t="shared" si="9"/>
        <v>0.49129999999999996</v>
      </c>
      <c r="G205" s="10">
        <v>0.50870000000000004</v>
      </c>
    </row>
    <row r="206" spans="2:7" x14ac:dyDescent="0.25">
      <c r="B206" s="8">
        <v>115</v>
      </c>
      <c r="C206" s="12">
        <v>5.8</v>
      </c>
      <c r="D206" s="10">
        <f t="shared" si="8"/>
        <v>0.85529999999999995</v>
      </c>
      <c r="E206" s="10">
        <v>0.1447</v>
      </c>
      <c r="F206" s="10">
        <f t="shared" si="9"/>
        <v>0.46809999999999996</v>
      </c>
      <c r="G206" s="10">
        <v>0.53190000000000004</v>
      </c>
    </row>
    <row r="207" spans="2:7" x14ac:dyDescent="0.25">
      <c r="B207" s="8">
        <v>115</v>
      </c>
      <c r="C207" s="12">
        <v>6.36</v>
      </c>
      <c r="D207" s="10">
        <f t="shared" si="8"/>
        <v>0.83199999999999996</v>
      </c>
      <c r="E207" s="10">
        <v>0.16800000000000001</v>
      </c>
      <c r="F207" s="10">
        <f t="shared" si="9"/>
        <v>0.45999999999999996</v>
      </c>
      <c r="G207" s="10">
        <v>0.54</v>
      </c>
    </row>
    <row r="208" spans="2:7" x14ac:dyDescent="0.25">
      <c r="B208" s="8">
        <v>115</v>
      </c>
      <c r="C208" s="12">
        <v>7.02</v>
      </c>
      <c r="D208" s="10">
        <f t="shared" si="8"/>
        <v>0.80359999999999998</v>
      </c>
      <c r="E208" s="10">
        <v>0.19639999999999999</v>
      </c>
      <c r="F208" s="10">
        <f t="shared" si="9"/>
        <v>0.46509999999999996</v>
      </c>
      <c r="G208" s="10">
        <v>0.53490000000000004</v>
      </c>
    </row>
    <row r="209" spans="2:7" x14ac:dyDescent="0.25">
      <c r="B209" s="8">
        <v>115</v>
      </c>
      <c r="C209" s="12">
        <v>7.5</v>
      </c>
      <c r="D209" s="10">
        <f t="shared" si="8"/>
        <v>0.77729999999999999</v>
      </c>
      <c r="E209" s="10">
        <v>0.22270000000000001</v>
      </c>
      <c r="F209" s="10">
        <f t="shared" si="9"/>
        <v>0.47270000000000001</v>
      </c>
      <c r="G209" s="10">
        <v>0.52729999999999999</v>
      </c>
    </row>
    <row r="210" spans="2:7" x14ac:dyDescent="0.25">
      <c r="B210" s="8">
        <v>115</v>
      </c>
      <c r="C210" s="12">
        <v>8.0399999999999991</v>
      </c>
      <c r="D210" s="10">
        <f t="shared" si="8"/>
        <v>0.74469999999999992</v>
      </c>
      <c r="E210" s="10">
        <v>0.25530000000000003</v>
      </c>
      <c r="F210" s="10">
        <f t="shared" si="9"/>
        <v>0.49519999999999997</v>
      </c>
      <c r="G210" s="10">
        <v>0.50480000000000003</v>
      </c>
    </row>
    <row r="211" spans="2:7" x14ac:dyDescent="0.25">
      <c r="B211" s="8">
        <v>115</v>
      </c>
      <c r="C211" s="12">
        <v>8.5</v>
      </c>
      <c r="D211" s="10">
        <f t="shared" si="8"/>
        <v>0.70550000000000002</v>
      </c>
      <c r="E211" s="10">
        <v>0.29449999999999998</v>
      </c>
      <c r="F211" s="10">
        <f t="shared" si="9"/>
        <v>0.52160000000000006</v>
      </c>
      <c r="G211" s="10">
        <v>0.47839999999999999</v>
      </c>
    </row>
    <row r="212" spans="2:7" x14ac:dyDescent="0.25">
      <c r="B212" s="8">
        <v>115</v>
      </c>
      <c r="C212" s="12">
        <v>8.59</v>
      </c>
      <c r="D212" s="10">
        <f t="shared" si="8"/>
        <v>0.69399999999999995</v>
      </c>
      <c r="E212" s="10">
        <v>0.30599999999999999</v>
      </c>
      <c r="F212" s="10">
        <f t="shared" si="9"/>
        <v>0.53499999999999992</v>
      </c>
      <c r="G212" s="10">
        <v>0.46500000000000002</v>
      </c>
    </row>
    <row r="213" spans="2:7" x14ac:dyDescent="0.25">
      <c r="B213" s="8">
        <v>115</v>
      </c>
      <c r="C213" s="12">
        <v>8.68</v>
      </c>
      <c r="D213" s="10">
        <f t="shared" si="8"/>
        <v>0.68100000000000005</v>
      </c>
      <c r="E213" s="10">
        <v>0.31900000000000001</v>
      </c>
      <c r="F213" s="10">
        <f t="shared" si="9"/>
        <v>0.54499999999999993</v>
      </c>
      <c r="G213" s="10">
        <v>0.45500000000000002</v>
      </c>
    </row>
    <row r="214" spans="2:7" x14ac:dyDescent="0.25">
      <c r="B214" s="8">
        <v>125</v>
      </c>
      <c r="C214" s="12">
        <v>2.98</v>
      </c>
      <c r="D214" s="10">
        <f t="shared" si="8"/>
        <v>0.97829999999999995</v>
      </c>
      <c r="E214" s="10">
        <v>2.1700000000000001E-2</v>
      </c>
      <c r="F214" s="10">
        <f t="shared" si="9"/>
        <v>0.89349999999999996</v>
      </c>
      <c r="G214" s="10">
        <v>0.1065</v>
      </c>
    </row>
    <row r="215" spans="2:7" x14ac:dyDescent="0.25">
      <c r="B215" s="8">
        <v>125</v>
      </c>
      <c r="C215" s="12">
        <v>3.3</v>
      </c>
      <c r="D215" s="10">
        <f t="shared" si="8"/>
        <v>0.96699999999999997</v>
      </c>
      <c r="E215" s="10">
        <v>3.3000000000000002E-2</v>
      </c>
      <c r="F215" s="10">
        <f t="shared" si="9"/>
        <v>0.85129999999999995</v>
      </c>
      <c r="G215" s="10">
        <v>0.1487</v>
      </c>
    </row>
    <row r="216" spans="2:7" x14ac:dyDescent="0.25">
      <c r="B216" s="8">
        <v>125</v>
      </c>
      <c r="C216" s="12">
        <v>3.63</v>
      </c>
      <c r="D216" s="10">
        <f t="shared" si="8"/>
        <v>0.95389999999999997</v>
      </c>
      <c r="E216" s="10">
        <v>4.6100000000000002E-2</v>
      </c>
      <c r="F216" s="10">
        <f t="shared" si="9"/>
        <v>0.81400000000000006</v>
      </c>
      <c r="G216" s="10">
        <v>0.186</v>
      </c>
    </row>
    <row r="217" spans="2:7" x14ac:dyDescent="0.25">
      <c r="B217" s="8">
        <v>125</v>
      </c>
      <c r="C217" s="12">
        <v>3.95</v>
      </c>
      <c r="D217" s="10">
        <f t="shared" si="8"/>
        <v>0.94059999999999999</v>
      </c>
      <c r="E217" s="10">
        <v>5.9400000000000001E-2</v>
      </c>
      <c r="F217" s="10">
        <f t="shared" si="9"/>
        <v>0.78700000000000003</v>
      </c>
      <c r="G217" s="10">
        <v>0.21299999999999999</v>
      </c>
    </row>
    <row r="218" spans="2:7" x14ac:dyDescent="0.25">
      <c r="B218" s="8">
        <v>125</v>
      </c>
      <c r="C218" s="12">
        <v>4.47</v>
      </c>
      <c r="D218" s="10">
        <f t="shared" si="8"/>
        <v>0.91800000000000004</v>
      </c>
      <c r="E218" s="10">
        <v>8.2000000000000003E-2</v>
      </c>
      <c r="F218" s="10">
        <f t="shared" si="9"/>
        <v>0.75539999999999996</v>
      </c>
      <c r="G218" s="10">
        <v>0.24460000000000001</v>
      </c>
    </row>
    <row r="219" spans="2:7" x14ac:dyDescent="0.25">
      <c r="B219" s="8">
        <v>125</v>
      </c>
      <c r="C219" s="12">
        <v>4.71</v>
      </c>
      <c r="D219" s="10">
        <f t="shared" si="8"/>
        <v>0.90470000000000006</v>
      </c>
      <c r="E219" s="10">
        <v>9.5299999999999996E-2</v>
      </c>
      <c r="F219" s="10">
        <f t="shared" si="9"/>
        <v>0.74280000000000002</v>
      </c>
      <c r="G219" s="10">
        <v>0.25719999999999998</v>
      </c>
    </row>
    <row r="220" spans="2:7" x14ac:dyDescent="0.25">
      <c r="B220" s="8">
        <v>125</v>
      </c>
      <c r="C220" s="12">
        <v>4.92</v>
      </c>
      <c r="D220" s="10">
        <f t="shared" si="8"/>
        <v>0.89500000000000002</v>
      </c>
      <c r="E220" s="10">
        <v>0.105</v>
      </c>
      <c r="F220" s="10">
        <f t="shared" si="9"/>
        <v>0.73829999999999996</v>
      </c>
      <c r="G220" s="10">
        <v>0.26169999999999999</v>
      </c>
    </row>
    <row r="221" spans="2:7" x14ac:dyDescent="0.25">
      <c r="B221" s="8">
        <v>125</v>
      </c>
      <c r="C221" s="12">
        <v>5.07</v>
      </c>
      <c r="D221" s="10">
        <f t="shared" si="8"/>
        <v>0.88690000000000002</v>
      </c>
      <c r="E221" s="10">
        <v>0.11310000000000001</v>
      </c>
      <c r="F221" s="10">
        <f t="shared" si="9"/>
        <v>0.73499999999999999</v>
      </c>
      <c r="G221" s="10">
        <v>0.26500000000000001</v>
      </c>
    </row>
    <row r="222" spans="2:7" x14ac:dyDescent="0.25">
      <c r="B222" s="8">
        <v>125</v>
      </c>
      <c r="C222" s="12">
        <v>5.19</v>
      </c>
      <c r="D222" s="10">
        <f t="shared" si="8"/>
        <v>0.87809999999999999</v>
      </c>
      <c r="E222" s="10">
        <v>0.12189999999999999</v>
      </c>
      <c r="F222" s="10">
        <f t="shared" si="9"/>
        <v>0.7339</v>
      </c>
      <c r="G222" s="10">
        <v>0.2661</v>
      </c>
    </row>
    <row r="223" spans="2:7" x14ac:dyDescent="0.25">
      <c r="B223" s="8">
        <v>125</v>
      </c>
      <c r="C223" s="12">
        <v>5.32</v>
      </c>
      <c r="D223" s="10">
        <f t="shared" ref="D223:D227" si="10">1-E223</f>
        <v>0.86970000000000003</v>
      </c>
      <c r="E223" s="10">
        <v>0.1303</v>
      </c>
      <c r="F223" s="10">
        <f t="shared" ref="F223:F227" si="11">1-G223</f>
        <v>0.73259999999999992</v>
      </c>
      <c r="G223" s="10">
        <v>0.26740000000000003</v>
      </c>
    </row>
    <row r="224" spans="2:7" x14ac:dyDescent="0.25">
      <c r="B224" s="8">
        <v>125</v>
      </c>
      <c r="C224" s="12">
        <v>5.45</v>
      </c>
      <c r="D224" s="10">
        <f t="shared" si="10"/>
        <v>0.85980000000000001</v>
      </c>
      <c r="E224" s="10">
        <v>0.14019999999999999</v>
      </c>
      <c r="F224" s="10">
        <f t="shared" si="11"/>
        <v>0.73550000000000004</v>
      </c>
      <c r="G224" s="10">
        <v>0.26450000000000001</v>
      </c>
    </row>
    <row r="225" spans="1:7" x14ac:dyDescent="0.25">
      <c r="B225" s="8">
        <v>125</v>
      </c>
      <c r="C225" s="12">
        <v>5.51</v>
      </c>
      <c r="D225" s="10">
        <f t="shared" si="10"/>
        <v>0.85430000000000006</v>
      </c>
      <c r="E225" s="10">
        <v>0.1457</v>
      </c>
      <c r="F225" s="10">
        <f t="shared" si="11"/>
        <v>0.7389</v>
      </c>
      <c r="G225" s="10">
        <v>0.2611</v>
      </c>
    </row>
    <row r="226" spans="1:7" x14ac:dyDescent="0.25">
      <c r="B226" s="8">
        <v>125</v>
      </c>
      <c r="C226" s="12">
        <v>5.61</v>
      </c>
      <c r="D226" s="10">
        <f t="shared" si="10"/>
        <v>0.84499999999999997</v>
      </c>
      <c r="E226" s="10">
        <v>0.155</v>
      </c>
      <c r="F226" s="10">
        <f t="shared" si="11"/>
        <v>0.74299999999999999</v>
      </c>
      <c r="G226" s="10">
        <v>0.25700000000000001</v>
      </c>
    </row>
    <row r="227" spans="1:7" ht="15.75" thickBot="1" x14ac:dyDescent="0.3">
      <c r="A227" s="9"/>
      <c r="B227" s="9">
        <v>125</v>
      </c>
      <c r="C227" s="15">
        <v>5.74</v>
      </c>
      <c r="D227" s="11">
        <f t="shared" si="10"/>
        <v>0.83199999999999996</v>
      </c>
      <c r="E227" s="11">
        <v>0.16800000000000001</v>
      </c>
      <c r="F227" s="11">
        <f t="shared" si="11"/>
        <v>0.747</v>
      </c>
      <c r="G227" s="11">
        <v>0.253</v>
      </c>
    </row>
  </sheetData>
  <pageMargins left="0.7" right="0.7" top="0.75" bottom="0.75" header="0.3" footer="0.3"/>
  <pageSetup paperSize="9" orientation="portrait" r:id="rId1"/>
  <ignoredErrors>
    <ignoredError sqref="B25 B40 B42 B44 B58 B68 B71 B73 B89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543BA-B087-4FB6-A028-70F0F465DBB7}">
  <sheetPr codeName="Hoja13"/>
  <dimension ref="A1:I60"/>
  <sheetViews>
    <sheetView workbookViewId="0">
      <pane ySplit="1" topLeftCell="A2" activePane="bottomLeft" state="frozen"/>
      <selection pane="bottomLeft" activeCell="I1" sqref="I1"/>
    </sheetView>
  </sheetViews>
  <sheetFormatPr defaultColWidth="11.42578125" defaultRowHeight="15" x14ac:dyDescent="0.25"/>
  <cols>
    <col min="1" max="1" width="19.42578125" style="8" bestFit="1" customWidth="1"/>
    <col min="2" max="2" width="7" style="8" bestFit="1" customWidth="1"/>
    <col min="3" max="3" width="7.7109375" style="8" bestFit="1" customWidth="1"/>
    <col min="4" max="4" width="7.5703125" style="8" bestFit="1" customWidth="1"/>
    <col min="5" max="5" width="9.42578125" style="8" bestFit="1" customWidth="1"/>
    <col min="6" max="6" width="6.140625" style="8" bestFit="1" customWidth="1"/>
    <col min="7" max="7" width="9.42578125" style="8" bestFit="1" customWidth="1"/>
    <col min="8" max="8" width="11.42578125" style="1"/>
    <col min="9" max="9" width="19.42578125" style="1" bestFit="1" customWidth="1"/>
    <col min="10" max="16384" width="11.42578125" style="1"/>
  </cols>
  <sheetData>
    <row r="1" spans="1:9" ht="18" x14ac:dyDescent="0.25">
      <c r="A1" s="8" t="s">
        <v>0</v>
      </c>
      <c r="B1" s="10" t="s">
        <v>3</v>
      </c>
      <c r="C1" s="12" t="s">
        <v>4</v>
      </c>
      <c r="D1" s="8" t="s">
        <v>29</v>
      </c>
      <c r="E1" s="8" t="s">
        <v>2</v>
      </c>
      <c r="F1" s="8" t="s">
        <v>30</v>
      </c>
      <c r="G1" s="8" t="s">
        <v>7</v>
      </c>
      <c r="I1" s="1" t="s">
        <v>0</v>
      </c>
    </row>
    <row r="2" spans="1:9" x14ac:dyDescent="0.25">
      <c r="A2" s="18" t="s">
        <v>86</v>
      </c>
      <c r="B2" s="8">
        <f>0+273.15</f>
        <v>273.14999999999998</v>
      </c>
      <c r="C2" s="10">
        <v>2.5331250000000001</v>
      </c>
      <c r="D2" s="12">
        <f>1-E2</f>
        <v>0.99956955999999997</v>
      </c>
      <c r="E2" s="12">
        <v>4.3043999999999998E-4</v>
      </c>
      <c r="I2" s="1" t="s">
        <v>86</v>
      </c>
    </row>
    <row r="3" spans="1:9" x14ac:dyDescent="0.25">
      <c r="B3" s="8">
        <f t="shared" ref="B3:B9" si="0">0+273.15</f>
        <v>273.14999999999998</v>
      </c>
      <c r="C3" s="10">
        <v>5.0662500000000001</v>
      </c>
      <c r="D3" s="12">
        <f t="shared" ref="D3:D41" si="1">1-E3</f>
        <v>0.99913675999999996</v>
      </c>
      <c r="E3" s="12">
        <v>8.6324000000000004E-4</v>
      </c>
      <c r="I3" s="1" t="s">
        <v>75</v>
      </c>
    </row>
    <row r="4" spans="1:9" x14ac:dyDescent="0.25">
      <c r="B4" s="8">
        <f t="shared" si="0"/>
        <v>273.14999999999998</v>
      </c>
      <c r="C4" s="10">
        <v>10.1325</v>
      </c>
      <c r="D4" s="12">
        <f t="shared" si="1"/>
        <v>0.99829182000000005</v>
      </c>
      <c r="E4" s="12">
        <v>1.7081799999999999E-3</v>
      </c>
      <c r="I4" s="1" t="s">
        <v>76</v>
      </c>
    </row>
    <row r="5" spans="1:9" x14ac:dyDescent="0.25">
      <c r="B5" s="8">
        <f t="shared" si="0"/>
        <v>273.14999999999998</v>
      </c>
      <c r="C5" s="10">
        <v>20.265000000000001</v>
      </c>
      <c r="D5" s="12">
        <f t="shared" si="1"/>
        <v>0.99664927999999997</v>
      </c>
      <c r="E5" s="12">
        <v>3.3507200000000002E-3</v>
      </c>
      <c r="I5" s="1" t="s">
        <v>88</v>
      </c>
    </row>
    <row r="6" spans="1:9" x14ac:dyDescent="0.25">
      <c r="B6" s="8">
        <f t="shared" si="0"/>
        <v>273.14999999999998</v>
      </c>
      <c r="C6" s="10">
        <v>40.53</v>
      </c>
      <c r="D6" s="12">
        <f t="shared" si="1"/>
        <v>0.9936102</v>
      </c>
      <c r="E6" s="12">
        <v>6.3898000000000002E-3</v>
      </c>
      <c r="I6" s="1" t="s">
        <v>89</v>
      </c>
    </row>
    <row r="7" spans="1:9" x14ac:dyDescent="0.25">
      <c r="B7" s="8">
        <f t="shared" si="0"/>
        <v>273.14999999999998</v>
      </c>
      <c r="C7" s="10">
        <v>60.795000000000002</v>
      </c>
      <c r="D7" s="12">
        <f t="shared" si="1"/>
        <v>0.99075113999999997</v>
      </c>
      <c r="E7" s="12">
        <v>9.2488599999999994E-3</v>
      </c>
      <c r="I7" s="1" t="s">
        <v>90</v>
      </c>
    </row>
    <row r="8" spans="1:9" x14ac:dyDescent="0.25">
      <c r="B8" s="8">
        <f t="shared" si="0"/>
        <v>273.14999999999998</v>
      </c>
      <c r="C8" s="10">
        <v>81.06</v>
      </c>
      <c r="D8" s="12">
        <f t="shared" si="1"/>
        <v>0.98808879999999999</v>
      </c>
      <c r="E8" s="12">
        <v>1.19112E-2</v>
      </c>
    </row>
    <row r="9" spans="1:9" x14ac:dyDescent="0.25">
      <c r="B9" s="8">
        <f t="shared" si="0"/>
        <v>273.14999999999998</v>
      </c>
      <c r="C9" s="10">
        <v>101.325</v>
      </c>
      <c r="D9" s="12">
        <f t="shared" si="1"/>
        <v>0.98575190000000001</v>
      </c>
      <c r="E9" s="12">
        <v>1.42481E-2</v>
      </c>
    </row>
    <row r="10" spans="1:9" x14ac:dyDescent="0.25">
      <c r="B10" s="8">
        <f>25+273.15</f>
        <v>298.14999999999998</v>
      </c>
      <c r="C10" s="10">
        <v>2.5331250000000001</v>
      </c>
      <c r="D10" s="12">
        <f t="shared" si="1"/>
        <v>0.99965002999999997</v>
      </c>
      <c r="E10" s="12">
        <v>3.4997000000000001E-4</v>
      </c>
    </row>
    <row r="11" spans="1:9" x14ac:dyDescent="0.25">
      <c r="B11" s="8">
        <f t="shared" ref="B11:B17" si="2">25+273.15</f>
        <v>298.14999999999998</v>
      </c>
      <c r="C11" s="10">
        <v>5.0662500000000001</v>
      </c>
      <c r="D11" s="12">
        <f t="shared" si="1"/>
        <v>0.99930432000000002</v>
      </c>
      <c r="E11" s="12">
        <v>6.9567999999999995E-4</v>
      </c>
    </row>
    <row r="12" spans="1:9" x14ac:dyDescent="0.25">
      <c r="B12" s="8">
        <f t="shared" si="2"/>
        <v>298.14999999999998</v>
      </c>
      <c r="C12" s="10">
        <v>10.1325</v>
      </c>
      <c r="D12" s="12">
        <f t="shared" si="1"/>
        <v>0.99861440999999995</v>
      </c>
      <c r="E12" s="12">
        <v>1.3855899999999999E-3</v>
      </c>
    </row>
    <row r="13" spans="1:9" x14ac:dyDescent="0.25">
      <c r="B13" s="8">
        <f t="shared" si="2"/>
        <v>298.14999999999998</v>
      </c>
      <c r="C13" s="10">
        <v>20.265000000000001</v>
      </c>
      <c r="D13" s="12">
        <f t="shared" si="1"/>
        <v>0.99728536000000001</v>
      </c>
      <c r="E13" s="12">
        <v>2.7146399999999999E-3</v>
      </c>
    </row>
    <row r="14" spans="1:9" x14ac:dyDescent="0.25">
      <c r="B14" s="8">
        <f t="shared" si="2"/>
        <v>298.14999999999998</v>
      </c>
      <c r="C14" s="10">
        <v>40.53</v>
      </c>
      <c r="D14" s="12">
        <f t="shared" si="1"/>
        <v>0.99475225</v>
      </c>
      <c r="E14" s="12">
        <v>5.2477499999999998E-3</v>
      </c>
    </row>
    <row r="15" spans="1:9" x14ac:dyDescent="0.25">
      <c r="B15" s="8">
        <f t="shared" si="2"/>
        <v>298.14999999999998</v>
      </c>
      <c r="C15" s="10">
        <v>60.795000000000002</v>
      </c>
      <c r="D15" s="12">
        <f t="shared" si="1"/>
        <v>0.99236637999999999</v>
      </c>
      <c r="E15" s="12">
        <v>7.6336199999999998E-3</v>
      </c>
    </row>
    <row r="16" spans="1:9" x14ac:dyDescent="0.25">
      <c r="B16" s="8">
        <f t="shared" si="2"/>
        <v>298.14999999999998</v>
      </c>
      <c r="C16" s="10">
        <v>81.06</v>
      </c>
      <c r="D16" s="12">
        <f t="shared" si="1"/>
        <v>0.99009424000000001</v>
      </c>
      <c r="E16" s="12">
        <v>9.9057599999999996E-3</v>
      </c>
    </row>
    <row r="17" spans="2:6" x14ac:dyDescent="0.25">
      <c r="B17" s="8">
        <f t="shared" si="2"/>
        <v>298.14999999999998</v>
      </c>
      <c r="C17" s="10">
        <v>101.325</v>
      </c>
      <c r="D17" s="12">
        <f t="shared" si="1"/>
        <v>0.98794219999999999</v>
      </c>
      <c r="E17" s="12">
        <v>1.20578E-2</v>
      </c>
    </row>
    <row r="18" spans="2:6" x14ac:dyDescent="0.25">
      <c r="B18" s="8">
        <f>50+273.15</f>
        <v>323.14999999999998</v>
      </c>
      <c r="C18" s="10">
        <v>2.5331250000000001</v>
      </c>
      <c r="D18" s="12">
        <f t="shared" si="1"/>
        <v>0.99967353999999997</v>
      </c>
      <c r="E18" s="12">
        <v>3.2645999999999999E-4</v>
      </c>
    </row>
    <row r="19" spans="2:6" x14ac:dyDescent="0.25">
      <c r="B19" s="8">
        <f t="shared" ref="B19:B25" si="3">50+273.15</f>
        <v>323.14999999999998</v>
      </c>
      <c r="C19" s="10">
        <v>5.0662500000000001</v>
      </c>
      <c r="D19" s="12">
        <f t="shared" si="1"/>
        <v>0.99935083000000002</v>
      </c>
      <c r="E19" s="12">
        <v>6.4917000000000002E-4</v>
      </c>
    </row>
    <row r="20" spans="2:6" x14ac:dyDescent="0.25">
      <c r="B20" s="8">
        <f t="shared" si="3"/>
        <v>323.14999999999998</v>
      </c>
      <c r="C20" s="10">
        <v>10.1325</v>
      </c>
      <c r="D20" s="12">
        <f t="shared" si="1"/>
        <v>0.99870729999999996</v>
      </c>
      <c r="E20" s="12">
        <v>1.2926999999999999E-3</v>
      </c>
      <c r="F20" s="19"/>
    </row>
    <row r="21" spans="2:6" x14ac:dyDescent="0.25">
      <c r="B21" s="8">
        <f t="shared" si="3"/>
        <v>323.14999999999998</v>
      </c>
      <c r="C21" s="10">
        <v>20.265000000000001</v>
      </c>
      <c r="D21" s="12">
        <f t="shared" si="1"/>
        <v>0.99746508</v>
      </c>
      <c r="E21" s="12">
        <v>2.53492E-3</v>
      </c>
    </row>
    <row r="22" spans="2:6" x14ac:dyDescent="0.25">
      <c r="B22" s="8">
        <f t="shared" si="3"/>
        <v>323.14999999999998</v>
      </c>
      <c r="C22" s="10">
        <v>40.53</v>
      </c>
      <c r="D22" s="12">
        <f t="shared" si="1"/>
        <v>0.99507334999999997</v>
      </c>
      <c r="E22" s="12">
        <v>4.9266500000000003E-3</v>
      </c>
    </row>
    <row r="23" spans="2:6" x14ac:dyDescent="0.25">
      <c r="B23" s="8">
        <f t="shared" si="3"/>
        <v>323.14999999999998</v>
      </c>
      <c r="C23" s="10">
        <v>60.795000000000002</v>
      </c>
      <c r="D23" s="12">
        <f t="shared" si="1"/>
        <v>0.99281176999999998</v>
      </c>
      <c r="E23" s="12">
        <v>7.1882300000000003E-3</v>
      </c>
    </row>
    <row r="24" spans="2:6" x14ac:dyDescent="0.25">
      <c r="B24" s="8">
        <f t="shared" si="3"/>
        <v>323.14999999999998</v>
      </c>
      <c r="C24" s="10">
        <v>81.06</v>
      </c>
      <c r="D24" s="12">
        <f t="shared" si="1"/>
        <v>0.99066524</v>
      </c>
      <c r="E24" s="12">
        <v>9.3347599999999992E-3</v>
      </c>
    </row>
    <row r="25" spans="2:6" x14ac:dyDescent="0.25">
      <c r="B25" s="8">
        <f t="shared" si="3"/>
        <v>323.14999999999998</v>
      </c>
      <c r="C25" s="10">
        <v>101.325</v>
      </c>
      <c r="D25" s="12">
        <f t="shared" si="1"/>
        <v>0.98856639999999996</v>
      </c>
      <c r="E25" s="12">
        <v>1.14336E-2</v>
      </c>
    </row>
    <row r="26" spans="2:6" x14ac:dyDescent="0.25">
      <c r="B26" s="8">
        <f>75+273.15</f>
        <v>348.15</v>
      </c>
      <c r="C26" s="10">
        <v>2.5331250000000001</v>
      </c>
      <c r="D26" s="12">
        <f t="shared" si="1"/>
        <v>0.99966801000000005</v>
      </c>
      <c r="E26" s="12">
        <v>3.3199E-4</v>
      </c>
    </row>
    <row r="27" spans="2:6" x14ac:dyDescent="0.25">
      <c r="B27" s="8">
        <f t="shared" ref="B27:B33" si="4">75+273.15</f>
        <v>348.15</v>
      </c>
      <c r="C27" s="10">
        <v>5.0662500000000001</v>
      </c>
      <c r="D27" s="12">
        <f t="shared" si="1"/>
        <v>0.99933751999999998</v>
      </c>
      <c r="E27" s="12">
        <v>6.6248000000000001E-4</v>
      </c>
    </row>
    <row r="28" spans="2:6" x14ac:dyDescent="0.25">
      <c r="B28" s="8">
        <f t="shared" si="4"/>
        <v>348.15</v>
      </c>
      <c r="C28" s="10">
        <v>10.1325</v>
      </c>
      <c r="D28" s="12">
        <f t="shared" si="1"/>
        <v>0.99868248000000004</v>
      </c>
      <c r="E28" s="12">
        <v>1.31752E-3</v>
      </c>
    </row>
    <row r="29" spans="2:6" x14ac:dyDescent="0.25">
      <c r="B29" s="8">
        <f t="shared" si="4"/>
        <v>348.15</v>
      </c>
      <c r="C29" s="10">
        <v>20.265000000000001</v>
      </c>
      <c r="D29" s="12">
        <f t="shared" si="1"/>
        <v>0.99740516000000001</v>
      </c>
      <c r="E29" s="12">
        <v>2.5948400000000002E-3</v>
      </c>
    </row>
    <row r="30" spans="2:6" x14ac:dyDescent="0.25">
      <c r="B30" s="8">
        <f t="shared" si="4"/>
        <v>348.15</v>
      </c>
      <c r="C30" s="10">
        <v>40.53</v>
      </c>
      <c r="D30" s="12">
        <f>1-E30</f>
        <v>0.99496046000000005</v>
      </c>
      <c r="E30" s="12">
        <v>5.0395400000000003E-3</v>
      </c>
    </row>
    <row r="31" spans="2:6" x14ac:dyDescent="0.25">
      <c r="B31" s="8">
        <f t="shared" si="4"/>
        <v>348.15</v>
      </c>
      <c r="C31" s="10">
        <v>60.795000000000002</v>
      </c>
      <c r="D31" s="12">
        <f t="shared" si="1"/>
        <v>0.99265113000000005</v>
      </c>
      <c r="E31" s="12">
        <v>7.3488700000000004E-3</v>
      </c>
    </row>
    <row r="32" spans="2:6" x14ac:dyDescent="0.25">
      <c r="B32" s="8">
        <f t="shared" si="4"/>
        <v>348.15</v>
      </c>
      <c r="C32" s="10">
        <v>81.06</v>
      </c>
      <c r="D32" s="12">
        <f t="shared" si="1"/>
        <v>0.99045408999999995</v>
      </c>
      <c r="E32" s="12">
        <v>9.5459099999999995E-3</v>
      </c>
    </row>
    <row r="33" spans="1:7" x14ac:dyDescent="0.25">
      <c r="B33" s="8">
        <f t="shared" si="4"/>
        <v>348.15</v>
      </c>
      <c r="C33" s="10">
        <v>101.325</v>
      </c>
      <c r="D33" s="12">
        <f t="shared" si="1"/>
        <v>0.98834520000000003</v>
      </c>
      <c r="E33" s="12">
        <v>1.16548E-2</v>
      </c>
    </row>
    <row r="34" spans="1:7" x14ac:dyDescent="0.25">
      <c r="B34" s="8">
        <f>100+273.15</f>
        <v>373.15</v>
      </c>
      <c r="C34" s="10">
        <v>2.5331250000000001</v>
      </c>
      <c r="D34" s="12">
        <f t="shared" si="1"/>
        <v>0.99962956999999997</v>
      </c>
      <c r="E34" s="12">
        <v>3.7042999999999999E-4</v>
      </c>
    </row>
    <row r="35" spans="1:7" x14ac:dyDescent="0.25">
      <c r="B35" s="8">
        <f t="shared" ref="B35:B41" si="5">100+273.15</f>
        <v>373.15</v>
      </c>
      <c r="C35" s="10">
        <v>5.0662500000000001</v>
      </c>
      <c r="D35" s="12">
        <f t="shared" si="1"/>
        <v>0.99926855999999997</v>
      </c>
      <c r="E35" s="12">
        <v>7.3143999999999998E-4</v>
      </c>
    </row>
    <row r="36" spans="1:7" x14ac:dyDescent="0.25">
      <c r="B36" s="8">
        <f t="shared" si="5"/>
        <v>373.15</v>
      </c>
      <c r="C36" s="10">
        <v>10.1325</v>
      </c>
      <c r="D36" s="12">
        <f t="shared" si="1"/>
        <v>0.99855276000000004</v>
      </c>
      <c r="E36" s="12">
        <v>1.44724E-3</v>
      </c>
    </row>
    <row r="37" spans="1:7" x14ac:dyDescent="0.25">
      <c r="B37" s="8">
        <f t="shared" si="5"/>
        <v>373.15</v>
      </c>
      <c r="C37" s="10">
        <v>20.265000000000001</v>
      </c>
      <c r="D37" s="12">
        <f t="shared" si="1"/>
        <v>0.99716238999999995</v>
      </c>
      <c r="E37" s="12">
        <v>2.83761E-3</v>
      </c>
    </row>
    <row r="38" spans="1:7" x14ac:dyDescent="0.25">
      <c r="B38" s="8">
        <f t="shared" si="5"/>
        <v>373.15</v>
      </c>
      <c r="C38" s="10">
        <v>40.53</v>
      </c>
      <c r="D38" s="12">
        <f t="shared" si="1"/>
        <v>0.99453696999999996</v>
      </c>
      <c r="E38" s="12">
        <v>5.4630299999999998E-3</v>
      </c>
    </row>
    <row r="39" spans="1:7" x14ac:dyDescent="0.25">
      <c r="B39" s="8">
        <f t="shared" si="5"/>
        <v>373.15</v>
      </c>
      <c r="C39" s="10">
        <v>60.795000000000002</v>
      </c>
      <c r="D39" s="12">
        <f t="shared" si="1"/>
        <v>0.99203911</v>
      </c>
      <c r="E39" s="12">
        <v>7.96089E-3</v>
      </c>
    </row>
    <row r="40" spans="1:7" x14ac:dyDescent="0.25">
      <c r="B40" s="8">
        <f t="shared" si="5"/>
        <v>373.15</v>
      </c>
      <c r="C40" s="10">
        <v>81.06</v>
      </c>
      <c r="D40" s="12">
        <f t="shared" si="1"/>
        <v>0.98968509999999998</v>
      </c>
      <c r="E40" s="12">
        <v>1.03149E-2</v>
      </c>
    </row>
    <row r="41" spans="1:7" ht="15.75" thickBot="1" x14ac:dyDescent="0.3">
      <c r="A41" s="9"/>
      <c r="B41" s="9">
        <f t="shared" si="5"/>
        <v>373.15</v>
      </c>
      <c r="C41" s="11">
        <v>101.325</v>
      </c>
      <c r="D41" s="15">
        <f t="shared" si="1"/>
        <v>0.98749180000000003</v>
      </c>
      <c r="E41" s="15">
        <v>1.2508200000000001E-2</v>
      </c>
      <c r="F41" s="9"/>
      <c r="G41" s="9"/>
    </row>
    <row r="42" spans="1:7" ht="15.75" thickBot="1" x14ac:dyDescent="0.3">
      <c r="A42" s="31" t="s">
        <v>88</v>
      </c>
      <c r="B42" s="28">
        <v>298</v>
      </c>
      <c r="C42" s="29">
        <v>0.101325</v>
      </c>
      <c r="D42" s="30">
        <f>1-E42</f>
        <v>0.99998600000000004</v>
      </c>
      <c r="E42" s="30">
        <f>0.000014</f>
        <v>1.4E-5</v>
      </c>
      <c r="F42" s="28"/>
      <c r="G42" s="28"/>
    </row>
    <row r="43" spans="1:7" ht="15.75" thickBot="1" x14ac:dyDescent="0.3">
      <c r="A43" s="31" t="s">
        <v>89</v>
      </c>
      <c r="B43" s="28">
        <v>298.14999999999998</v>
      </c>
      <c r="C43" s="29">
        <v>0.101325</v>
      </c>
      <c r="D43" s="30">
        <f>1-E43</f>
        <v>0.99998549999999997</v>
      </c>
      <c r="E43" s="30">
        <f>0.0000145</f>
        <v>1.45E-5</v>
      </c>
      <c r="F43" s="28"/>
      <c r="G43" s="28"/>
    </row>
    <row r="44" spans="1:7" x14ac:dyDescent="0.25">
      <c r="A44" s="7" t="s">
        <v>90</v>
      </c>
      <c r="B44" s="8">
        <v>298.14999999999998</v>
      </c>
      <c r="C44" s="10">
        <v>0.101325</v>
      </c>
      <c r="D44" s="12">
        <f t="shared" ref="D44:D46" si="6">1-E44</f>
        <v>0.99998569999999998</v>
      </c>
      <c r="E44" s="12">
        <f>0.0000143</f>
        <v>1.43E-5</v>
      </c>
    </row>
    <row r="45" spans="1:7" x14ac:dyDescent="0.25">
      <c r="B45" s="8">
        <v>313.14999999999998</v>
      </c>
      <c r="C45" s="10">
        <v>0.101325</v>
      </c>
      <c r="D45" s="12">
        <f t="shared" si="6"/>
        <v>0.99998710000000002</v>
      </c>
      <c r="E45" s="12">
        <f>0.0000129</f>
        <v>1.29E-5</v>
      </c>
    </row>
    <row r="46" spans="1:7" ht="15.75" thickBot="1" x14ac:dyDescent="0.3">
      <c r="A46" s="9"/>
      <c r="B46" s="9">
        <v>333.15</v>
      </c>
      <c r="C46" s="11">
        <v>0.101325</v>
      </c>
      <c r="D46" s="15">
        <f t="shared" si="6"/>
        <v>0.99998699999999996</v>
      </c>
      <c r="E46" s="15">
        <v>1.2999999999999999E-5</v>
      </c>
      <c r="F46" s="9"/>
      <c r="G46" s="9"/>
    </row>
    <row r="47" spans="1:7" x14ac:dyDescent="0.25">
      <c r="A47" s="18" t="s">
        <v>75</v>
      </c>
      <c r="B47" s="8">
        <v>323.14999999999998</v>
      </c>
      <c r="C47" s="8">
        <v>3.18</v>
      </c>
      <c r="D47" s="12">
        <f>1-E47</f>
        <v>0.99959799999999999</v>
      </c>
      <c r="E47" s="12">
        <v>4.0200000000000001E-4</v>
      </c>
    </row>
    <row r="48" spans="1:7" x14ac:dyDescent="0.25">
      <c r="B48" s="8">
        <v>323.14999999999998</v>
      </c>
      <c r="C48" s="8">
        <v>6.03</v>
      </c>
      <c r="D48" s="12">
        <f t="shared" ref="D48:D56" si="7">1-E48</f>
        <v>0.99923700000000004</v>
      </c>
      <c r="E48" s="12">
        <v>7.6300000000000001E-4</v>
      </c>
    </row>
    <row r="49" spans="1:7" x14ac:dyDescent="0.25">
      <c r="B49" s="8">
        <v>323.14999999999998</v>
      </c>
      <c r="C49" s="8">
        <v>11.93</v>
      </c>
      <c r="D49" s="12">
        <f t="shared" si="7"/>
        <v>0.99848700000000001</v>
      </c>
      <c r="E49" s="12">
        <v>1.5129999999999998E-3</v>
      </c>
    </row>
    <row r="50" spans="1:7" x14ac:dyDescent="0.25">
      <c r="B50" s="8">
        <v>373.15</v>
      </c>
      <c r="C50" s="8">
        <v>5.7</v>
      </c>
      <c r="D50" s="12">
        <f t="shared" si="7"/>
        <v>0.99917999999999996</v>
      </c>
      <c r="E50" s="12">
        <v>8.1999999999999998E-4</v>
      </c>
    </row>
    <row r="51" spans="1:7" x14ac:dyDescent="0.25">
      <c r="B51" s="8">
        <v>373.15</v>
      </c>
      <c r="C51" s="8">
        <v>12.09</v>
      </c>
      <c r="D51" s="12">
        <f t="shared" si="7"/>
        <v>0.998247</v>
      </c>
      <c r="E51" s="12">
        <v>1.7529999999999998E-3</v>
      </c>
    </row>
    <row r="52" spans="1:7" x14ac:dyDescent="0.25">
      <c r="B52" s="8">
        <v>373.15</v>
      </c>
      <c r="C52" s="8">
        <v>15.37</v>
      </c>
      <c r="D52" s="12">
        <f t="shared" si="7"/>
        <v>0.99776799999999999</v>
      </c>
      <c r="E52" s="12">
        <v>2.232E-3</v>
      </c>
    </row>
    <row r="53" spans="1:7" x14ac:dyDescent="0.25">
      <c r="B53" s="8">
        <v>423.15</v>
      </c>
      <c r="C53" s="8">
        <v>5.18</v>
      </c>
      <c r="D53" s="12">
        <f t="shared" si="7"/>
        <v>0.99909999999999999</v>
      </c>
      <c r="E53" s="12">
        <v>8.9999999999999998E-4</v>
      </c>
    </row>
    <row r="54" spans="1:7" x14ac:dyDescent="0.25">
      <c r="B54" s="8">
        <v>423.15</v>
      </c>
      <c r="C54" s="8">
        <v>5.43</v>
      </c>
      <c r="D54" s="12">
        <f t="shared" si="7"/>
        <v>0.99902100000000005</v>
      </c>
      <c r="E54" s="12">
        <v>9.7900000000000005E-4</v>
      </c>
    </row>
    <row r="55" spans="1:7" x14ac:dyDescent="0.25">
      <c r="B55" s="8">
        <v>423.15</v>
      </c>
      <c r="C55" s="8">
        <v>7.59</v>
      </c>
      <c r="D55" s="12">
        <f t="shared" si="7"/>
        <v>0.99864699999999995</v>
      </c>
      <c r="E55" s="12">
        <v>1.353E-3</v>
      </c>
    </row>
    <row r="56" spans="1:7" ht="15.75" thickBot="1" x14ac:dyDescent="0.3">
      <c r="A56" s="9"/>
      <c r="B56" s="9">
        <v>423.15</v>
      </c>
      <c r="C56" s="9">
        <v>8.7100000000000009</v>
      </c>
      <c r="D56" s="15">
        <f t="shared" si="7"/>
        <v>0.99840499999999999</v>
      </c>
      <c r="E56" s="15">
        <v>1.5950000000000001E-3</v>
      </c>
      <c r="F56" s="9"/>
      <c r="G56" s="9"/>
    </row>
    <row r="57" spans="1:7" x14ac:dyDescent="0.25">
      <c r="A57" s="18" t="s">
        <v>76</v>
      </c>
      <c r="B57" s="8">
        <f>25+273.15</f>
        <v>298.14999999999998</v>
      </c>
      <c r="C57" s="24">
        <f>101325/1000000</f>
        <v>0.101325</v>
      </c>
      <c r="D57" s="12">
        <f>1-E57</f>
        <v>0.99998620000000005</v>
      </c>
      <c r="E57" s="12">
        <f>0.0000138</f>
        <v>1.38E-5</v>
      </c>
    </row>
    <row r="58" spans="1:7" x14ac:dyDescent="0.25">
      <c r="B58" s="8">
        <f>40+273.15</f>
        <v>313.14999999999998</v>
      </c>
      <c r="C58" s="24">
        <f t="shared" ref="C58:C60" si="8">101325/1000000</f>
        <v>0.101325</v>
      </c>
      <c r="D58" s="12">
        <f t="shared" ref="D58:D60" si="9">1-E58</f>
        <v>0.99998640000000005</v>
      </c>
      <c r="E58" s="12">
        <f>0.0000136</f>
        <v>1.36E-5</v>
      </c>
    </row>
    <row r="59" spans="1:7" x14ac:dyDescent="0.25">
      <c r="B59" s="8">
        <f>60+273.15</f>
        <v>333.15</v>
      </c>
      <c r="C59" s="24">
        <f t="shared" si="8"/>
        <v>0.101325</v>
      </c>
      <c r="D59" s="12">
        <f t="shared" si="9"/>
        <v>0.99998690000000001</v>
      </c>
      <c r="E59" s="12">
        <f>0.0000131</f>
        <v>1.31E-5</v>
      </c>
    </row>
    <row r="60" spans="1:7" ht="15.75" thickBot="1" x14ac:dyDescent="0.3">
      <c r="A60" s="9"/>
      <c r="B60" s="9">
        <f>80+273.15</f>
        <v>353.15</v>
      </c>
      <c r="C60" s="23">
        <f t="shared" si="8"/>
        <v>0.101325</v>
      </c>
      <c r="D60" s="15">
        <f t="shared" si="9"/>
        <v>0.99998620000000005</v>
      </c>
      <c r="E60" s="15">
        <f>0.0000138</f>
        <v>1.38E-5</v>
      </c>
      <c r="F60" s="9"/>
      <c r="G60" s="9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8CD51-6BF7-481A-A935-D0CCFEAACF48}">
  <sheetPr codeName="Hoja14"/>
  <dimension ref="A1:I12"/>
  <sheetViews>
    <sheetView workbookViewId="0">
      <pane ySplit="1" topLeftCell="A2" activePane="bottomLeft" state="frozen"/>
      <selection pane="bottomLeft" activeCell="I1" sqref="I1"/>
    </sheetView>
  </sheetViews>
  <sheetFormatPr defaultColWidth="11.5703125" defaultRowHeight="15" x14ac:dyDescent="0.25"/>
  <cols>
    <col min="1" max="1" width="18" style="8" bestFit="1" customWidth="1"/>
    <col min="2" max="2" width="7" style="8" bestFit="1" customWidth="1"/>
    <col min="3" max="3" width="7.7109375" style="8" bestFit="1" customWidth="1"/>
    <col min="4" max="4" width="16.140625" style="8" bestFit="1" customWidth="1"/>
    <col min="5" max="5" width="9.42578125" style="8" bestFit="1" customWidth="1"/>
    <col min="6" max="6" width="16.140625" style="8" bestFit="1" customWidth="1"/>
    <col min="7" max="7" width="9.42578125" style="8" bestFit="1" customWidth="1"/>
    <col min="9" max="9" width="18" bestFit="1" customWidth="1"/>
  </cols>
  <sheetData>
    <row r="1" spans="1:9" ht="18" x14ac:dyDescent="0.25">
      <c r="A1" s="8" t="s">
        <v>0</v>
      </c>
      <c r="B1" s="10" t="s">
        <v>3</v>
      </c>
      <c r="C1" s="12" t="s">
        <v>4</v>
      </c>
      <c r="D1" s="8" t="s">
        <v>31</v>
      </c>
      <c r="E1" s="8" t="s">
        <v>2</v>
      </c>
      <c r="F1" s="8" t="s">
        <v>32</v>
      </c>
      <c r="G1" s="8" t="s">
        <v>7</v>
      </c>
      <c r="I1" s="8" t="s">
        <v>0</v>
      </c>
    </row>
    <row r="2" spans="1:9" x14ac:dyDescent="0.25">
      <c r="A2" s="18" t="s">
        <v>77</v>
      </c>
      <c r="B2" s="8">
        <v>273.14999999999998</v>
      </c>
      <c r="C2" s="12">
        <v>3.0397500000000002</v>
      </c>
      <c r="D2" s="10">
        <f>1-E2</f>
        <v>0.98799999999999999</v>
      </c>
      <c r="E2" s="10">
        <v>1.2E-2</v>
      </c>
      <c r="F2" s="10">
        <f>1-G2</f>
        <v>0.41200000000000003</v>
      </c>
      <c r="G2" s="10">
        <v>0.58799999999999997</v>
      </c>
      <c r="I2" t="s">
        <v>77</v>
      </c>
    </row>
    <row r="3" spans="1:9" x14ac:dyDescent="0.25">
      <c r="B3" s="8">
        <v>273.14999999999998</v>
      </c>
      <c r="C3" s="12">
        <v>5.0662500000000001</v>
      </c>
      <c r="D3" s="10">
        <f t="shared" ref="D3:D12" si="0">1-E3</f>
        <v>0.98</v>
      </c>
      <c r="E3" s="10">
        <v>0.02</v>
      </c>
      <c r="F3" s="10">
        <f t="shared" ref="F3:F12" si="1">1-G3</f>
        <v>0.25900000000000001</v>
      </c>
      <c r="G3" s="10">
        <v>0.74099999999999999</v>
      </c>
    </row>
    <row r="4" spans="1:9" x14ac:dyDescent="0.25">
      <c r="B4" s="8">
        <f>273.15-15</f>
        <v>258.14999999999998</v>
      </c>
      <c r="C4" s="12">
        <v>1.01325</v>
      </c>
      <c r="D4" s="10">
        <f t="shared" si="0"/>
        <v>0.997</v>
      </c>
      <c r="E4" s="10">
        <v>3.0000000000000001E-3</v>
      </c>
      <c r="F4" s="10">
        <f t="shared" si="1"/>
        <v>0.67799999999999994</v>
      </c>
      <c r="G4" s="10">
        <v>0.32200000000000001</v>
      </c>
    </row>
    <row r="5" spans="1:9" x14ac:dyDescent="0.25">
      <c r="B5" s="8">
        <f t="shared" ref="B5:B7" si="2">273.15-15</f>
        <v>258.14999999999998</v>
      </c>
      <c r="C5" s="12">
        <v>2.0265</v>
      </c>
      <c r="D5" s="10">
        <f t="shared" si="0"/>
        <v>0.99399999999999999</v>
      </c>
      <c r="E5" s="10">
        <v>6.0000000000000001E-3</v>
      </c>
      <c r="F5" s="10">
        <f t="shared" si="1"/>
        <v>0.372</v>
      </c>
      <c r="G5" s="10">
        <v>0.628</v>
      </c>
    </row>
    <row r="6" spans="1:9" x14ac:dyDescent="0.25">
      <c r="B6" s="8">
        <f t="shared" si="2"/>
        <v>258.14999999999998</v>
      </c>
      <c r="C6" s="12">
        <v>3.0397500000000002</v>
      </c>
      <c r="D6" s="10">
        <f t="shared" si="0"/>
        <v>0.99199999999999999</v>
      </c>
      <c r="E6" s="10">
        <v>8.0000000000000002E-3</v>
      </c>
      <c r="F6" s="10">
        <f t="shared" si="1"/>
        <v>0.23699999999999999</v>
      </c>
      <c r="G6" s="10">
        <v>0.76300000000000001</v>
      </c>
    </row>
    <row r="7" spans="1:9" x14ac:dyDescent="0.25">
      <c r="B7" s="8">
        <f t="shared" si="2"/>
        <v>258.14999999999998</v>
      </c>
      <c r="C7" s="12">
        <v>5.0662500000000001</v>
      </c>
      <c r="D7" s="10">
        <f t="shared" si="0"/>
        <v>0.98399999999999999</v>
      </c>
      <c r="E7" s="10">
        <v>1.6E-2</v>
      </c>
      <c r="F7" s="10">
        <f t="shared" si="1"/>
        <v>0.14500000000000002</v>
      </c>
      <c r="G7" s="10">
        <v>0.85499999999999998</v>
      </c>
    </row>
    <row r="8" spans="1:9" x14ac:dyDescent="0.25">
      <c r="B8" s="8">
        <f>273.15-30</f>
        <v>243.14999999999998</v>
      </c>
      <c r="C8" s="12">
        <v>1.01325</v>
      </c>
      <c r="D8" s="10">
        <f t="shared" si="0"/>
        <v>0.998</v>
      </c>
      <c r="E8" s="10">
        <v>2E-3</v>
      </c>
      <c r="F8" s="10">
        <f t="shared" si="1"/>
        <v>0.35299999999999998</v>
      </c>
      <c r="G8" s="10">
        <v>0.64700000000000002</v>
      </c>
    </row>
    <row r="9" spans="1:9" x14ac:dyDescent="0.25">
      <c r="B9" s="8">
        <f t="shared" ref="B9:B12" si="3">273.15-30</f>
        <v>243.14999999999998</v>
      </c>
      <c r="C9" s="12">
        <v>2.0265</v>
      </c>
      <c r="D9" s="10">
        <f t="shared" si="0"/>
        <v>0.997</v>
      </c>
      <c r="E9" s="10">
        <v>3.0000000000000001E-3</v>
      </c>
      <c r="F9" s="10">
        <f t="shared" si="1"/>
        <v>0.128</v>
      </c>
      <c r="G9" s="10">
        <v>0.872</v>
      </c>
    </row>
    <row r="10" spans="1:9" x14ac:dyDescent="0.25">
      <c r="B10" s="8">
        <f t="shared" si="3"/>
        <v>243.14999999999998</v>
      </c>
      <c r="C10" s="12">
        <v>3.0397500000000002</v>
      </c>
      <c r="D10" s="10">
        <f t="shared" si="0"/>
        <v>0.995</v>
      </c>
      <c r="E10" s="10">
        <v>5.0000000000000001E-3</v>
      </c>
      <c r="F10" s="10">
        <f t="shared" si="1"/>
        <v>0.13500000000000001</v>
      </c>
      <c r="G10" s="10">
        <v>0.86499999999999999</v>
      </c>
    </row>
    <row r="11" spans="1:9" x14ac:dyDescent="0.25">
      <c r="B11" s="8">
        <f t="shared" si="3"/>
        <v>243.14999999999998</v>
      </c>
      <c r="C11" s="12">
        <v>4.0529999999999999</v>
      </c>
      <c r="D11" s="10">
        <f t="shared" si="0"/>
        <v>0.99199999999999999</v>
      </c>
      <c r="E11" s="10">
        <v>8.0000000000000002E-3</v>
      </c>
      <c r="F11" s="10">
        <f t="shared" si="1"/>
        <v>9.7999999999999976E-2</v>
      </c>
      <c r="G11" s="10">
        <v>0.90200000000000002</v>
      </c>
    </row>
    <row r="12" spans="1:9" ht="15.75" thickBot="1" x14ac:dyDescent="0.3">
      <c r="A12" s="9"/>
      <c r="B12" s="9">
        <f t="shared" si="3"/>
        <v>243.14999999999998</v>
      </c>
      <c r="C12" s="15">
        <v>5.0662500000000001</v>
      </c>
      <c r="D12" s="11">
        <f t="shared" si="0"/>
        <v>0.99</v>
      </c>
      <c r="E12" s="11">
        <v>0.01</v>
      </c>
      <c r="F12" s="11">
        <f t="shared" si="1"/>
        <v>9.099999999999997E-2</v>
      </c>
      <c r="G12" s="11">
        <v>0.90900000000000003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FCF2-B901-4B0D-AE90-229C462AF514}">
  <sheetPr codeName="Hoja15"/>
  <dimension ref="A1:I269"/>
  <sheetViews>
    <sheetView workbookViewId="0">
      <pane ySplit="1" topLeftCell="A2" activePane="bottomLeft" state="frozen"/>
      <selection pane="bottomLeft" activeCell="I1" sqref="I1"/>
    </sheetView>
  </sheetViews>
  <sheetFormatPr defaultColWidth="11.42578125" defaultRowHeight="15" x14ac:dyDescent="0.25"/>
  <cols>
    <col min="1" max="1" width="19.42578125" style="8" bestFit="1" customWidth="1"/>
    <col min="2" max="2" width="6" style="8" bestFit="1" customWidth="1"/>
    <col min="3" max="3" width="8.5703125" style="8" bestFit="1" customWidth="1"/>
    <col min="4" max="4" width="7.28515625" style="8" bestFit="1" customWidth="1"/>
    <col min="5" max="5" width="9.42578125" style="8" bestFit="1" customWidth="1"/>
    <col min="6" max="6" width="7.28515625" style="8" bestFit="1" customWidth="1"/>
    <col min="7" max="7" width="9.42578125" style="8" bestFit="1" customWidth="1"/>
    <col min="9" max="9" width="19.42578125" bestFit="1" customWidth="1"/>
  </cols>
  <sheetData>
    <row r="1" spans="1:9" ht="18" x14ac:dyDescent="0.25">
      <c r="A1" s="8" t="s">
        <v>0</v>
      </c>
      <c r="B1" s="10" t="s">
        <v>3</v>
      </c>
      <c r="C1" s="12" t="s">
        <v>4</v>
      </c>
      <c r="D1" s="8" t="s">
        <v>33</v>
      </c>
      <c r="E1" s="8" t="s">
        <v>2</v>
      </c>
      <c r="F1" s="8" t="s">
        <v>34</v>
      </c>
      <c r="G1" s="8" t="s">
        <v>7</v>
      </c>
      <c r="I1" s="8" t="s">
        <v>0</v>
      </c>
    </row>
    <row r="2" spans="1:9" x14ac:dyDescent="0.25">
      <c r="A2" s="18" t="s">
        <v>80</v>
      </c>
      <c r="B2" s="13">
        <v>20.399999999999999</v>
      </c>
      <c r="C2" s="12">
        <v>0.23924764544464208</v>
      </c>
      <c r="D2" s="14">
        <f>1-E2</f>
        <v>2.3000000000000798E-3</v>
      </c>
      <c r="E2" s="14">
        <v>0.99769999999999992</v>
      </c>
      <c r="F2" s="14">
        <f>1-G2</f>
        <v>0.49399999999999999</v>
      </c>
      <c r="G2" s="14">
        <v>0.50600000000000001</v>
      </c>
      <c r="I2" t="s">
        <v>80</v>
      </c>
    </row>
    <row r="3" spans="1:9" x14ac:dyDescent="0.25">
      <c r="B3" s="13">
        <v>20.399999999999999</v>
      </c>
      <c r="C3" s="12">
        <v>0.34818461368744741</v>
      </c>
      <c r="D3" s="14">
        <f t="shared" ref="D3:D61" si="0">1-E3</f>
        <v>5.8000000000000274E-3</v>
      </c>
      <c r="E3" s="14">
        <v>0.99419999999999997</v>
      </c>
      <c r="F3" s="14">
        <f t="shared" ref="F3:F61" si="1">1-G3</f>
        <v>0.62790000000000001</v>
      </c>
      <c r="G3" s="14">
        <v>0.37209999999999999</v>
      </c>
      <c r="I3" t="s">
        <v>82</v>
      </c>
    </row>
    <row r="4" spans="1:9" x14ac:dyDescent="0.25">
      <c r="B4" s="13">
        <v>20.399999999999999</v>
      </c>
      <c r="C4" s="12">
        <v>0.51710586191205055</v>
      </c>
      <c r="D4" s="14">
        <f t="shared" si="0"/>
        <v>5.9999999999998943E-3</v>
      </c>
      <c r="E4" s="14">
        <v>0.99400000000000011</v>
      </c>
      <c r="F4" s="14">
        <f t="shared" si="1"/>
        <v>0.72799999999999998</v>
      </c>
      <c r="G4" s="14">
        <v>0.27200000000000002</v>
      </c>
      <c r="I4" t="s">
        <v>78</v>
      </c>
    </row>
    <row r="5" spans="1:9" x14ac:dyDescent="0.25">
      <c r="B5" s="13">
        <v>20.399999999999999</v>
      </c>
      <c r="C5" s="12">
        <v>0.6894744825494008</v>
      </c>
      <c r="D5" s="14">
        <f t="shared" si="0"/>
        <v>8.700000000000041E-3</v>
      </c>
      <c r="E5" s="14">
        <v>0.99129999999999996</v>
      </c>
      <c r="F5" s="14">
        <f t="shared" si="1"/>
        <v>0.78210000000000002</v>
      </c>
      <c r="G5" s="14">
        <v>0.21789999999999998</v>
      </c>
      <c r="I5" t="s">
        <v>79</v>
      </c>
    </row>
    <row r="6" spans="1:9" x14ac:dyDescent="0.25">
      <c r="B6" s="13">
        <v>20.399999999999999</v>
      </c>
      <c r="C6" s="12">
        <v>0.86184310318675095</v>
      </c>
      <c r="D6" s="14">
        <f t="shared" si="0"/>
        <v>1.0199999999999987E-2</v>
      </c>
      <c r="E6" s="14">
        <v>0.98980000000000001</v>
      </c>
      <c r="F6" s="14">
        <f t="shared" si="1"/>
        <v>0.80830000000000002</v>
      </c>
      <c r="G6" s="14">
        <v>0.19170000000000001</v>
      </c>
      <c r="I6" t="s">
        <v>81</v>
      </c>
    </row>
    <row r="7" spans="1:9" x14ac:dyDescent="0.25">
      <c r="B7" s="13">
        <v>20.399999999999999</v>
      </c>
      <c r="C7" s="12">
        <v>1.0342117238241011</v>
      </c>
      <c r="D7" s="14">
        <f t="shared" si="0"/>
        <v>1.1700000000000044E-2</v>
      </c>
      <c r="E7" s="14">
        <v>0.98829999999999996</v>
      </c>
      <c r="F7" s="14">
        <f t="shared" si="1"/>
        <v>0.83</v>
      </c>
      <c r="G7" s="14">
        <v>0.17</v>
      </c>
    </row>
    <row r="8" spans="1:9" x14ac:dyDescent="0.25">
      <c r="B8" s="13">
        <v>20.399999999999999</v>
      </c>
      <c r="C8" s="12">
        <v>1.2065803444614513</v>
      </c>
      <c r="D8" s="14">
        <f t="shared" si="0"/>
        <v>1.5499999999999958E-2</v>
      </c>
      <c r="E8" s="14">
        <v>0.98450000000000004</v>
      </c>
      <c r="F8" s="14">
        <f t="shared" si="1"/>
        <v>0.84709999999999996</v>
      </c>
      <c r="G8" s="14">
        <v>0.15289999999999998</v>
      </c>
    </row>
    <row r="9" spans="1:9" x14ac:dyDescent="0.25">
      <c r="B9" s="13">
        <v>20.399999999999999</v>
      </c>
      <c r="C9" s="12">
        <v>1.3789489650988016</v>
      </c>
      <c r="D9" s="14">
        <f t="shared" si="0"/>
        <v>1.7699999999999938E-2</v>
      </c>
      <c r="E9" s="14">
        <v>0.98230000000000006</v>
      </c>
      <c r="F9" s="14">
        <f t="shared" si="1"/>
        <v>0.8579</v>
      </c>
      <c r="G9" s="14">
        <v>0.1421</v>
      </c>
    </row>
    <row r="10" spans="1:9" x14ac:dyDescent="0.25">
      <c r="B10" s="13">
        <v>20.399999999999999</v>
      </c>
      <c r="C10" s="12">
        <v>1.7236862063735019</v>
      </c>
      <c r="D10" s="14">
        <f t="shared" si="0"/>
        <v>1.9199999999999995E-2</v>
      </c>
      <c r="E10" s="14">
        <v>0.98080000000000001</v>
      </c>
      <c r="F10" s="14"/>
      <c r="G10" s="14"/>
    </row>
    <row r="11" spans="1:9" x14ac:dyDescent="0.25">
      <c r="B11" s="13">
        <v>20.399999999999999</v>
      </c>
      <c r="C11" s="12"/>
      <c r="D11" s="14">
        <f t="shared" si="0"/>
        <v>2.0400000000000085E-2</v>
      </c>
      <c r="E11" s="14">
        <v>0.97959999999999992</v>
      </c>
      <c r="F11" s="14">
        <f t="shared" si="1"/>
        <v>0.86640000000000006</v>
      </c>
      <c r="G11" s="14">
        <v>0.1336</v>
      </c>
    </row>
    <row r="12" spans="1:9" x14ac:dyDescent="0.25">
      <c r="B12" s="13">
        <v>20.399999999999999</v>
      </c>
      <c r="C12" s="12">
        <v>2.0684234476482022</v>
      </c>
      <c r="D12" s="14">
        <f t="shared" si="0"/>
        <v>2.2499999999999964E-2</v>
      </c>
      <c r="E12" s="14">
        <v>0.97750000000000004</v>
      </c>
      <c r="F12" s="14">
        <f t="shared" si="1"/>
        <v>0.878</v>
      </c>
      <c r="G12" s="14">
        <v>0.122</v>
      </c>
    </row>
    <row r="13" spans="1:9" x14ac:dyDescent="0.25">
      <c r="B13" s="13">
        <v>20.399999999999999</v>
      </c>
      <c r="C13" s="12">
        <v>2.7578979301976032</v>
      </c>
      <c r="D13" s="14">
        <f t="shared" si="0"/>
        <v>2.6599999999999957E-2</v>
      </c>
      <c r="E13" s="14">
        <v>0.97340000000000004</v>
      </c>
      <c r="F13" s="14">
        <f t="shared" si="1"/>
        <v>0.88719999999999999</v>
      </c>
      <c r="G13" s="14">
        <v>0.1128</v>
      </c>
    </row>
    <row r="14" spans="1:9" x14ac:dyDescent="0.25">
      <c r="B14" s="13">
        <v>20.399999999999999</v>
      </c>
      <c r="C14" s="12"/>
      <c r="D14" s="14">
        <f t="shared" si="0"/>
        <v>2.9399999999999982E-2</v>
      </c>
      <c r="E14" s="14">
        <v>0.97060000000000002</v>
      </c>
      <c r="F14" s="14">
        <f t="shared" si="1"/>
        <v>0.88559999999999994</v>
      </c>
      <c r="G14" s="14">
        <v>0.1144</v>
      </c>
    </row>
    <row r="15" spans="1:9" x14ac:dyDescent="0.25">
      <c r="B15" s="13">
        <v>20.399999999999999</v>
      </c>
      <c r="C15" s="12">
        <v>3.4473724127470038</v>
      </c>
      <c r="D15" s="14">
        <f t="shared" si="0"/>
        <v>3.0799999999999939E-2</v>
      </c>
      <c r="E15" s="14">
        <v>0.96920000000000006</v>
      </c>
      <c r="F15" s="14"/>
      <c r="G15" s="14"/>
    </row>
    <row r="16" spans="1:9" x14ac:dyDescent="0.25">
      <c r="B16" s="13">
        <v>20.399999999999999</v>
      </c>
      <c r="C16" s="12"/>
      <c r="D16" s="14">
        <f t="shared" si="0"/>
        <v>3.1599999999999961E-2</v>
      </c>
      <c r="E16" s="14">
        <v>0.96840000000000004</v>
      </c>
      <c r="F16" s="14">
        <f t="shared" si="1"/>
        <v>0.8599</v>
      </c>
      <c r="G16" s="14">
        <v>0.1401</v>
      </c>
    </row>
    <row r="17" spans="2:7" x14ac:dyDescent="0.25">
      <c r="B17" s="13">
        <v>23</v>
      </c>
      <c r="C17" s="12">
        <v>0.4447110412443635</v>
      </c>
      <c r="D17" s="14">
        <f t="shared" si="0"/>
        <v>5.4000000000000714E-3</v>
      </c>
      <c r="E17" s="14">
        <v>0.99459999999999993</v>
      </c>
      <c r="F17" s="14">
        <f t="shared" si="1"/>
        <v>0.45599999999999996</v>
      </c>
      <c r="G17" s="14">
        <v>0.54400000000000004</v>
      </c>
    </row>
    <row r="18" spans="2:7" x14ac:dyDescent="0.25">
      <c r="B18" s="13">
        <v>23</v>
      </c>
      <c r="C18" s="12">
        <v>0.51710586191205055</v>
      </c>
      <c r="D18" s="14">
        <f t="shared" si="0"/>
        <v>6.5000000000000613E-3</v>
      </c>
      <c r="E18" s="14">
        <v>0.99349999999999994</v>
      </c>
      <c r="F18" s="14">
        <f t="shared" si="1"/>
        <v>0.52200000000000002</v>
      </c>
      <c r="G18" s="14">
        <v>0.47799999999999998</v>
      </c>
    </row>
    <row r="19" spans="2:7" x14ac:dyDescent="0.25">
      <c r="B19" s="13">
        <v>23</v>
      </c>
      <c r="C19" s="12">
        <v>0.69636922737489482</v>
      </c>
      <c r="D19" s="14">
        <f t="shared" si="0"/>
        <v>1.0499999999999954E-2</v>
      </c>
      <c r="E19" s="14">
        <v>0.98950000000000005</v>
      </c>
      <c r="F19" s="14">
        <f t="shared" si="1"/>
        <v>0.61699999999999999</v>
      </c>
      <c r="G19" s="14">
        <v>0.38299999999999995</v>
      </c>
    </row>
    <row r="20" spans="2:7" x14ac:dyDescent="0.25">
      <c r="B20" s="13">
        <v>23</v>
      </c>
      <c r="C20" s="12">
        <v>0.86184310318675095</v>
      </c>
      <c r="D20" s="14">
        <f t="shared" si="0"/>
        <v>1.3799999999999923E-2</v>
      </c>
      <c r="E20" s="14">
        <v>0.98620000000000008</v>
      </c>
      <c r="F20" s="14">
        <f t="shared" si="1"/>
        <v>0.66999999999999993</v>
      </c>
      <c r="G20" s="14">
        <v>0.33</v>
      </c>
    </row>
    <row r="21" spans="2:7" x14ac:dyDescent="0.25">
      <c r="B21" s="13">
        <v>23</v>
      </c>
      <c r="C21" s="12">
        <v>1.0376590962368482</v>
      </c>
      <c r="D21" s="14">
        <f t="shared" si="0"/>
        <v>1.749999999999996E-2</v>
      </c>
      <c r="E21" s="14">
        <v>0.98250000000000004</v>
      </c>
      <c r="F21" s="14">
        <f t="shared" si="1"/>
        <v>0.70899999999999996</v>
      </c>
      <c r="G21" s="14">
        <v>0.29100000000000004</v>
      </c>
    </row>
    <row r="22" spans="2:7" x14ac:dyDescent="0.25">
      <c r="B22" s="13">
        <v>23</v>
      </c>
      <c r="C22" s="12">
        <v>1.2065803444614513</v>
      </c>
      <c r="D22" s="14">
        <f t="shared" si="0"/>
        <v>2.2699999999999942E-2</v>
      </c>
      <c r="E22" s="14">
        <v>0.97730000000000006</v>
      </c>
      <c r="F22" s="14">
        <f t="shared" si="1"/>
        <v>0.73499999999999999</v>
      </c>
      <c r="G22" s="14">
        <v>0.26500000000000001</v>
      </c>
    </row>
    <row r="23" spans="2:7" x14ac:dyDescent="0.25">
      <c r="B23" s="13">
        <v>23</v>
      </c>
      <c r="C23" s="12">
        <v>1.3789489650988016</v>
      </c>
      <c r="D23" s="14">
        <f t="shared" si="0"/>
        <v>2.4000000000000021E-2</v>
      </c>
      <c r="E23" s="14">
        <v>0.97599999999999998</v>
      </c>
      <c r="F23" s="14">
        <f t="shared" si="1"/>
        <v>0.75350000000000006</v>
      </c>
      <c r="G23" s="14">
        <v>0.2465</v>
      </c>
    </row>
    <row r="24" spans="2:7" x14ac:dyDescent="0.25">
      <c r="B24" s="13">
        <v>23</v>
      </c>
      <c r="C24" s="12">
        <v>1.7236862063735019</v>
      </c>
      <c r="D24" s="14">
        <f t="shared" si="0"/>
        <v>3.0000000000000027E-2</v>
      </c>
      <c r="E24" s="14">
        <v>0.97</v>
      </c>
      <c r="F24" s="14">
        <f t="shared" si="1"/>
        <v>0.77900000000000003</v>
      </c>
      <c r="G24" s="14">
        <v>0.221</v>
      </c>
    </row>
    <row r="25" spans="2:7" x14ac:dyDescent="0.25">
      <c r="B25" s="13">
        <v>23</v>
      </c>
      <c r="C25" s="12">
        <v>2.0684234476482022</v>
      </c>
      <c r="D25" s="14">
        <f t="shared" si="0"/>
        <v>3.6500000000000088E-2</v>
      </c>
      <c r="E25" s="14">
        <v>0.96349999999999991</v>
      </c>
      <c r="F25" s="14">
        <f t="shared" si="1"/>
        <v>0.79500000000000004</v>
      </c>
      <c r="G25" s="14">
        <v>0.20499999999999999</v>
      </c>
    </row>
    <row r="26" spans="2:7" x14ac:dyDescent="0.25">
      <c r="B26" s="13">
        <v>23</v>
      </c>
      <c r="C26" s="12">
        <v>2.7578979301976032</v>
      </c>
      <c r="D26" s="14">
        <f t="shared" si="0"/>
        <v>4.7300000000000009E-2</v>
      </c>
      <c r="E26" s="14">
        <v>0.95269999999999999</v>
      </c>
      <c r="F26" s="14">
        <f t="shared" si="1"/>
        <v>0.79100000000000004</v>
      </c>
      <c r="G26" s="14">
        <v>0.20899999999999999</v>
      </c>
    </row>
    <row r="27" spans="2:7" x14ac:dyDescent="0.25">
      <c r="B27" s="13">
        <v>23</v>
      </c>
      <c r="C27" s="12">
        <v>3.4473724127470038</v>
      </c>
      <c r="D27" s="14">
        <f t="shared" si="0"/>
        <v>5.6200000000000028E-2</v>
      </c>
      <c r="E27" s="14">
        <v>0.94379999999999997</v>
      </c>
      <c r="F27" s="14">
        <f t="shared" si="1"/>
        <v>0.82499999999999996</v>
      </c>
      <c r="G27" s="14">
        <v>0.17499999999999999</v>
      </c>
    </row>
    <row r="28" spans="2:7" x14ac:dyDescent="0.25">
      <c r="B28" s="13">
        <v>26</v>
      </c>
      <c r="C28" s="12">
        <v>0.6894744825494008</v>
      </c>
      <c r="D28" s="14">
        <f t="shared" si="0"/>
        <v>7.9000000000000181E-3</v>
      </c>
      <c r="E28" s="14">
        <v>0.99209999999999998</v>
      </c>
      <c r="F28" s="14">
        <f t="shared" si="1"/>
        <v>0.29659999999999997</v>
      </c>
      <c r="G28" s="14">
        <v>0.70340000000000003</v>
      </c>
    </row>
    <row r="29" spans="2:7" x14ac:dyDescent="0.25">
      <c r="B29" s="13">
        <v>26</v>
      </c>
      <c r="C29" s="12">
        <v>1.0342117238241011</v>
      </c>
      <c r="D29" s="14">
        <f t="shared" si="0"/>
        <v>2.0000000000000018E-2</v>
      </c>
      <c r="E29" s="14">
        <v>0.98</v>
      </c>
      <c r="F29" s="14">
        <f t="shared" si="1"/>
        <v>0.45569999999999999</v>
      </c>
      <c r="G29" s="14">
        <v>0.54430000000000001</v>
      </c>
    </row>
    <row r="30" spans="2:7" x14ac:dyDescent="0.25">
      <c r="B30" s="13">
        <v>26</v>
      </c>
      <c r="C30" s="12">
        <v>1.3789489650988016</v>
      </c>
      <c r="D30" s="14">
        <f t="shared" si="0"/>
        <v>3.0299999999999994E-2</v>
      </c>
      <c r="E30" s="14">
        <v>0.96970000000000001</v>
      </c>
      <c r="F30" s="14">
        <f t="shared" si="1"/>
        <v>0.53549999999999998</v>
      </c>
      <c r="G30" s="14">
        <v>0.46450000000000002</v>
      </c>
    </row>
    <row r="31" spans="2:7" x14ac:dyDescent="0.25">
      <c r="B31" s="13">
        <v>26</v>
      </c>
      <c r="C31" s="12">
        <v>1.7236862063735019</v>
      </c>
      <c r="D31" s="14">
        <f t="shared" si="0"/>
        <v>3.6700000000000066E-2</v>
      </c>
      <c r="E31" s="14">
        <v>0.96329999999999993</v>
      </c>
      <c r="F31" s="14">
        <f t="shared" si="1"/>
        <v>0.58770000000000011</v>
      </c>
      <c r="G31" s="14">
        <v>0.41229999999999994</v>
      </c>
    </row>
    <row r="32" spans="2:7" x14ac:dyDescent="0.25">
      <c r="B32" s="13">
        <v>26</v>
      </c>
      <c r="C32" s="12"/>
      <c r="D32" s="14">
        <f t="shared" si="0"/>
        <v>3.9000000000000035E-2</v>
      </c>
      <c r="E32" s="14">
        <v>0.96099999999999997</v>
      </c>
      <c r="F32" s="14">
        <f t="shared" si="1"/>
        <v>0.59519999999999995</v>
      </c>
      <c r="G32" s="14">
        <v>0.40479999999999999</v>
      </c>
    </row>
    <row r="33" spans="2:7" x14ac:dyDescent="0.25">
      <c r="B33" s="13">
        <v>26</v>
      </c>
      <c r="C33" s="12">
        <v>2.0684234476482022</v>
      </c>
      <c r="D33" s="14">
        <f t="shared" si="0"/>
        <v>5.0799999999999956E-2</v>
      </c>
      <c r="E33" s="14">
        <v>0.94920000000000004</v>
      </c>
      <c r="F33" s="14">
        <f t="shared" si="1"/>
        <v>0.63</v>
      </c>
      <c r="G33" s="14">
        <v>0.37</v>
      </c>
    </row>
    <row r="34" spans="2:7" x14ac:dyDescent="0.25">
      <c r="B34" s="13">
        <v>26</v>
      </c>
      <c r="C34" s="12">
        <v>2.7578979301976032</v>
      </c>
      <c r="D34" s="14">
        <f>1-E34</f>
        <v>5.9499999999999997E-2</v>
      </c>
      <c r="E34" s="14">
        <v>0.9405</v>
      </c>
      <c r="F34" s="14">
        <f t="shared" si="1"/>
        <v>0.66510000000000002</v>
      </c>
      <c r="G34" s="14">
        <v>0.33490000000000003</v>
      </c>
    </row>
    <row r="35" spans="2:7" x14ac:dyDescent="0.25">
      <c r="B35" s="13">
        <v>26</v>
      </c>
      <c r="C35" s="12"/>
      <c r="D35" s="14">
        <f t="shared" si="0"/>
        <v>6.370000000000009E-2</v>
      </c>
      <c r="E35" s="14">
        <v>0.93629999999999991</v>
      </c>
      <c r="F35" s="14">
        <f t="shared" si="1"/>
        <v>0.65049999999999997</v>
      </c>
      <c r="G35" s="14">
        <v>0.34950000000000003</v>
      </c>
    </row>
    <row r="36" spans="2:7" x14ac:dyDescent="0.25">
      <c r="B36" s="13">
        <v>26</v>
      </c>
      <c r="C36" s="12">
        <v>3.4473724127470038</v>
      </c>
      <c r="D36" s="14">
        <f t="shared" si="0"/>
        <v>7.8199999999999936E-2</v>
      </c>
      <c r="E36" s="14">
        <v>0.92180000000000006</v>
      </c>
      <c r="F36" s="14">
        <f t="shared" si="1"/>
        <v>0.67149999999999999</v>
      </c>
      <c r="G36" s="14">
        <v>0.32850000000000001</v>
      </c>
    </row>
    <row r="37" spans="2:7" x14ac:dyDescent="0.25">
      <c r="B37" s="13">
        <v>26</v>
      </c>
      <c r="C37" s="12"/>
      <c r="D37" s="14">
        <f t="shared" si="0"/>
        <v>8.0999999999999961E-2</v>
      </c>
      <c r="E37" s="14">
        <v>0.91900000000000004</v>
      </c>
      <c r="F37" s="14">
        <f t="shared" si="1"/>
        <v>0.6804</v>
      </c>
      <c r="G37" s="14">
        <v>0.3196</v>
      </c>
    </row>
    <row r="38" spans="2:7" x14ac:dyDescent="0.25">
      <c r="B38" s="13">
        <v>29</v>
      </c>
      <c r="C38" s="12">
        <v>0.97905376522014909</v>
      </c>
      <c r="D38" s="14">
        <f t="shared" si="0"/>
        <v>1.1900000000000022E-2</v>
      </c>
      <c r="E38" s="14">
        <v>0.98809999999999998</v>
      </c>
      <c r="F38" s="14">
        <f t="shared" si="1"/>
        <v>0.17599999999999993</v>
      </c>
      <c r="G38" s="14">
        <v>0.82400000000000007</v>
      </c>
    </row>
    <row r="39" spans="2:7" x14ac:dyDescent="0.25">
      <c r="B39" s="13">
        <v>29</v>
      </c>
      <c r="C39" s="12">
        <v>1.2031329720487043</v>
      </c>
      <c r="D39" s="14">
        <f t="shared" si="0"/>
        <v>2.2199999999999998E-2</v>
      </c>
      <c r="E39" s="14">
        <v>0.9778</v>
      </c>
      <c r="F39" s="14">
        <f t="shared" si="1"/>
        <v>0.26150000000000007</v>
      </c>
      <c r="G39" s="14">
        <v>0.73849999999999993</v>
      </c>
    </row>
    <row r="40" spans="2:7" x14ac:dyDescent="0.25">
      <c r="B40" s="13">
        <v>29</v>
      </c>
      <c r="C40" s="12">
        <v>1.3789489650988016</v>
      </c>
      <c r="D40" s="14">
        <f t="shared" si="0"/>
        <v>3.0499999999999972E-2</v>
      </c>
      <c r="E40" s="14">
        <v>0.96950000000000003</v>
      </c>
      <c r="F40" s="14">
        <f t="shared" si="1"/>
        <v>0.31150000000000011</v>
      </c>
      <c r="G40" s="14">
        <v>0.68849999999999989</v>
      </c>
    </row>
    <row r="41" spans="2:7" x14ac:dyDescent="0.25">
      <c r="B41" s="13">
        <v>29</v>
      </c>
      <c r="C41" s="12">
        <v>1.7340283236117431</v>
      </c>
      <c r="D41" s="14">
        <f t="shared" si="0"/>
        <v>4.7800000000000065E-2</v>
      </c>
      <c r="E41" s="14">
        <v>0.95219999999999994</v>
      </c>
      <c r="F41" s="14">
        <f t="shared" si="1"/>
        <v>0.379</v>
      </c>
      <c r="G41" s="14">
        <v>0.621</v>
      </c>
    </row>
    <row r="42" spans="2:7" x14ac:dyDescent="0.25">
      <c r="B42" s="13">
        <v>29</v>
      </c>
      <c r="C42" s="12">
        <v>2.0718708200609495</v>
      </c>
      <c r="D42" s="14">
        <f t="shared" si="0"/>
        <v>6.3300000000000023E-2</v>
      </c>
      <c r="E42" s="14">
        <v>0.93669999999999998</v>
      </c>
      <c r="F42" s="14">
        <f t="shared" si="1"/>
        <v>0.41900000000000004</v>
      </c>
      <c r="G42" s="14">
        <v>0.58099999999999996</v>
      </c>
    </row>
    <row r="43" spans="2:7" x14ac:dyDescent="0.25">
      <c r="B43" s="13">
        <v>29</v>
      </c>
      <c r="C43" s="12">
        <v>2.76134530261035</v>
      </c>
      <c r="D43" s="14">
        <f t="shared" si="0"/>
        <v>0.10060000000000002</v>
      </c>
      <c r="E43" s="14">
        <v>0.89939999999999998</v>
      </c>
      <c r="F43" s="14">
        <f t="shared" si="1"/>
        <v>0.45999999999999996</v>
      </c>
      <c r="G43" s="14">
        <v>0.54</v>
      </c>
    </row>
    <row r="44" spans="2:7" x14ac:dyDescent="0.25">
      <c r="B44" s="13">
        <v>29</v>
      </c>
      <c r="C44" s="12">
        <v>3.4542671575724979</v>
      </c>
      <c r="D44" s="14"/>
      <c r="E44" s="14"/>
      <c r="F44" s="14">
        <f t="shared" si="1"/>
        <v>0.47</v>
      </c>
      <c r="G44" s="14">
        <v>0.53</v>
      </c>
    </row>
    <row r="45" spans="2:7" x14ac:dyDescent="0.25">
      <c r="B45" s="13">
        <v>31</v>
      </c>
      <c r="C45" s="12">
        <v>1.3789489650988016</v>
      </c>
      <c r="D45" s="14">
        <f t="shared" si="0"/>
        <v>2.1700000000000053E-2</v>
      </c>
      <c r="E45" s="14">
        <v>0.97829999999999995</v>
      </c>
      <c r="F45" s="14">
        <f t="shared" si="1"/>
        <v>0.13170000000000004</v>
      </c>
      <c r="G45" s="14">
        <v>0.86829999999999996</v>
      </c>
    </row>
    <row r="46" spans="2:7" x14ac:dyDescent="0.25">
      <c r="B46" s="13">
        <v>31</v>
      </c>
      <c r="C46" s="12">
        <v>1.7133440891352609</v>
      </c>
      <c r="D46" s="14">
        <f t="shared" si="0"/>
        <v>4.4000000000000039E-2</v>
      </c>
      <c r="E46" s="14">
        <v>0.95599999999999996</v>
      </c>
      <c r="F46" s="14">
        <f t="shared" si="1"/>
        <v>0.20099999999999996</v>
      </c>
      <c r="G46" s="14">
        <v>0.79900000000000004</v>
      </c>
    </row>
    <row r="47" spans="2:7" x14ac:dyDescent="0.25">
      <c r="B47" s="13">
        <v>31</v>
      </c>
      <c r="C47" s="12">
        <v>1.7236862063735019</v>
      </c>
      <c r="D47" s="14">
        <f t="shared" si="0"/>
        <v>4.5499999999999985E-2</v>
      </c>
      <c r="E47" s="14">
        <v>0.95450000000000002</v>
      </c>
      <c r="F47" s="14"/>
      <c r="G47" s="14"/>
    </row>
    <row r="48" spans="2:7" x14ac:dyDescent="0.25">
      <c r="B48" s="13">
        <v>31</v>
      </c>
      <c r="C48" s="12">
        <v>2.0684234476482022</v>
      </c>
      <c r="D48" s="14">
        <f t="shared" si="0"/>
        <v>7.5199999999999934E-2</v>
      </c>
      <c r="E48" s="14">
        <v>0.92480000000000007</v>
      </c>
      <c r="F48" s="14">
        <f t="shared" si="1"/>
        <v>0.23140000000000005</v>
      </c>
      <c r="G48" s="14">
        <v>0.76859999999999995</v>
      </c>
    </row>
    <row r="49" spans="1:7" x14ac:dyDescent="0.25">
      <c r="B49" s="13">
        <v>31</v>
      </c>
      <c r="C49" s="12">
        <v>2.2338973234600585</v>
      </c>
      <c r="D49" s="14">
        <f t="shared" si="0"/>
        <v>9.0799999999999992E-2</v>
      </c>
      <c r="E49" s="14">
        <v>0.90920000000000001</v>
      </c>
      <c r="F49" s="14"/>
      <c r="G49" s="14"/>
    </row>
    <row r="50" spans="1:7" x14ac:dyDescent="0.25">
      <c r="B50" s="13">
        <v>31</v>
      </c>
      <c r="C50" s="12">
        <v>2.2890552820640107</v>
      </c>
      <c r="D50" s="14"/>
      <c r="E50" s="14"/>
      <c r="F50" s="14">
        <f t="shared" si="1"/>
        <v>0.23680000000000012</v>
      </c>
      <c r="G50" s="14">
        <v>0.76319999999999988</v>
      </c>
    </row>
    <row r="51" spans="1:7" x14ac:dyDescent="0.25">
      <c r="B51" s="13">
        <v>31</v>
      </c>
      <c r="C51" s="12">
        <v>2.4131606889229027</v>
      </c>
      <c r="D51" s="14"/>
      <c r="E51" s="14"/>
      <c r="F51" s="14">
        <f t="shared" si="1"/>
        <v>0.23939999999999995</v>
      </c>
      <c r="G51" s="14">
        <v>0.76060000000000005</v>
      </c>
    </row>
    <row r="52" spans="1:7" x14ac:dyDescent="0.25">
      <c r="B52" s="13">
        <v>31</v>
      </c>
      <c r="C52" s="12">
        <v>2.5269239785435538</v>
      </c>
      <c r="D52" s="14">
        <f t="shared" si="0"/>
        <v>0.12549999999999994</v>
      </c>
      <c r="E52" s="14">
        <v>0.87450000000000006</v>
      </c>
      <c r="F52" s="14">
        <f t="shared" si="1"/>
        <v>0.23530000000000006</v>
      </c>
      <c r="G52" s="14">
        <v>0.76469999999999994</v>
      </c>
    </row>
    <row r="53" spans="1:7" x14ac:dyDescent="0.25">
      <c r="B53" s="13">
        <v>31</v>
      </c>
      <c r="C53" s="12">
        <v>2.6923978543554101</v>
      </c>
      <c r="D53" s="14">
        <f t="shared" si="0"/>
        <v>0.18120000000000003</v>
      </c>
      <c r="E53" s="14">
        <v>0.81879999999999997</v>
      </c>
      <c r="F53" s="14">
        <f t="shared" si="1"/>
        <v>0.18440000000000001</v>
      </c>
      <c r="G53" s="14">
        <v>0.81559999999999999</v>
      </c>
    </row>
    <row r="54" spans="1:7" x14ac:dyDescent="0.25">
      <c r="B54" s="13">
        <v>31.5</v>
      </c>
      <c r="C54" s="12">
        <v>1.2169224616996923</v>
      </c>
      <c r="D54" s="14">
        <f t="shared" si="0"/>
        <v>1.0699999999999932E-2</v>
      </c>
      <c r="E54" s="14">
        <v>0.98930000000000007</v>
      </c>
      <c r="F54" s="14">
        <f t="shared" si="1"/>
        <v>6.3400000000000012E-2</v>
      </c>
      <c r="G54" s="14">
        <v>0.93659999999999999</v>
      </c>
    </row>
    <row r="55" spans="1:7" x14ac:dyDescent="0.25">
      <c r="B55" s="13">
        <v>31.5</v>
      </c>
      <c r="C55" s="12">
        <v>1.3996331995752835</v>
      </c>
      <c r="D55" s="14">
        <f t="shared" si="0"/>
        <v>2.3900000000000032E-2</v>
      </c>
      <c r="E55" s="14">
        <v>0.97609999999999997</v>
      </c>
      <c r="F55" s="14">
        <f t="shared" si="1"/>
        <v>0.1099</v>
      </c>
      <c r="G55" s="14">
        <v>0.8901</v>
      </c>
    </row>
    <row r="56" spans="1:7" x14ac:dyDescent="0.25">
      <c r="B56" s="13">
        <v>31.5</v>
      </c>
      <c r="C56" s="12">
        <v>1.5513175857361519</v>
      </c>
      <c r="D56" s="14"/>
      <c r="E56" s="14"/>
      <c r="F56" s="14">
        <f t="shared" si="1"/>
        <v>0.14019999999999999</v>
      </c>
      <c r="G56" s="14">
        <v>0.85980000000000001</v>
      </c>
    </row>
    <row r="57" spans="1:7" x14ac:dyDescent="0.25">
      <c r="B57" s="13">
        <v>31.5</v>
      </c>
      <c r="C57" s="12">
        <v>1.7236862063735019</v>
      </c>
      <c r="D57" s="14">
        <f t="shared" si="0"/>
        <v>4.5499999999999985E-2</v>
      </c>
      <c r="E57" s="14">
        <v>0.95450000000000002</v>
      </c>
      <c r="F57" s="14">
        <f t="shared" si="1"/>
        <v>0.15680000000000005</v>
      </c>
      <c r="G57" s="14">
        <v>0.84319999999999995</v>
      </c>
    </row>
    <row r="58" spans="1:7" x14ac:dyDescent="0.25">
      <c r="B58" s="13">
        <v>31.5</v>
      </c>
      <c r="C58" s="12">
        <v>1.8960548270108522</v>
      </c>
      <c r="D58" s="14"/>
      <c r="E58" s="14"/>
      <c r="F58" s="14">
        <f t="shared" si="1"/>
        <v>0.16969999999999996</v>
      </c>
      <c r="G58" s="14">
        <v>0.83030000000000004</v>
      </c>
    </row>
    <row r="59" spans="1:7" x14ac:dyDescent="0.25">
      <c r="B59" s="13">
        <v>31.5</v>
      </c>
      <c r="C59" s="12">
        <v>2.0684234476482022</v>
      </c>
      <c r="D59" s="14">
        <f t="shared" si="0"/>
        <v>8.0799999999999983E-2</v>
      </c>
      <c r="E59" s="14">
        <v>0.91920000000000002</v>
      </c>
      <c r="F59" s="14">
        <f t="shared" si="1"/>
        <v>0.17130000000000001</v>
      </c>
      <c r="G59" s="14">
        <v>0.82869999999999999</v>
      </c>
    </row>
    <row r="60" spans="1:7" x14ac:dyDescent="0.25">
      <c r="B60" s="13">
        <v>31.5</v>
      </c>
      <c r="C60" s="12">
        <v>2.1718446200306123</v>
      </c>
      <c r="D60" s="14">
        <f t="shared" si="0"/>
        <v>9.2799999999999994E-2</v>
      </c>
      <c r="E60" s="14">
        <v>0.90720000000000001</v>
      </c>
      <c r="F60" s="14">
        <f t="shared" si="1"/>
        <v>0.18700000000000006</v>
      </c>
      <c r="G60" s="14">
        <v>0.81299999999999994</v>
      </c>
    </row>
    <row r="61" spans="1:7" ht="15.75" thickBot="1" x14ac:dyDescent="0.3">
      <c r="A61" s="9"/>
      <c r="B61" s="17">
        <v>31.5</v>
      </c>
      <c r="C61" s="15">
        <v>2.2890552820640107</v>
      </c>
      <c r="D61" s="16">
        <f t="shared" si="0"/>
        <v>0.14900000000000002</v>
      </c>
      <c r="E61" s="16">
        <v>0.85099999999999998</v>
      </c>
      <c r="F61" s="16">
        <f t="shared" si="1"/>
        <v>0.16569999999999996</v>
      </c>
      <c r="G61" s="16">
        <v>0.83430000000000004</v>
      </c>
    </row>
    <row r="62" spans="1:7" x14ac:dyDescent="0.25">
      <c r="A62" s="18" t="s">
        <v>82</v>
      </c>
      <c r="B62" s="13">
        <v>15.5</v>
      </c>
      <c r="C62" s="12">
        <v>0.34128986886195339</v>
      </c>
      <c r="D62" s="14"/>
      <c r="E62" s="14"/>
      <c r="F62" s="14">
        <f>1-G62</f>
        <v>0.93779999999999997</v>
      </c>
      <c r="G62" s="14">
        <v>6.2199999999999998E-2</v>
      </c>
    </row>
    <row r="63" spans="1:7" x14ac:dyDescent="0.25">
      <c r="B63" s="13">
        <v>15.5</v>
      </c>
      <c r="C63" s="12">
        <v>0.51710586191205055</v>
      </c>
      <c r="D63" s="14">
        <f t="shared" ref="D63:D126" si="2">1-E63</f>
        <v>2.9000000000000137E-3</v>
      </c>
      <c r="E63" s="14">
        <v>0.99709999999999999</v>
      </c>
      <c r="F63" s="14">
        <f t="shared" ref="F63:F127" si="3">1-G63</f>
        <v>0.95509999999999995</v>
      </c>
      <c r="G63" s="14">
        <v>4.4900000000000002E-2</v>
      </c>
    </row>
    <row r="64" spans="1:7" x14ac:dyDescent="0.25">
      <c r="B64" s="13">
        <v>15.5</v>
      </c>
      <c r="C64" s="12">
        <v>0.6894744825494008</v>
      </c>
      <c r="D64" s="14">
        <f t="shared" si="2"/>
        <v>4.5999999999999375E-3</v>
      </c>
      <c r="E64" s="14">
        <v>0.99540000000000006</v>
      </c>
      <c r="F64" s="14">
        <f t="shared" si="3"/>
        <v>0.96309999999999996</v>
      </c>
      <c r="G64" s="14">
        <v>3.6900000000000002E-2</v>
      </c>
    </row>
    <row r="65" spans="2:7" x14ac:dyDescent="0.25">
      <c r="B65" s="13">
        <v>15.5</v>
      </c>
      <c r="C65" s="12">
        <v>0.86184310318675095</v>
      </c>
      <c r="D65" s="14">
        <f t="shared" si="2"/>
        <v>5.1000000000001044E-3</v>
      </c>
      <c r="E65" s="14">
        <v>0.9948999999999999</v>
      </c>
      <c r="F65" s="14">
        <f t="shared" si="3"/>
        <v>0.9677</v>
      </c>
      <c r="G65" s="14">
        <v>3.2300000000000002E-2</v>
      </c>
    </row>
    <row r="66" spans="2:7" x14ac:dyDescent="0.25">
      <c r="B66" s="13">
        <v>15.5</v>
      </c>
      <c r="C66" s="12">
        <v>1.0342117238241011</v>
      </c>
      <c r="D66" s="14">
        <f t="shared" si="2"/>
        <v>5.4999999999999494E-3</v>
      </c>
      <c r="E66" s="14">
        <v>0.99450000000000005</v>
      </c>
      <c r="F66" s="14">
        <f t="shared" si="3"/>
        <v>0.97019999999999995</v>
      </c>
      <c r="G66" s="14">
        <v>2.98E-2</v>
      </c>
    </row>
    <row r="67" spans="2:7" x14ac:dyDescent="0.25">
      <c r="B67" s="13">
        <v>15.5</v>
      </c>
      <c r="C67" s="12">
        <v>1.2065803444614513</v>
      </c>
      <c r="D67" s="14">
        <f t="shared" si="2"/>
        <v>6.3999999999999613E-3</v>
      </c>
      <c r="E67" s="14">
        <v>0.99360000000000004</v>
      </c>
      <c r="F67" s="14">
        <f t="shared" si="3"/>
        <v>0.97140000000000004</v>
      </c>
      <c r="G67" s="14">
        <v>2.86E-2</v>
      </c>
    </row>
    <row r="68" spans="2:7" x14ac:dyDescent="0.25">
      <c r="B68" s="13">
        <v>15.5</v>
      </c>
      <c r="C68" s="12">
        <v>1.3789489650988016</v>
      </c>
      <c r="D68" s="14">
        <f t="shared" si="2"/>
        <v>7.0999999999998842E-3</v>
      </c>
      <c r="E68" s="14">
        <v>0.99290000000000012</v>
      </c>
      <c r="F68" s="14">
        <f t="shared" si="3"/>
        <v>0.97289999999999999</v>
      </c>
      <c r="G68" s="14">
        <v>2.7099999999999999E-2</v>
      </c>
    </row>
    <row r="69" spans="2:7" x14ac:dyDescent="0.25">
      <c r="B69" s="13">
        <v>15.5</v>
      </c>
      <c r="C69" s="12">
        <v>1.7236862063735019</v>
      </c>
      <c r="D69" s="14">
        <f t="shared" si="2"/>
        <v>8.1999999999999851E-3</v>
      </c>
      <c r="E69" s="14">
        <v>0.99180000000000001</v>
      </c>
      <c r="F69" s="14">
        <f t="shared" si="3"/>
        <v>0.97409999999999997</v>
      </c>
      <c r="G69" s="14">
        <v>2.5899999999999999E-2</v>
      </c>
    </row>
    <row r="70" spans="2:7" x14ac:dyDescent="0.25">
      <c r="B70" s="13">
        <v>15.5</v>
      </c>
      <c r="C70" s="12">
        <v>2.0684234476482022</v>
      </c>
      <c r="D70" s="14">
        <f t="shared" si="2"/>
        <v>8.700000000000041E-3</v>
      </c>
      <c r="E70" s="14">
        <v>0.99129999999999996</v>
      </c>
      <c r="F70" s="14">
        <f t="shared" si="3"/>
        <v>0.9748</v>
      </c>
      <c r="G70" s="14">
        <v>2.52E-2</v>
      </c>
    </row>
    <row r="71" spans="2:7" x14ac:dyDescent="0.25">
      <c r="B71" s="13">
        <v>17.07</v>
      </c>
      <c r="C71" s="12">
        <v>0.38955308264041144</v>
      </c>
      <c r="D71" s="14">
        <f t="shared" si="2"/>
        <v>3.6000000000000476E-3</v>
      </c>
      <c r="E71" s="14">
        <v>0.99639999999999995</v>
      </c>
      <c r="F71" s="14">
        <f t="shared" si="3"/>
        <v>0.89670000000000005</v>
      </c>
      <c r="G71" s="14">
        <v>0.1033</v>
      </c>
    </row>
    <row r="72" spans="2:7" x14ac:dyDescent="0.25">
      <c r="B72" s="13">
        <v>17.07</v>
      </c>
      <c r="C72" s="12">
        <v>0.51710586191205055</v>
      </c>
      <c r="D72" s="14">
        <f t="shared" si="2"/>
        <v>4.3000000000000815E-3</v>
      </c>
      <c r="E72" s="14">
        <v>0.99569999999999992</v>
      </c>
      <c r="F72" s="14">
        <f t="shared" si="3"/>
        <v>0.91859999999999997</v>
      </c>
      <c r="G72" s="14">
        <v>8.14E-2</v>
      </c>
    </row>
    <row r="73" spans="2:7" x14ac:dyDescent="0.25">
      <c r="B73" s="13">
        <v>17.07</v>
      </c>
      <c r="C73" s="12">
        <v>0.6894744825494008</v>
      </c>
      <c r="D73" s="14">
        <f t="shared" si="2"/>
        <v>5.6999999999999273E-3</v>
      </c>
      <c r="E73" s="14">
        <v>0.99430000000000007</v>
      </c>
      <c r="F73" s="14">
        <f t="shared" si="3"/>
        <v>0.93300000000000005</v>
      </c>
      <c r="G73" s="14">
        <v>6.7000000000000004E-2</v>
      </c>
    </row>
    <row r="74" spans="2:7" x14ac:dyDescent="0.25">
      <c r="B74" s="13">
        <v>17.07</v>
      </c>
      <c r="C74" s="12">
        <v>0.86184310318675095</v>
      </c>
      <c r="D74" s="14">
        <f t="shared" si="2"/>
        <v>7.1999999999999842E-3</v>
      </c>
      <c r="E74" s="14">
        <v>0.99280000000000002</v>
      </c>
      <c r="F74" s="14">
        <f t="shared" si="3"/>
        <v>0.94120000000000004</v>
      </c>
      <c r="G74" s="14">
        <v>5.8799999999999998E-2</v>
      </c>
    </row>
    <row r="75" spans="2:7" x14ac:dyDescent="0.25">
      <c r="B75" s="13">
        <v>17.07</v>
      </c>
      <c r="C75" s="12">
        <v>1.0376590962368482</v>
      </c>
      <c r="D75" s="14">
        <f t="shared" si="2"/>
        <v>8.0000000000000071E-3</v>
      </c>
      <c r="E75" s="14">
        <v>0.99199999999999999</v>
      </c>
      <c r="F75" s="14">
        <f t="shared" si="3"/>
        <v>0.94640000000000002</v>
      </c>
      <c r="G75" s="14">
        <v>5.3600000000000002E-2</v>
      </c>
    </row>
    <row r="76" spans="2:7" x14ac:dyDescent="0.25">
      <c r="B76" s="13">
        <v>17.07</v>
      </c>
      <c r="C76" s="12">
        <v>1.2065803444614513</v>
      </c>
      <c r="D76" s="14">
        <f t="shared" si="2"/>
        <v>8.900000000000019E-3</v>
      </c>
      <c r="E76" s="14">
        <v>0.99109999999999998</v>
      </c>
      <c r="F76" s="14">
        <f t="shared" si="3"/>
        <v>0.95030000000000003</v>
      </c>
      <c r="G76" s="14">
        <v>4.9699999999999994E-2</v>
      </c>
    </row>
    <row r="77" spans="2:7" x14ac:dyDescent="0.25">
      <c r="B77" s="13">
        <v>17.07</v>
      </c>
      <c r="C77" s="12">
        <v>1.3789489650988016</v>
      </c>
      <c r="D77" s="14">
        <f t="shared" si="2"/>
        <v>1.0000000000000009E-2</v>
      </c>
      <c r="E77" s="14">
        <v>0.99</v>
      </c>
      <c r="F77" s="14">
        <f t="shared" si="3"/>
        <v>0.95150000000000001</v>
      </c>
      <c r="G77" s="14">
        <v>4.8499999999999995E-2</v>
      </c>
    </row>
    <row r="78" spans="2:7" x14ac:dyDescent="0.25">
      <c r="B78" s="13">
        <v>17.07</v>
      </c>
      <c r="C78" s="12">
        <v>1.7236862063735019</v>
      </c>
      <c r="D78" s="14">
        <f t="shared" si="2"/>
        <v>1.1399999999999966E-2</v>
      </c>
      <c r="E78" s="14">
        <v>0.98860000000000003</v>
      </c>
      <c r="F78" s="14">
        <f t="shared" si="3"/>
        <v>0.9556</v>
      </c>
      <c r="G78" s="14">
        <v>4.4400000000000002E-2</v>
      </c>
    </row>
    <row r="79" spans="2:7" x14ac:dyDescent="0.25">
      <c r="B79" s="13">
        <v>17.07</v>
      </c>
      <c r="C79" s="12">
        <v>2.0684234476482022</v>
      </c>
      <c r="D79" s="14">
        <f t="shared" si="2"/>
        <v>1.3100000000000001E-2</v>
      </c>
      <c r="E79" s="14">
        <v>0.9869</v>
      </c>
      <c r="F79" s="14">
        <f t="shared" si="3"/>
        <v>0.95820000000000005</v>
      </c>
      <c r="G79" s="14">
        <v>4.1799999999999997E-2</v>
      </c>
    </row>
    <row r="80" spans="2:7" x14ac:dyDescent="0.25">
      <c r="B80" s="13">
        <v>17.07</v>
      </c>
      <c r="C80" s="12">
        <v>2.7578979301976032</v>
      </c>
      <c r="D80" s="14">
        <f t="shared" si="2"/>
        <v>1.5100000000000002E-2</v>
      </c>
      <c r="E80" s="14">
        <v>0.9849</v>
      </c>
      <c r="F80" s="14">
        <f t="shared" si="3"/>
        <v>0.95899999999999996</v>
      </c>
      <c r="G80" s="14">
        <v>4.0999999999999995E-2</v>
      </c>
    </row>
    <row r="81" spans="2:7" x14ac:dyDescent="0.25">
      <c r="B81" s="13">
        <v>20.399999999999999</v>
      </c>
      <c r="C81" s="12">
        <v>0.24131606889229029</v>
      </c>
      <c r="D81" s="14">
        <f t="shared" si="2"/>
        <v>3.4000000000000696E-3</v>
      </c>
      <c r="E81" s="14">
        <v>0.99659999999999993</v>
      </c>
      <c r="F81" s="14">
        <f t="shared" si="3"/>
        <v>0.53600000000000003</v>
      </c>
      <c r="G81" s="14">
        <v>0.46399999999999997</v>
      </c>
    </row>
    <row r="82" spans="2:7" x14ac:dyDescent="0.25">
      <c r="B82" s="13">
        <v>20.399999999999999</v>
      </c>
      <c r="C82" s="12">
        <v>0.3447372412747004</v>
      </c>
      <c r="D82" s="14">
        <f t="shared" si="2"/>
        <v>4.0999999999999925E-3</v>
      </c>
      <c r="E82" s="14">
        <v>0.99590000000000001</v>
      </c>
      <c r="F82" s="14">
        <f t="shared" si="3"/>
        <v>0.65450000000000008</v>
      </c>
      <c r="G82" s="14">
        <v>0.34549999999999997</v>
      </c>
    </row>
    <row r="83" spans="2:7" x14ac:dyDescent="0.25">
      <c r="B83" s="13">
        <v>20.399999999999999</v>
      </c>
      <c r="C83" s="12">
        <v>0.51710586191205055</v>
      </c>
      <c r="D83" s="14">
        <f t="shared" si="2"/>
        <v>6.0999999999999943E-3</v>
      </c>
      <c r="E83" s="14">
        <v>0.99390000000000001</v>
      </c>
      <c r="F83" s="14">
        <f t="shared" si="3"/>
        <v>0.754</v>
      </c>
      <c r="G83" s="14">
        <v>0.24600000000000002</v>
      </c>
    </row>
    <row r="84" spans="2:7" x14ac:dyDescent="0.25">
      <c r="B84" s="13">
        <v>20.399999999999999</v>
      </c>
      <c r="C84" s="12">
        <v>0.6894744825494008</v>
      </c>
      <c r="D84" s="14">
        <f t="shared" si="2"/>
        <v>8.4000000000000741E-3</v>
      </c>
      <c r="E84" s="14">
        <v>0.99159999999999993</v>
      </c>
      <c r="F84" s="14">
        <f t="shared" si="3"/>
        <v>0.80300000000000005</v>
      </c>
      <c r="G84" s="14">
        <v>0.19699999999999998</v>
      </c>
    </row>
    <row r="85" spans="2:7" x14ac:dyDescent="0.25">
      <c r="B85" s="13">
        <v>20.399999999999999</v>
      </c>
      <c r="C85" s="12">
        <v>0.86184310318675095</v>
      </c>
      <c r="D85" s="14">
        <f t="shared" si="2"/>
        <v>1.0499999999999954E-2</v>
      </c>
      <c r="E85" s="14">
        <v>0.98950000000000005</v>
      </c>
      <c r="F85" s="14">
        <f t="shared" si="3"/>
        <v>0.83199999999999996</v>
      </c>
      <c r="G85" s="14">
        <v>0.16800000000000001</v>
      </c>
    </row>
    <row r="86" spans="2:7" x14ac:dyDescent="0.25">
      <c r="B86" s="13">
        <v>20.399999999999999</v>
      </c>
      <c r="C86" s="12">
        <v>1.0342117238241011</v>
      </c>
      <c r="D86" s="14">
        <f t="shared" si="2"/>
        <v>1.3000000000000012E-2</v>
      </c>
      <c r="E86" s="14">
        <v>0.98699999999999999</v>
      </c>
      <c r="F86" s="14">
        <f t="shared" si="3"/>
        <v>0.84799999999999998</v>
      </c>
      <c r="G86" s="14">
        <v>0.152</v>
      </c>
    </row>
    <row r="87" spans="2:7" x14ac:dyDescent="0.25">
      <c r="B87" s="13">
        <v>20.399999999999999</v>
      </c>
      <c r="C87" s="12">
        <v>1.2065803444614513</v>
      </c>
      <c r="D87" s="14">
        <f t="shared" si="2"/>
        <v>1.540000000000008E-2</v>
      </c>
      <c r="E87" s="14">
        <v>0.98459999999999992</v>
      </c>
      <c r="F87" s="14">
        <f t="shared" si="3"/>
        <v>0.86029999999999995</v>
      </c>
      <c r="G87" s="14">
        <v>0.13970000000000002</v>
      </c>
    </row>
    <row r="88" spans="2:7" x14ac:dyDescent="0.25">
      <c r="B88" s="13">
        <v>20.399999999999999</v>
      </c>
      <c r="C88" s="12">
        <v>1.3789489650988016</v>
      </c>
      <c r="D88" s="14">
        <f t="shared" si="2"/>
        <v>1.6700000000000048E-2</v>
      </c>
      <c r="E88" s="14">
        <v>0.98329999999999995</v>
      </c>
      <c r="F88" s="14">
        <f t="shared" si="3"/>
        <v>0.87129999999999996</v>
      </c>
      <c r="G88" s="14">
        <v>0.12869999999999998</v>
      </c>
    </row>
    <row r="89" spans="2:7" x14ac:dyDescent="0.25">
      <c r="B89" s="13">
        <v>20.399999999999999</v>
      </c>
      <c r="C89" s="12">
        <v>1.7236862063735019</v>
      </c>
      <c r="D89" s="14">
        <f t="shared" si="2"/>
        <v>2.0499999999999963E-2</v>
      </c>
      <c r="E89" s="14">
        <v>0.97950000000000004</v>
      </c>
      <c r="F89" s="14">
        <f t="shared" si="3"/>
        <v>0.8841</v>
      </c>
      <c r="G89" s="14">
        <v>0.1159</v>
      </c>
    </row>
    <row r="90" spans="2:7" x14ac:dyDescent="0.25">
      <c r="B90" s="13">
        <v>20.399999999999999</v>
      </c>
      <c r="C90" s="12">
        <v>2.0684234476482022</v>
      </c>
      <c r="D90" s="14">
        <f t="shared" si="2"/>
        <v>2.3599999999999954E-2</v>
      </c>
      <c r="E90" s="14">
        <v>0.97640000000000005</v>
      </c>
      <c r="F90" s="14">
        <f t="shared" si="3"/>
        <v>0.88970000000000005</v>
      </c>
      <c r="G90" s="14">
        <v>0.1103</v>
      </c>
    </row>
    <row r="91" spans="2:7" x14ac:dyDescent="0.25">
      <c r="B91" s="13">
        <v>20.399999999999999</v>
      </c>
      <c r="C91" s="12">
        <v>2.7578979301976032</v>
      </c>
      <c r="D91" s="14">
        <f t="shared" si="2"/>
        <v>2.959999999999996E-2</v>
      </c>
      <c r="E91" s="14">
        <v>0.97040000000000004</v>
      </c>
      <c r="F91" s="14">
        <f t="shared" si="3"/>
        <v>0.90080000000000005</v>
      </c>
      <c r="G91" s="14">
        <v>9.9199999999999997E-2</v>
      </c>
    </row>
    <row r="92" spans="2:7" x14ac:dyDescent="0.25">
      <c r="B92" s="13">
        <v>20.399999999999999</v>
      </c>
      <c r="C92" s="12">
        <v>3.4473724127470038</v>
      </c>
      <c r="D92" s="14">
        <f t="shared" si="2"/>
        <v>3.3900000000000041E-2</v>
      </c>
      <c r="E92" s="14">
        <v>0.96609999999999996</v>
      </c>
      <c r="F92" s="14">
        <f t="shared" si="3"/>
        <v>0.90349999999999997</v>
      </c>
      <c r="G92" s="14">
        <v>9.6500000000000002E-2</v>
      </c>
    </row>
    <row r="93" spans="2:7" x14ac:dyDescent="0.25">
      <c r="B93" s="13">
        <v>23</v>
      </c>
      <c r="C93" s="12">
        <v>0.3447372412747004</v>
      </c>
      <c r="D93" s="14">
        <f t="shared" si="2"/>
        <v>3.7999999999999146E-3</v>
      </c>
      <c r="E93" s="14">
        <v>0.99620000000000009</v>
      </c>
      <c r="F93" s="14">
        <f t="shared" si="3"/>
        <v>0.37</v>
      </c>
      <c r="G93" s="14">
        <v>0.63</v>
      </c>
    </row>
    <row r="94" spans="2:7" x14ac:dyDescent="0.25">
      <c r="B94" s="13">
        <v>23</v>
      </c>
      <c r="C94" s="12">
        <v>0.51710586191205055</v>
      </c>
      <c r="D94" s="14">
        <f t="shared" si="2"/>
        <v>7.4999999999999512E-3</v>
      </c>
      <c r="E94" s="14">
        <v>0.99250000000000005</v>
      </c>
      <c r="F94" s="14">
        <f t="shared" si="3"/>
        <v>0.53439999999999999</v>
      </c>
      <c r="G94" s="14">
        <v>0.46560000000000001</v>
      </c>
    </row>
    <row r="95" spans="2:7" x14ac:dyDescent="0.25">
      <c r="B95" s="13">
        <v>23</v>
      </c>
      <c r="C95" s="12">
        <v>0.6894744825494008</v>
      </c>
      <c r="D95" s="14">
        <f t="shared" si="2"/>
        <v>1.1500000000000066E-2</v>
      </c>
      <c r="E95" s="14">
        <v>0.98849999999999993</v>
      </c>
      <c r="F95" s="14">
        <f t="shared" si="3"/>
        <v>0.629</v>
      </c>
      <c r="G95" s="14">
        <v>0.371</v>
      </c>
    </row>
    <row r="96" spans="2:7" x14ac:dyDescent="0.25">
      <c r="B96" s="13">
        <v>23</v>
      </c>
      <c r="C96" s="12">
        <v>0.86184310318675095</v>
      </c>
      <c r="D96" s="14">
        <f t="shared" si="2"/>
        <v>1.3599999999999945E-2</v>
      </c>
      <c r="E96" s="14">
        <v>0.98640000000000005</v>
      </c>
      <c r="F96" s="14">
        <f t="shared" si="3"/>
        <v>0.67869999999999997</v>
      </c>
      <c r="G96" s="14">
        <v>0.32130000000000003</v>
      </c>
    </row>
    <row r="97" spans="2:7" x14ac:dyDescent="0.25">
      <c r="B97" s="13">
        <v>23</v>
      </c>
      <c r="C97" s="12">
        <v>1.0342117238241011</v>
      </c>
      <c r="D97" s="14">
        <f t="shared" si="2"/>
        <v>1.7199999999999993E-2</v>
      </c>
      <c r="E97" s="14">
        <v>0.98280000000000001</v>
      </c>
      <c r="F97" s="14">
        <f t="shared" si="3"/>
        <v>0.71750000000000003</v>
      </c>
      <c r="G97" s="14">
        <v>0.28249999999999997</v>
      </c>
    </row>
    <row r="98" spans="2:7" x14ac:dyDescent="0.25">
      <c r="B98" s="13">
        <v>23</v>
      </c>
      <c r="C98" s="12">
        <v>1.2065803444614513</v>
      </c>
      <c r="D98" s="14">
        <f t="shared" si="2"/>
        <v>2.1500000000000075E-2</v>
      </c>
      <c r="E98" s="14">
        <v>0.97849999999999993</v>
      </c>
      <c r="F98" s="14">
        <f t="shared" si="3"/>
        <v>0.74350000000000005</v>
      </c>
      <c r="G98" s="14">
        <v>0.25650000000000001</v>
      </c>
    </row>
    <row r="99" spans="2:7" x14ac:dyDescent="0.25">
      <c r="B99" s="13">
        <v>23</v>
      </c>
      <c r="C99" s="12">
        <v>1.3789489650988016</v>
      </c>
      <c r="D99" s="14">
        <f t="shared" si="2"/>
        <v>2.3900000000000032E-2</v>
      </c>
      <c r="E99" s="14">
        <v>0.97609999999999997</v>
      </c>
      <c r="F99" s="14">
        <f t="shared" si="3"/>
        <v>0.76300000000000001</v>
      </c>
      <c r="G99" s="14">
        <v>0.23699999999999999</v>
      </c>
    </row>
    <row r="100" spans="2:7" x14ac:dyDescent="0.25">
      <c r="B100" s="13">
        <v>23</v>
      </c>
      <c r="C100" s="12">
        <v>1.7236862063735019</v>
      </c>
      <c r="D100" s="14">
        <f t="shared" si="2"/>
        <v>2.9100000000000015E-2</v>
      </c>
      <c r="E100" s="14">
        <v>0.97089999999999999</v>
      </c>
      <c r="F100" s="14">
        <f t="shared" si="3"/>
        <v>0.78780000000000006</v>
      </c>
      <c r="G100" s="14">
        <v>0.2122</v>
      </c>
    </row>
    <row r="101" spans="2:7" x14ac:dyDescent="0.25">
      <c r="B101" s="13">
        <v>23</v>
      </c>
      <c r="C101" s="12">
        <v>2.0684234476482022</v>
      </c>
      <c r="D101" s="14">
        <f t="shared" si="2"/>
        <v>3.5499999999999976E-2</v>
      </c>
      <c r="E101" s="14">
        <v>0.96450000000000002</v>
      </c>
      <c r="F101" s="14">
        <f t="shared" si="3"/>
        <v>0.80549999999999999</v>
      </c>
      <c r="G101" s="14">
        <v>0.19450000000000001</v>
      </c>
    </row>
    <row r="102" spans="2:7" x14ac:dyDescent="0.25">
      <c r="B102" s="13">
        <v>23</v>
      </c>
      <c r="C102" s="12">
        <v>2.7578979301976032</v>
      </c>
      <c r="D102" s="14">
        <f t="shared" si="2"/>
        <v>4.5799999999999952E-2</v>
      </c>
      <c r="E102" s="14">
        <v>0.95420000000000005</v>
      </c>
      <c r="F102" s="14">
        <f t="shared" si="3"/>
        <v>0.82340000000000002</v>
      </c>
      <c r="G102" s="14">
        <v>0.17660000000000001</v>
      </c>
    </row>
    <row r="103" spans="2:7" x14ac:dyDescent="0.25">
      <c r="B103" s="13">
        <v>23</v>
      </c>
      <c r="C103" s="12">
        <v>3.4473724127470038</v>
      </c>
      <c r="D103" s="14">
        <f t="shared" si="2"/>
        <v>5.4599999999999982E-2</v>
      </c>
      <c r="E103" s="14">
        <v>0.94540000000000002</v>
      </c>
      <c r="F103" s="14">
        <f t="shared" si="3"/>
        <v>0.83299999999999996</v>
      </c>
      <c r="G103" s="14">
        <v>0.16699999999999998</v>
      </c>
    </row>
    <row r="104" spans="2:7" x14ac:dyDescent="0.25">
      <c r="B104" s="13">
        <v>26</v>
      </c>
      <c r="C104" s="12">
        <v>0.55847433086501463</v>
      </c>
      <c r="D104" s="14">
        <f t="shared" si="2"/>
        <v>6.7000000000000393E-3</v>
      </c>
      <c r="E104" s="14">
        <v>0.99329999999999996</v>
      </c>
      <c r="F104" s="14">
        <f>1-G104</f>
        <v>0.22599999999999998</v>
      </c>
      <c r="G104" s="14">
        <v>0.77400000000000002</v>
      </c>
    </row>
    <row r="105" spans="2:7" x14ac:dyDescent="0.25">
      <c r="B105" s="13">
        <v>26</v>
      </c>
      <c r="C105" s="12">
        <v>0.6894744825494008</v>
      </c>
      <c r="D105" s="14">
        <f t="shared" si="2"/>
        <v>9.7000000000000419E-3</v>
      </c>
      <c r="E105" s="14">
        <v>0.99029999999999996</v>
      </c>
      <c r="F105" s="14">
        <f t="shared" si="3"/>
        <v>0.33499999999999996</v>
      </c>
      <c r="G105" s="14">
        <v>0.66500000000000004</v>
      </c>
    </row>
    <row r="106" spans="2:7" x14ac:dyDescent="0.25">
      <c r="B106" s="13">
        <v>26</v>
      </c>
      <c r="C106" s="12">
        <v>0.86184310318675095</v>
      </c>
      <c r="D106" s="14">
        <f t="shared" si="2"/>
        <v>1.430000000000009E-2</v>
      </c>
      <c r="E106" s="14">
        <v>0.98569999999999991</v>
      </c>
      <c r="F106" s="14">
        <f t="shared" si="3"/>
        <v>0.43369999999999997</v>
      </c>
      <c r="G106" s="14">
        <v>0.56630000000000003</v>
      </c>
    </row>
    <row r="107" spans="2:7" x14ac:dyDescent="0.25">
      <c r="B107" s="13">
        <v>26</v>
      </c>
      <c r="C107" s="12">
        <v>1.0342117238241011</v>
      </c>
      <c r="D107" s="14">
        <f t="shared" si="2"/>
        <v>1.9199999999999995E-2</v>
      </c>
      <c r="E107" s="14">
        <v>0.98080000000000001</v>
      </c>
      <c r="F107" s="14">
        <f t="shared" si="3"/>
        <v>0.49770000000000003</v>
      </c>
      <c r="G107" s="14">
        <v>0.50229999999999997</v>
      </c>
    </row>
    <row r="108" spans="2:7" x14ac:dyDescent="0.25">
      <c r="B108" s="13">
        <v>26</v>
      </c>
      <c r="C108" s="12">
        <v>1.3789489650988016</v>
      </c>
      <c r="D108" s="14">
        <f t="shared" si="2"/>
        <v>2.8599999999999959E-2</v>
      </c>
      <c r="E108" s="14">
        <v>0.97140000000000004</v>
      </c>
      <c r="F108" s="14">
        <f t="shared" si="3"/>
        <v>0.56899999999999995</v>
      </c>
      <c r="G108" s="14">
        <v>0.43099999999999999</v>
      </c>
    </row>
    <row r="109" spans="2:7" x14ac:dyDescent="0.25">
      <c r="B109" s="13">
        <v>26</v>
      </c>
      <c r="C109" s="12">
        <v>1.7236862063735019</v>
      </c>
      <c r="D109" s="14">
        <f t="shared" si="2"/>
        <v>3.6399999999999988E-2</v>
      </c>
      <c r="E109" s="14">
        <v>0.96360000000000001</v>
      </c>
      <c r="F109" s="14">
        <f t="shared" si="3"/>
        <v>0.62670000000000003</v>
      </c>
      <c r="G109" s="14">
        <v>0.37329999999999997</v>
      </c>
    </row>
    <row r="110" spans="2:7" x14ac:dyDescent="0.25">
      <c r="B110" s="13">
        <v>26</v>
      </c>
      <c r="C110" s="12">
        <v>2.0684234476482022</v>
      </c>
      <c r="D110" s="14">
        <f t="shared" si="2"/>
        <v>4.7600000000000087E-2</v>
      </c>
      <c r="E110" s="14">
        <v>0.95239999999999991</v>
      </c>
      <c r="F110" s="14">
        <f t="shared" si="3"/>
        <v>0.65649999999999997</v>
      </c>
      <c r="G110" s="14">
        <v>0.34350000000000003</v>
      </c>
    </row>
    <row r="111" spans="2:7" x14ac:dyDescent="0.25">
      <c r="B111" s="13">
        <v>26</v>
      </c>
      <c r="C111" s="12">
        <v>2.7578979301976032</v>
      </c>
      <c r="D111" s="14">
        <f t="shared" si="2"/>
        <v>6.6400000000000015E-2</v>
      </c>
      <c r="E111" s="14">
        <v>0.93359999999999999</v>
      </c>
      <c r="F111" s="14">
        <f t="shared" si="3"/>
        <v>0.68579999999999997</v>
      </c>
      <c r="G111" s="14">
        <v>0.31420000000000003</v>
      </c>
    </row>
    <row r="112" spans="2:7" x14ac:dyDescent="0.25">
      <c r="B112" s="13">
        <v>26</v>
      </c>
      <c r="C112" s="12">
        <v>3.4473724127470038</v>
      </c>
      <c r="D112" s="14">
        <f t="shared" si="2"/>
        <v>8.4799999999999986E-2</v>
      </c>
      <c r="E112" s="14">
        <v>0.91520000000000001</v>
      </c>
      <c r="F112" s="14">
        <f t="shared" si="3"/>
        <v>0.70019999999999993</v>
      </c>
      <c r="G112" s="14">
        <v>0.29980000000000001</v>
      </c>
    </row>
    <row r="113" spans="2:7" x14ac:dyDescent="0.25">
      <c r="B113" s="13">
        <v>29</v>
      </c>
      <c r="C113" s="12">
        <v>0.87563259283773898</v>
      </c>
      <c r="D113" s="14">
        <f t="shared" si="2"/>
        <v>9.099999999999997E-3</v>
      </c>
      <c r="E113" s="14">
        <v>0.9909</v>
      </c>
      <c r="F113" s="14">
        <f t="shared" si="3"/>
        <v>0.14029999999999998</v>
      </c>
      <c r="G113" s="14">
        <v>0.85970000000000002</v>
      </c>
    </row>
    <row r="114" spans="2:7" x14ac:dyDescent="0.25">
      <c r="B114" s="13">
        <v>29</v>
      </c>
      <c r="C114" s="12">
        <v>1.0411064686495952</v>
      </c>
      <c r="D114" s="14">
        <f t="shared" si="2"/>
        <v>1.5000000000000013E-2</v>
      </c>
      <c r="E114" s="14">
        <v>0.98499999999999999</v>
      </c>
      <c r="F114" s="14">
        <f t="shared" si="3"/>
        <v>0.21920000000000006</v>
      </c>
      <c r="G114" s="14">
        <v>0.78079999999999994</v>
      </c>
    </row>
    <row r="115" spans="2:7" x14ac:dyDescent="0.25">
      <c r="B115" s="13">
        <v>29</v>
      </c>
      <c r="C115" s="12">
        <v>1.2065803444614513</v>
      </c>
      <c r="D115" s="14">
        <f t="shared" si="2"/>
        <v>2.200000000000002E-2</v>
      </c>
      <c r="E115" s="14">
        <v>0.97799999999999998</v>
      </c>
      <c r="F115" s="14">
        <f t="shared" si="3"/>
        <v>0.27749999999999997</v>
      </c>
      <c r="G115" s="14">
        <v>0.72250000000000003</v>
      </c>
    </row>
    <row r="116" spans="2:7" x14ac:dyDescent="0.25">
      <c r="B116" s="13">
        <v>29</v>
      </c>
      <c r="C116" s="12">
        <v>1.3789489650988016</v>
      </c>
      <c r="D116" s="14">
        <f t="shared" si="2"/>
        <v>3.069999999999995E-2</v>
      </c>
      <c r="E116" s="14">
        <v>0.96930000000000005</v>
      </c>
      <c r="F116" s="14">
        <f t="shared" si="3"/>
        <v>0.32930000000000004</v>
      </c>
      <c r="G116" s="14">
        <v>0.67069999999999996</v>
      </c>
    </row>
    <row r="117" spans="2:7" x14ac:dyDescent="0.25">
      <c r="B117" s="13">
        <v>29</v>
      </c>
      <c r="C117" s="12">
        <v>1.7236862063735019</v>
      </c>
      <c r="D117" s="14">
        <f t="shared" si="2"/>
        <v>4.5900000000000052E-2</v>
      </c>
      <c r="E117" s="14">
        <v>0.95409999999999995</v>
      </c>
      <c r="F117" s="14">
        <f t="shared" si="3"/>
        <v>0.39539999999999997</v>
      </c>
      <c r="G117" s="14">
        <v>0.60460000000000003</v>
      </c>
    </row>
    <row r="118" spans="2:7" x14ac:dyDescent="0.25">
      <c r="B118" s="13">
        <v>29</v>
      </c>
      <c r="C118" s="12">
        <v>2.0684234476482022</v>
      </c>
      <c r="D118" s="14">
        <f t="shared" si="2"/>
        <v>6.2099999999999933E-2</v>
      </c>
      <c r="E118" s="14">
        <v>0.93790000000000007</v>
      </c>
      <c r="F118" s="14">
        <f t="shared" si="3"/>
        <v>0.43700000000000006</v>
      </c>
      <c r="G118" s="14">
        <v>0.56299999999999994</v>
      </c>
    </row>
    <row r="119" spans="2:7" x14ac:dyDescent="0.25">
      <c r="B119" s="13">
        <v>29</v>
      </c>
      <c r="C119" s="12">
        <v>2.7578979301976032</v>
      </c>
      <c r="D119" s="14">
        <f t="shared" si="2"/>
        <v>9.6299999999999941E-2</v>
      </c>
      <c r="E119" s="14">
        <v>0.90370000000000006</v>
      </c>
      <c r="F119" s="14">
        <f t="shared" si="3"/>
        <v>0.47950000000000004</v>
      </c>
      <c r="G119" s="14">
        <v>0.52049999999999996</v>
      </c>
    </row>
    <row r="120" spans="2:7" x14ac:dyDescent="0.25">
      <c r="B120" s="13">
        <v>29</v>
      </c>
      <c r="C120" s="12">
        <v>3.4473724127470038</v>
      </c>
      <c r="D120" s="14">
        <f t="shared" si="2"/>
        <v>0.13349999999999995</v>
      </c>
      <c r="E120" s="14">
        <v>0.86650000000000005</v>
      </c>
      <c r="F120" s="14">
        <f t="shared" si="3"/>
        <v>0.49199999999999999</v>
      </c>
      <c r="G120" s="14">
        <v>0.50800000000000001</v>
      </c>
    </row>
    <row r="121" spans="2:7" x14ac:dyDescent="0.25">
      <c r="B121" s="13">
        <v>30.6</v>
      </c>
      <c r="C121" s="12">
        <v>2.0684234476482022</v>
      </c>
      <c r="D121" s="14">
        <f t="shared" si="2"/>
        <v>7.2900000000000076E-2</v>
      </c>
      <c r="E121" s="14">
        <v>0.92709999999999992</v>
      </c>
      <c r="F121" s="14">
        <f t="shared" si="3"/>
        <v>0.30319999999999991</v>
      </c>
      <c r="G121" s="14">
        <v>0.69680000000000009</v>
      </c>
    </row>
    <row r="122" spans="2:7" x14ac:dyDescent="0.25">
      <c r="B122" s="13">
        <v>30.6</v>
      </c>
      <c r="C122" s="12">
        <v>2.7578979301976032</v>
      </c>
      <c r="D122" s="14">
        <f t="shared" si="2"/>
        <v>0.13239999999999996</v>
      </c>
      <c r="E122" s="14">
        <v>0.86760000000000004</v>
      </c>
      <c r="F122" s="14">
        <f t="shared" si="3"/>
        <v>0.32599999999999996</v>
      </c>
      <c r="G122" s="14">
        <v>0.67400000000000004</v>
      </c>
    </row>
    <row r="123" spans="2:7" x14ac:dyDescent="0.25">
      <c r="B123" s="13">
        <v>30.6</v>
      </c>
      <c r="C123" s="12">
        <v>3.1026351714723037</v>
      </c>
      <c r="D123" s="14">
        <f t="shared" si="2"/>
        <v>0.17949999999999999</v>
      </c>
      <c r="E123" s="14">
        <v>0.82050000000000001</v>
      </c>
      <c r="F123" s="14">
        <f t="shared" si="3"/>
        <v>0.30359999999999998</v>
      </c>
      <c r="G123" s="14">
        <v>0.69640000000000002</v>
      </c>
    </row>
    <row r="124" spans="2:7" x14ac:dyDescent="0.25">
      <c r="B124" s="13">
        <v>31</v>
      </c>
      <c r="C124" s="12">
        <v>1.2169224616996923</v>
      </c>
      <c r="D124" s="14">
        <f t="shared" si="2"/>
        <v>1.4899999999999913E-2</v>
      </c>
      <c r="E124" s="14">
        <v>0.98510000000000009</v>
      </c>
      <c r="F124" s="14">
        <f t="shared" si="3"/>
        <v>0.11280000000000001</v>
      </c>
      <c r="G124" s="14">
        <v>0.88719999999999999</v>
      </c>
    </row>
    <row r="125" spans="2:7" x14ac:dyDescent="0.25">
      <c r="B125" s="13">
        <v>31</v>
      </c>
      <c r="C125" s="12">
        <v>1.3720542202733075</v>
      </c>
      <c r="D125" s="14">
        <f t="shared" si="2"/>
        <v>2.5100000000000011E-2</v>
      </c>
      <c r="E125" s="14">
        <v>0.97489999999999999</v>
      </c>
      <c r="F125" s="14">
        <f t="shared" si="3"/>
        <v>0.15590000000000004</v>
      </c>
      <c r="G125" s="14">
        <v>0.84409999999999996</v>
      </c>
    </row>
    <row r="126" spans="2:7" x14ac:dyDescent="0.25">
      <c r="B126" s="13">
        <v>31</v>
      </c>
      <c r="C126" s="12">
        <v>1.7236862063735019</v>
      </c>
      <c r="D126" s="14">
        <f t="shared" si="2"/>
        <v>4.7800000000000065E-2</v>
      </c>
      <c r="E126" s="14">
        <v>0.95219999999999994</v>
      </c>
      <c r="F126" s="14">
        <f>1-G126</f>
        <v>0.2258</v>
      </c>
      <c r="G126" s="14">
        <v>0.7742</v>
      </c>
    </row>
    <row r="127" spans="2:7" x14ac:dyDescent="0.25">
      <c r="B127" s="13">
        <v>31</v>
      </c>
      <c r="C127" s="12">
        <v>2.0684234476482022</v>
      </c>
      <c r="D127" s="14">
        <f t="shared" ref="D127:D156" si="4">1-E127</f>
        <v>7.4899999999999967E-2</v>
      </c>
      <c r="E127" s="14">
        <v>0.92510000000000003</v>
      </c>
      <c r="F127" s="14">
        <f t="shared" si="3"/>
        <v>0.26569999999999994</v>
      </c>
      <c r="G127" s="14">
        <v>0.73430000000000006</v>
      </c>
    </row>
    <row r="128" spans="2:7" x14ac:dyDescent="0.25">
      <c r="B128" s="13">
        <v>31</v>
      </c>
      <c r="C128" s="12">
        <v>2.2407920682855527</v>
      </c>
      <c r="D128" s="14">
        <f t="shared" si="4"/>
        <v>8.7300000000000044E-2</v>
      </c>
      <c r="E128" s="14">
        <v>0.91269999999999996</v>
      </c>
      <c r="F128" s="14">
        <f t="shared" ref="F128:F149" si="5">1-G128</f>
        <v>0.27549999999999997</v>
      </c>
      <c r="G128" s="14">
        <v>0.72450000000000003</v>
      </c>
    </row>
    <row r="129" spans="2:7" x14ac:dyDescent="0.25">
      <c r="B129" s="13">
        <v>31</v>
      </c>
      <c r="C129" s="12">
        <v>2.4131606889229027</v>
      </c>
      <c r="D129" s="14">
        <f t="shared" si="4"/>
        <v>0.11030000000000006</v>
      </c>
      <c r="E129" s="14">
        <v>0.88969999999999994</v>
      </c>
      <c r="F129" s="14">
        <f t="shared" si="5"/>
        <v>0.27849999999999997</v>
      </c>
      <c r="G129" s="14">
        <v>0.72150000000000003</v>
      </c>
    </row>
    <row r="130" spans="2:7" x14ac:dyDescent="0.25">
      <c r="B130" s="13">
        <v>31</v>
      </c>
      <c r="C130" s="12">
        <v>2.5855293095602532</v>
      </c>
      <c r="D130" s="14">
        <f t="shared" si="4"/>
        <v>0.12930000000000008</v>
      </c>
      <c r="E130" s="14">
        <v>0.87069999999999992</v>
      </c>
      <c r="F130" s="14">
        <f t="shared" si="5"/>
        <v>0.27590000000000003</v>
      </c>
      <c r="G130" s="14">
        <v>0.72409999999999997</v>
      </c>
    </row>
    <row r="131" spans="2:7" x14ac:dyDescent="0.25">
      <c r="B131" s="13">
        <v>31</v>
      </c>
      <c r="C131" s="12">
        <v>2.7578979301976032</v>
      </c>
      <c r="D131" s="14">
        <f t="shared" si="4"/>
        <v>0.15639999999999998</v>
      </c>
      <c r="E131" s="14">
        <v>0.84360000000000002</v>
      </c>
      <c r="F131" s="14">
        <f t="shared" si="5"/>
        <v>0.25780000000000003</v>
      </c>
      <c r="G131" s="14">
        <v>0.74219999999999997</v>
      </c>
    </row>
    <row r="132" spans="2:7" x14ac:dyDescent="0.25">
      <c r="B132" s="13">
        <v>31</v>
      </c>
      <c r="C132" s="12">
        <v>2.8475296129290251</v>
      </c>
      <c r="D132" s="14">
        <f t="shared" si="4"/>
        <v>0.2087</v>
      </c>
      <c r="E132" s="14">
        <v>0.7913</v>
      </c>
      <c r="F132" s="14">
        <f t="shared" si="5"/>
        <v>0.21849999999999992</v>
      </c>
      <c r="G132" s="14">
        <v>0.78150000000000008</v>
      </c>
    </row>
    <row r="133" spans="2:7" x14ac:dyDescent="0.25">
      <c r="B133" s="13">
        <v>31.5</v>
      </c>
      <c r="C133" s="12">
        <v>1.2203698341124394</v>
      </c>
      <c r="D133" s="14">
        <f t="shared" si="4"/>
        <v>1.2699999999999934E-2</v>
      </c>
      <c r="E133" s="14">
        <v>0.98730000000000007</v>
      </c>
      <c r="F133" s="14">
        <f t="shared" si="5"/>
        <v>7.669999999999999E-2</v>
      </c>
      <c r="G133" s="14">
        <v>0.92330000000000001</v>
      </c>
    </row>
    <row r="134" spans="2:7" x14ac:dyDescent="0.25">
      <c r="B134" s="13">
        <v>31.5</v>
      </c>
      <c r="C134" s="12">
        <v>1.3789489650988016</v>
      </c>
      <c r="D134" s="14">
        <f t="shared" si="4"/>
        <v>2.300000000000002E-2</v>
      </c>
      <c r="E134" s="14">
        <v>0.97699999999999998</v>
      </c>
      <c r="F134" s="14">
        <f t="shared" si="5"/>
        <v>0.11939999999999995</v>
      </c>
      <c r="G134" s="14">
        <v>0.88060000000000005</v>
      </c>
    </row>
    <row r="135" spans="2:7" x14ac:dyDescent="0.25">
      <c r="B135" s="13">
        <v>31.5</v>
      </c>
      <c r="C135" s="12">
        <v>1.5513175857361519</v>
      </c>
      <c r="D135" s="14">
        <f t="shared" si="4"/>
        <v>3.6100000000000021E-2</v>
      </c>
      <c r="E135" s="14">
        <v>0.96389999999999998</v>
      </c>
      <c r="F135" s="14">
        <f t="shared" si="5"/>
        <v>0.15639999999999998</v>
      </c>
      <c r="G135" s="14">
        <v>0.84360000000000002</v>
      </c>
    </row>
    <row r="136" spans="2:7" x14ac:dyDescent="0.25">
      <c r="B136" s="13">
        <v>31.5</v>
      </c>
      <c r="C136" s="12">
        <v>1.7236862063735019</v>
      </c>
      <c r="D136" s="14">
        <f t="shared" si="4"/>
        <v>4.830000000000001E-2</v>
      </c>
      <c r="E136" s="14">
        <v>0.95169999999999999</v>
      </c>
      <c r="F136" s="14">
        <f t="shared" si="5"/>
        <v>0.1835</v>
      </c>
      <c r="G136" s="14">
        <v>0.8165</v>
      </c>
    </row>
    <row r="137" spans="2:7" x14ac:dyDescent="0.25">
      <c r="B137" s="13">
        <v>31.5</v>
      </c>
      <c r="C137" s="12">
        <v>1.8960548270108522</v>
      </c>
      <c r="D137" s="14">
        <f t="shared" si="4"/>
        <v>6.26000000000001E-2</v>
      </c>
      <c r="E137" s="14">
        <v>0.9373999999999999</v>
      </c>
      <c r="F137" s="14">
        <f t="shared" si="5"/>
        <v>0.20299999999999996</v>
      </c>
      <c r="G137" s="14">
        <v>0.79700000000000004</v>
      </c>
    </row>
    <row r="138" spans="2:7" x14ac:dyDescent="0.25">
      <c r="B138" s="13">
        <v>31.5</v>
      </c>
      <c r="C138" s="12">
        <v>2.0684234476482022</v>
      </c>
      <c r="D138" s="14">
        <f t="shared" si="4"/>
        <v>8.1800000000000095E-2</v>
      </c>
      <c r="E138" s="14">
        <v>0.91819999999999991</v>
      </c>
      <c r="F138" s="14">
        <f t="shared" si="5"/>
        <v>0.2137</v>
      </c>
      <c r="G138" s="14">
        <v>0.7863</v>
      </c>
    </row>
    <row r="139" spans="2:7" x14ac:dyDescent="0.25">
      <c r="B139" s="13">
        <v>31.5</v>
      </c>
      <c r="C139" s="12">
        <v>2.2407920682855527</v>
      </c>
      <c r="D139" s="14">
        <f t="shared" si="4"/>
        <v>0.10470000000000002</v>
      </c>
      <c r="E139" s="14">
        <v>0.89529999999999998</v>
      </c>
      <c r="F139" s="14">
        <f t="shared" si="5"/>
        <v>0.21489999999999998</v>
      </c>
      <c r="G139" s="14">
        <v>0.78510000000000002</v>
      </c>
    </row>
    <row r="140" spans="2:7" x14ac:dyDescent="0.25">
      <c r="B140" s="13">
        <v>31.5</v>
      </c>
      <c r="C140" s="12">
        <v>2.4200554337483968</v>
      </c>
      <c r="D140" s="14">
        <f t="shared" si="4"/>
        <v>0.16590000000000005</v>
      </c>
      <c r="E140" s="14">
        <v>0.83409999999999995</v>
      </c>
      <c r="F140" s="14">
        <f t="shared" si="5"/>
        <v>0.17579999999999996</v>
      </c>
      <c r="G140" s="14">
        <v>0.82420000000000004</v>
      </c>
    </row>
    <row r="141" spans="2:7" x14ac:dyDescent="0.25">
      <c r="B141" s="13">
        <v>31.9</v>
      </c>
      <c r="C141" s="12">
        <v>1.2031329720487043</v>
      </c>
      <c r="D141" s="14">
        <f t="shared" si="4"/>
        <v>8.0999999999999961E-3</v>
      </c>
      <c r="E141" s="14">
        <v>0.9919</v>
      </c>
      <c r="F141" s="14">
        <f t="shared" si="5"/>
        <v>4.0000000000000036E-2</v>
      </c>
      <c r="G141" s="14">
        <v>0.96</v>
      </c>
    </row>
    <row r="142" spans="2:7" x14ac:dyDescent="0.25">
      <c r="B142" s="13">
        <v>31.9</v>
      </c>
      <c r="C142" s="12">
        <v>1.3789489650988016</v>
      </c>
      <c r="D142" s="14">
        <f t="shared" si="4"/>
        <v>2.0699999999999941E-2</v>
      </c>
      <c r="E142" s="14">
        <v>0.97930000000000006</v>
      </c>
      <c r="F142" s="14">
        <f t="shared" si="5"/>
        <v>8.3100000000000063E-2</v>
      </c>
      <c r="G142" s="14">
        <v>0.91689999999999994</v>
      </c>
    </row>
    <row r="143" spans="2:7" x14ac:dyDescent="0.25">
      <c r="B143" s="13">
        <v>31.9</v>
      </c>
      <c r="C143" s="12">
        <v>1.5168438616086817</v>
      </c>
      <c r="D143" s="14">
        <f t="shared" si="4"/>
        <v>3.1700000000000061E-2</v>
      </c>
      <c r="E143" s="14">
        <v>0.96829999999999994</v>
      </c>
      <c r="F143" s="14">
        <f t="shared" si="5"/>
        <v>0.11750000000000005</v>
      </c>
      <c r="G143" s="14">
        <v>0.88249999999999995</v>
      </c>
    </row>
    <row r="144" spans="2:7" x14ac:dyDescent="0.25">
      <c r="B144" s="13">
        <v>31.9</v>
      </c>
      <c r="C144" s="12">
        <v>1.644396640880321</v>
      </c>
      <c r="D144" s="14">
        <f t="shared" si="4"/>
        <v>4.2900000000000049E-2</v>
      </c>
      <c r="E144" s="14">
        <v>0.95709999999999995</v>
      </c>
      <c r="F144" s="14">
        <f t="shared" si="5"/>
        <v>0.13859999999999995</v>
      </c>
      <c r="G144" s="14">
        <v>0.86140000000000005</v>
      </c>
    </row>
    <row r="145" spans="1:7" x14ac:dyDescent="0.25">
      <c r="B145" s="13">
        <v>31.9</v>
      </c>
      <c r="C145" s="12">
        <v>1.727133578786249</v>
      </c>
      <c r="D145" s="14">
        <f t="shared" si="4"/>
        <v>4.9899999999999944E-2</v>
      </c>
      <c r="E145" s="14">
        <v>0.95010000000000006</v>
      </c>
      <c r="F145" s="14">
        <f t="shared" si="5"/>
        <v>0.14819999999999989</v>
      </c>
      <c r="G145" s="14">
        <v>0.85180000000000011</v>
      </c>
    </row>
    <row r="146" spans="1:7" x14ac:dyDescent="0.25">
      <c r="B146" s="13">
        <v>31.9</v>
      </c>
      <c r="C146" s="12">
        <v>1.802975771866683</v>
      </c>
      <c r="D146" s="14"/>
      <c r="E146" s="14"/>
      <c r="F146" s="14">
        <f t="shared" si="5"/>
        <v>0.15620000000000001</v>
      </c>
      <c r="G146" s="14">
        <v>0.84379999999999999</v>
      </c>
    </row>
    <row r="147" spans="1:7" x14ac:dyDescent="0.25">
      <c r="B147" s="13">
        <v>31.9</v>
      </c>
      <c r="C147" s="12">
        <v>1.8995021994235992</v>
      </c>
      <c r="D147" s="14">
        <f t="shared" si="4"/>
        <v>6.8700000000000094E-2</v>
      </c>
      <c r="E147" s="14">
        <v>0.93129999999999991</v>
      </c>
      <c r="F147" s="14">
        <f t="shared" si="5"/>
        <v>0.16189999999999993</v>
      </c>
      <c r="G147" s="14">
        <v>0.83810000000000007</v>
      </c>
    </row>
    <row r="148" spans="1:7" x14ac:dyDescent="0.25">
      <c r="B148" s="13">
        <v>31.9</v>
      </c>
      <c r="C148" s="12">
        <v>1.9960286269805152</v>
      </c>
      <c r="D148" s="14">
        <f t="shared" si="4"/>
        <v>8.7099999999999955E-2</v>
      </c>
      <c r="E148" s="14">
        <v>0.91290000000000004</v>
      </c>
      <c r="F148" s="14">
        <f t="shared" si="5"/>
        <v>0.16349999999999998</v>
      </c>
      <c r="G148" s="14">
        <v>0.83650000000000002</v>
      </c>
    </row>
    <row r="149" spans="1:7" x14ac:dyDescent="0.25">
      <c r="B149" s="13">
        <v>31.9</v>
      </c>
      <c r="C149" s="12">
        <v>2.0684234476482022</v>
      </c>
      <c r="D149" s="14">
        <f t="shared" si="4"/>
        <v>0.10099999999999998</v>
      </c>
      <c r="E149" s="14">
        <v>0.89900000000000002</v>
      </c>
      <c r="F149" s="14">
        <f t="shared" si="5"/>
        <v>0.15879999999999994</v>
      </c>
      <c r="G149" s="14">
        <v>0.84120000000000006</v>
      </c>
    </row>
    <row r="150" spans="1:7" x14ac:dyDescent="0.25">
      <c r="B150" s="13">
        <v>31.9</v>
      </c>
      <c r="C150" s="12">
        <v>2.1270287786649016</v>
      </c>
      <c r="D150" s="14">
        <f t="shared" si="4"/>
        <v>0.12019999999999997</v>
      </c>
      <c r="E150" s="14">
        <v>0.87980000000000003</v>
      </c>
      <c r="F150" s="14"/>
      <c r="G150" s="14"/>
    </row>
    <row r="151" spans="1:7" x14ac:dyDescent="0.25">
      <c r="B151" s="13">
        <v>32.5</v>
      </c>
      <c r="C151" s="12">
        <v>1.2996593996056205</v>
      </c>
      <c r="D151" s="14">
        <f t="shared" si="4"/>
        <v>9.8000000000000309E-3</v>
      </c>
      <c r="E151" s="14">
        <v>0.99019999999999997</v>
      </c>
      <c r="F151" s="14">
        <f t="shared" ref="F151:F153" si="6">1-G151</f>
        <v>3.1200000000000006E-2</v>
      </c>
      <c r="G151" s="14">
        <v>0.96879999999999999</v>
      </c>
    </row>
    <row r="152" spans="1:7" x14ac:dyDescent="0.25">
      <c r="B152" s="13">
        <v>32.5</v>
      </c>
      <c r="C152" s="12">
        <v>1.3789489650988016</v>
      </c>
      <c r="D152" s="14">
        <f t="shared" si="4"/>
        <v>1.6800000000000037E-2</v>
      </c>
      <c r="E152" s="14">
        <v>0.98319999999999996</v>
      </c>
      <c r="F152" s="14">
        <f t="shared" si="6"/>
        <v>4.7999999999999932E-2</v>
      </c>
      <c r="G152" s="14">
        <v>0.95200000000000007</v>
      </c>
    </row>
    <row r="153" spans="1:7" x14ac:dyDescent="0.25">
      <c r="B153" s="13">
        <v>32.5</v>
      </c>
      <c r="C153" s="12">
        <v>1.5168438616086817</v>
      </c>
      <c r="D153" s="14">
        <f t="shared" si="4"/>
        <v>3.0999999999999917E-2</v>
      </c>
      <c r="E153" s="14">
        <v>0.96900000000000008</v>
      </c>
      <c r="F153" s="14">
        <f t="shared" si="6"/>
        <v>7.4500000000000011E-2</v>
      </c>
      <c r="G153" s="14">
        <v>0.92549999999999999</v>
      </c>
    </row>
    <row r="154" spans="1:7" x14ac:dyDescent="0.25">
      <c r="B154" s="13">
        <v>32.5</v>
      </c>
      <c r="C154" s="12">
        <v>1.66852824776955</v>
      </c>
      <c r="D154" s="14">
        <f t="shared" si="4"/>
        <v>5.0900000000000056E-2</v>
      </c>
      <c r="E154" s="14">
        <v>0.94909999999999994</v>
      </c>
      <c r="F154" s="14"/>
      <c r="G154" s="14"/>
    </row>
    <row r="155" spans="1:7" x14ac:dyDescent="0.25">
      <c r="B155" s="13">
        <v>32.5</v>
      </c>
      <c r="C155" s="12">
        <v>1.7236862063735019</v>
      </c>
      <c r="D155" s="14">
        <f t="shared" si="4"/>
        <v>5.9899999999999953E-2</v>
      </c>
      <c r="E155" s="14">
        <v>0.94010000000000005</v>
      </c>
      <c r="F155" s="14"/>
      <c r="G155" s="14"/>
    </row>
    <row r="156" spans="1:7" ht="15.75" thickBot="1" x14ac:dyDescent="0.3">
      <c r="A156" s="9"/>
      <c r="B156" s="17">
        <v>32.5</v>
      </c>
      <c r="C156" s="15">
        <v>1.778844164977454</v>
      </c>
      <c r="D156" s="16">
        <f t="shared" si="4"/>
        <v>6.7500000000000004E-2</v>
      </c>
      <c r="E156" s="16">
        <v>0.9325</v>
      </c>
      <c r="F156" s="16"/>
      <c r="G156" s="16"/>
    </row>
    <row r="157" spans="1:7" x14ac:dyDescent="0.25">
      <c r="A157" s="18" t="s">
        <v>78</v>
      </c>
      <c r="B157" s="13">
        <v>15.5</v>
      </c>
      <c r="C157" s="12">
        <v>2.6613715026406872</v>
      </c>
      <c r="D157" s="8">
        <f>1-E157</f>
        <v>9.000000000000008E-3</v>
      </c>
      <c r="E157" s="8">
        <v>0.99099999999999999</v>
      </c>
      <c r="F157" s="8">
        <f>1-G157</f>
        <v>0.97099999999999997</v>
      </c>
      <c r="G157" s="8">
        <v>2.8999999999999998E-2</v>
      </c>
    </row>
    <row r="158" spans="1:7" x14ac:dyDescent="0.25">
      <c r="B158" s="13">
        <v>15.5</v>
      </c>
      <c r="C158" s="12">
        <v>3.4473724127470038</v>
      </c>
      <c r="D158" s="8">
        <f t="shared" ref="D158:D216" si="7">1-E158</f>
        <v>1.0999999999999899E-2</v>
      </c>
      <c r="E158" s="8">
        <v>0.9890000000000001</v>
      </c>
      <c r="F158" s="8">
        <f t="shared" ref="F158:F216" si="8">1-G158</f>
        <v>0.97</v>
      </c>
      <c r="G158" s="8">
        <v>0.03</v>
      </c>
    </row>
    <row r="159" spans="1:7" x14ac:dyDescent="0.25">
      <c r="B159" s="13">
        <v>15.5</v>
      </c>
      <c r="C159" s="12">
        <v>4.1437416401218989</v>
      </c>
      <c r="D159" s="8">
        <f t="shared" si="7"/>
        <v>1.0999999999999899E-2</v>
      </c>
      <c r="E159" s="8">
        <v>0.9890000000000001</v>
      </c>
      <c r="F159" s="8">
        <f t="shared" si="8"/>
        <v>0.97299999999999998</v>
      </c>
      <c r="G159" s="8">
        <v>2.7000000000000003E-2</v>
      </c>
    </row>
    <row r="160" spans="1:7" x14ac:dyDescent="0.25">
      <c r="B160" s="13">
        <v>15.5</v>
      </c>
      <c r="C160" s="12">
        <v>5.177953363946</v>
      </c>
      <c r="D160" s="8">
        <f t="shared" si="7"/>
        <v>1.2000000000000011E-2</v>
      </c>
      <c r="E160" s="8">
        <v>0.98799999999999999</v>
      </c>
      <c r="F160" s="8">
        <f t="shared" si="8"/>
        <v>0.97499999999999998</v>
      </c>
      <c r="G160" s="8">
        <v>2.5000000000000001E-2</v>
      </c>
    </row>
    <row r="161" spans="2:7" x14ac:dyDescent="0.25">
      <c r="B161" s="13">
        <v>15.5</v>
      </c>
      <c r="C161" s="12">
        <v>5.2469008122009404</v>
      </c>
      <c r="D161" s="8">
        <f t="shared" si="7"/>
        <v>1.2000000000000011E-2</v>
      </c>
      <c r="E161" s="8">
        <v>0.98799999999999999</v>
      </c>
      <c r="F161" s="8">
        <f t="shared" si="8"/>
        <v>0.97399999999999998</v>
      </c>
      <c r="G161" s="8">
        <v>2.6000000000000002E-2</v>
      </c>
    </row>
    <row r="162" spans="2:7" x14ac:dyDescent="0.25">
      <c r="B162" s="13">
        <v>17</v>
      </c>
      <c r="C162" s="12">
        <v>2.9026875715329772</v>
      </c>
      <c r="D162" s="8">
        <f t="shared" si="7"/>
        <v>1.5999999999999903E-2</v>
      </c>
      <c r="E162" s="8">
        <v>0.9840000000000001</v>
      </c>
      <c r="F162" s="8">
        <f t="shared" si="8"/>
        <v>0.95099999999999996</v>
      </c>
      <c r="G162" s="8">
        <v>4.9000000000000002E-2</v>
      </c>
    </row>
    <row r="163" spans="2:7" x14ac:dyDescent="0.25">
      <c r="B163" s="13">
        <v>17</v>
      </c>
      <c r="C163" s="12">
        <v>4.1299521504709107</v>
      </c>
      <c r="D163" s="8">
        <f t="shared" si="7"/>
        <v>1.7000000000000015E-2</v>
      </c>
      <c r="E163" s="8">
        <v>0.98299999999999998</v>
      </c>
      <c r="F163" s="8">
        <f t="shared" si="8"/>
        <v>0.95699999999999996</v>
      </c>
      <c r="G163" s="8">
        <v>4.2999999999999997E-2</v>
      </c>
    </row>
    <row r="164" spans="2:7" x14ac:dyDescent="0.25">
      <c r="B164" s="13">
        <v>17</v>
      </c>
      <c r="C164" s="12">
        <v>5.1710586191205063</v>
      </c>
      <c r="D164" s="8">
        <f t="shared" si="7"/>
        <v>1.8000000000000016E-2</v>
      </c>
      <c r="E164" s="8">
        <v>0.98199999999999998</v>
      </c>
      <c r="F164" s="8">
        <f t="shared" si="8"/>
        <v>0.96</v>
      </c>
      <c r="G164" s="8">
        <v>0.04</v>
      </c>
    </row>
    <row r="165" spans="2:7" x14ac:dyDescent="0.25">
      <c r="B165" s="13">
        <v>17</v>
      </c>
      <c r="C165" s="12">
        <v>6.5431128393938138</v>
      </c>
      <c r="D165" s="8">
        <f t="shared" si="7"/>
        <v>1.9000000000000017E-2</v>
      </c>
      <c r="E165" s="8">
        <v>0.98099999999999998</v>
      </c>
      <c r="F165" s="8">
        <f t="shared" si="8"/>
        <v>0.96199999999999997</v>
      </c>
      <c r="G165" s="8">
        <v>3.7999999999999999E-2</v>
      </c>
    </row>
    <row r="166" spans="2:7" x14ac:dyDescent="0.25">
      <c r="B166" s="13">
        <v>17</v>
      </c>
      <c r="C166" s="12">
        <v>8.2805885354183033</v>
      </c>
      <c r="D166" s="8">
        <f t="shared" si="7"/>
        <v>2.0000000000000018E-2</v>
      </c>
      <c r="E166" s="8">
        <v>0.98</v>
      </c>
      <c r="F166" s="8">
        <f t="shared" si="8"/>
        <v>0.96599999999999997</v>
      </c>
      <c r="G166" s="8">
        <v>3.4000000000000002E-2</v>
      </c>
    </row>
    <row r="167" spans="2:7" x14ac:dyDescent="0.25">
      <c r="B167" s="13">
        <v>20.399999999999999</v>
      </c>
      <c r="C167" s="12">
        <v>3.4473724127470038</v>
      </c>
      <c r="D167" s="8">
        <f t="shared" si="7"/>
        <v>3.2999999999999918E-2</v>
      </c>
      <c r="E167" s="8">
        <v>0.96700000000000008</v>
      </c>
      <c r="F167" s="8">
        <f t="shared" si="8"/>
        <v>0.89700000000000002</v>
      </c>
      <c r="G167" s="8">
        <v>0.10300000000000001</v>
      </c>
    </row>
    <row r="168" spans="2:7" x14ac:dyDescent="0.25">
      <c r="B168" s="13">
        <v>20.399999999999999</v>
      </c>
      <c r="C168" s="12">
        <v>4.1437416401218989</v>
      </c>
      <c r="D168" s="8">
        <f t="shared" si="7"/>
        <v>3.5999999999999921E-2</v>
      </c>
      <c r="E168" s="8">
        <v>0.96400000000000008</v>
      </c>
      <c r="F168" s="8">
        <f t="shared" si="8"/>
        <v>0.90200000000000002</v>
      </c>
      <c r="G168" s="8">
        <v>9.8000000000000004E-2</v>
      </c>
    </row>
    <row r="169" spans="2:7" x14ac:dyDescent="0.25">
      <c r="B169" s="13">
        <v>20.399999999999999</v>
      </c>
      <c r="C169" s="12">
        <v>5.177953363946</v>
      </c>
      <c r="D169" s="8">
        <f t="shared" si="7"/>
        <v>4.0000000000000036E-2</v>
      </c>
      <c r="E169" s="8">
        <v>0.96</v>
      </c>
      <c r="F169" s="8">
        <f t="shared" si="8"/>
        <v>0.90300000000000002</v>
      </c>
      <c r="G169" s="8">
        <v>9.6999999999999989E-2</v>
      </c>
    </row>
    <row r="170" spans="2:7" x14ac:dyDescent="0.25">
      <c r="B170" s="13">
        <v>20.399999999999999</v>
      </c>
      <c r="C170" s="12">
        <v>6.5500075842193075</v>
      </c>
      <c r="D170" s="8">
        <f t="shared" si="7"/>
        <v>4.2999999999999927E-2</v>
      </c>
      <c r="E170" s="8">
        <v>0.95700000000000007</v>
      </c>
      <c r="F170" s="8">
        <f t="shared" si="8"/>
        <v>0.91200000000000003</v>
      </c>
      <c r="G170" s="8">
        <v>8.8000000000000009E-2</v>
      </c>
    </row>
    <row r="171" spans="2:7" x14ac:dyDescent="0.25">
      <c r="B171" s="13">
        <v>20.399999999999999</v>
      </c>
      <c r="C171" s="12">
        <v>8.2805885354183033</v>
      </c>
      <c r="D171" s="8">
        <f t="shared" si="7"/>
        <v>4.2999999999999927E-2</v>
      </c>
      <c r="E171" s="8">
        <v>0.95700000000000007</v>
      </c>
      <c r="F171" s="8">
        <f t="shared" si="8"/>
        <v>0.92</v>
      </c>
      <c r="G171" s="8">
        <v>0.08</v>
      </c>
    </row>
    <row r="172" spans="2:7" x14ac:dyDescent="0.25">
      <c r="B172" s="13">
        <v>20.399999999999999</v>
      </c>
      <c r="C172" s="12">
        <v>10.342117238241013</v>
      </c>
      <c r="D172" s="8">
        <f t="shared" si="7"/>
        <v>4.500000000000004E-2</v>
      </c>
      <c r="E172" s="8">
        <v>0.95499999999999996</v>
      </c>
      <c r="F172" s="8">
        <f t="shared" si="8"/>
        <v>0.92700000000000005</v>
      </c>
      <c r="G172" s="8">
        <v>7.2999999999999995E-2</v>
      </c>
    </row>
    <row r="173" spans="2:7" x14ac:dyDescent="0.25">
      <c r="B173" s="13">
        <v>23</v>
      </c>
      <c r="C173" s="12">
        <v>4.1368468952964044</v>
      </c>
      <c r="D173" s="8">
        <f t="shared" si="7"/>
        <v>5.799999999999994E-2</v>
      </c>
      <c r="E173" s="8">
        <v>0.94200000000000006</v>
      </c>
      <c r="F173" s="8">
        <f t="shared" si="8"/>
        <v>0.82399999999999995</v>
      </c>
      <c r="G173" s="8">
        <v>0.17600000000000002</v>
      </c>
    </row>
    <row r="174" spans="2:7" x14ac:dyDescent="0.25">
      <c r="B174" s="13">
        <v>23</v>
      </c>
      <c r="C174" s="12">
        <v>5.1641638742950118</v>
      </c>
      <c r="D174" s="8">
        <f t="shared" si="7"/>
        <v>6.4999999999999947E-2</v>
      </c>
      <c r="E174" s="8">
        <v>0.93500000000000005</v>
      </c>
      <c r="F174" s="8">
        <f t="shared" si="8"/>
        <v>0.82800000000000007</v>
      </c>
      <c r="G174" s="8">
        <v>0.17199999999999999</v>
      </c>
    </row>
    <row r="175" spans="2:7" x14ac:dyDescent="0.25">
      <c r="B175" s="13">
        <v>23</v>
      </c>
      <c r="C175" s="12">
        <v>6.5500075842193075</v>
      </c>
      <c r="D175" s="8">
        <f t="shared" si="7"/>
        <v>7.0999999999999952E-2</v>
      </c>
      <c r="E175" s="8">
        <v>0.92900000000000005</v>
      </c>
      <c r="F175" s="8">
        <f t="shared" si="8"/>
        <v>0.83699999999999997</v>
      </c>
      <c r="G175" s="8">
        <v>0.16300000000000001</v>
      </c>
    </row>
    <row r="176" spans="2:7" x14ac:dyDescent="0.25">
      <c r="B176" s="13">
        <v>23</v>
      </c>
      <c r="C176" s="12">
        <v>8.2736937905928087</v>
      </c>
      <c r="D176" s="8">
        <f t="shared" si="7"/>
        <v>7.5999999999999956E-2</v>
      </c>
      <c r="E176" s="8">
        <v>0.92400000000000004</v>
      </c>
      <c r="F176" s="8">
        <f t="shared" si="8"/>
        <v>0.85099999999999998</v>
      </c>
      <c r="G176" s="8">
        <v>0.14899999999999999</v>
      </c>
    </row>
    <row r="177" spans="2:7" x14ac:dyDescent="0.25">
      <c r="B177" s="13">
        <v>23</v>
      </c>
      <c r="C177" s="12">
        <v>10.335222493415518</v>
      </c>
      <c r="D177" s="8">
        <f t="shared" si="7"/>
        <v>7.7999999999999958E-2</v>
      </c>
      <c r="E177" s="8">
        <v>0.92200000000000004</v>
      </c>
      <c r="F177" s="8">
        <f t="shared" si="8"/>
        <v>0.86699999999999999</v>
      </c>
      <c r="G177" s="8">
        <v>0.13300000000000001</v>
      </c>
    </row>
    <row r="178" spans="2:7" x14ac:dyDescent="0.25">
      <c r="B178" s="13">
        <v>26</v>
      </c>
      <c r="C178" s="12">
        <v>4.1299521504709107</v>
      </c>
      <c r="D178" s="8">
        <f t="shared" si="7"/>
        <v>9.2000000000000082E-2</v>
      </c>
      <c r="E178" s="8">
        <v>0.90799999999999992</v>
      </c>
      <c r="F178" s="8">
        <f t="shared" si="8"/>
        <v>0.68799999999999994</v>
      </c>
      <c r="G178" s="8">
        <v>0.312</v>
      </c>
    </row>
    <row r="179" spans="2:7" x14ac:dyDescent="0.25">
      <c r="B179" s="13">
        <v>26</v>
      </c>
      <c r="C179" s="12">
        <v>5.2055323432479756</v>
      </c>
      <c r="D179" s="8">
        <f t="shared" si="7"/>
        <v>0.11099999999999999</v>
      </c>
      <c r="E179" s="8">
        <v>0.88900000000000001</v>
      </c>
      <c r="F179" s="8">
        <f t="shared" si="8"/>
        <v>0.69500000000000006</v>
      </c>
      <c r="G179" s="8">
        <v>0.30499999999999999</v>
      </c>
    </row>
    <row r="180" spans="2:7" x14ac:dyDescent="0.25">
      <c r="B180" s="13">
        <v>26</v>
      </c>
      <c r="C180" s="12">
        <v>6.5500075842193075</v>
      </c>
      <c r="D180" s="8">
        <f t="shared" si="7"/>
        <v>0.13800000000000001</v>
      </c>
      <c r="E180" s="8">
        <v>0.86199999999999999</v>
      </c>
      <c r="F180" s="8">
        <f t="shared" si="8"/>
        <v>0.70500000000000007</v>
      </c>
      <c r="G180" s="8">
        <v>0.29499999999999998</v>
      </c>
    </row>
    <row r="181" spans="2:7" x14ac:dyDescent="0.25">
      <c r="B181" s="13">
        <v>26</v>
      </c>
      <c r="C181" s="12">
        <v>8.2874832802437979</v>
      </c>
      <c r="D181" s="8">
        <f t="shared" si="7"/>
        <v>0.15700000000000003</v>
      </c>
      <c r="E181" s="8">
        <v>0.84299999999999997</v>
      </c>
      <c r="F181" s="8">
        <f t="shared" si="8"/>
        <v>0.71599999999999997</v>
      </c>
      <c r="G181" s="8">
        <v>0.28399999999999997</v>
      </c>
    </row>
    <row r="182" spans="2:7" x14ac:dyDescent="0.25">
      <c r="B182" s="13">
        <v>26</v>
      </c>
      <c r="C182" s="12">
        <v>10.342117238241013</v>
      </c>
      <c r="D182" s="8">
        <f t="shared" si="7"/>
        <v>0.14400000000000002</v>
      </c>
      <c r="E182" s="8">
        <v>0.85599999999999998</v>
      </c>
      <c r="F182" s="8">
        <f t="shared" si="8"/>
        <v>0.73599999999999999</v>
      </c>
      <c r="G182" s="8">
        <v>0.26400000000000001</v>
      </c>
    </row>
    <row r="183" spans="2:7" x14ac:dyDescent="0.25">
      <c r="B183" s="13">
        <v>27.8</v>
      </c>
      <c r="C183" s="12">
        <v>2.3648974751444447</v>
      </c>
      <c r="D183" s="8">
        <f t="shared" si="7"/>
        <v>6.5999999999999948E-2</v>
      </c>
      <c r="E183" s="8">
        <v>0.93400000000000005</v>
      </c>
      <c r="F183" s="8">
        <f t="shared" si="8"/>
        <v>0.53</v>
      </c>
      <c r="G183" s="8">
        <v>0.47</v>
      </c>
    </row>
    <row r="184" spans="2:7" x14ac:dyDescent="0.25">
      <c r="B184" s="13">
        <v>27.8</v>
      </c>
      <c r="C184" s="12">
        <v>3.4542671575724979</v>
      </c>
      <c r="D184" s="8">
        <f t="shared" si="7"/>
        <v>0.10199999999999998</v>
      </c>
      <c r="E184" s="8">
        <v>0.89800000000000002</v>
      </c>
      <c r="F184" s="8">
        <f t="shared" si="8"/>
        <v>0.55800000000000005</v>
      </c>
      <c r="G184" s="8">
        <v>0.442</v>
      </c>
    </row>
    <row r="185" spans="2:7" x14ac:dyDescent="0.25">
      <c r="B185" s="13">
        <v>27.8</v>
      </c>
      <c r="C185" s="12">
        <v>5.1641638742950118</v>
      </c>
      <c r="D185" s="8">
        <f t="shared" si="7"/>
        <v>0.16599999999999993</v>
      </c>
      <c r="E185" s="8">
        <v>0.83400000000000007</v>
      </c>
      <c r="F185" s="8">
        <f t="shared" si="8"/>
        <v>0.56699999999999995</v>
      </c>
      <c r="G185" s="8">
        <v>0.433</v>
      </c>
    </row>
    <row r="186" spans="2:7" x14ac:dyDescent="0.25">
      <c r="B186" s="13">
        <v>27.8</v>
      </c>
      <c r="C186" s="12">
        <v>6.5500075842193075</v>
      </c>
      <c r="D186" s="8">
        <f t="shared" si="7"/>
        <v>0.20499999999999996</v>
      </c>
      <c r="E186" s="8">
        <v>0.79500000000000004</v>
      </c>
      <c r="F186" s="8">
        <f t="shared" si="8"/>
        <v>0.55600000000000005</v>
      </c>
      <c r="G186" s="8">
        <v>0.44400000000000001</v>
      </c>
    </row>
    <row r="187" spans="2:7" x14ac:dyDescent="0.25">
      <c r="B187" s="13">
        <v>27.8</v>
      </c>
      <c r="C187" s="12">
        <v>8.2736937905928087</v>
      </c>
      <c r="D187" s="8">
        <f t="shared" si="7"/>
        <v>0.24199999999999999</v>
      </c>
      <c r="E187" s="8">
        <v>0.75800000000000001</v>
      </c>
      <c r="F187" s="8">
        <f t="shared" si="8"/>
        <v>0.54299999999999993</v>
      </c>
      <c r="G187" s="8">
        <v>0.45700000000000002</v>
      </c>
    </row>
    <row r="188" spans="2:7" x14ac:dyDescent="0.25">
      <c r="B188" s="13">
        <v>27.8</v>
      </c>
      <c r="C188" s="12">
        <v>8.8114838869813426</v>
      </c>
      <c r="D188" s="8">
        <f t="shared" si="7"/>
        <v>0.253</v>
      </c>
      <c r="E188" s="8">
        <v>0.747</v>
      </c>
      <c r="F188" s="8">
        <f t="shared" si="8"/>
        <v>0.54899999999999993</v>
      </c>
      <c r="G188" s="8">
        <v>0.45100000000000001</v>
      </c>
    </row>
    <row r="189" spans="2:7" x14ac:dyDescent="0.25">
      <c r="B189" s="13">
        <v>27.8</v>
      </c>
      <c r="C189" s="12">
        <v>9.1148526593030788</v>
      </c>
      <c r="D189" s="8">
        <f t="shared" si="7"/>
        <v>0.26</v>
      </c>
      <c r="E189" s="8">
        <v>0.74</v>
      </c>
      <c r="F189" s="8">
        <f t="shared" si="8"/>
        <v>0.55600000000000005</v>
      </c>
      <c r="G189" s="8">
        <v>0.44400000000000001</v>
      </c>
    </row>
    <row r="190" spans="2:7" x14ac:dyDescent="0.25">
      <c r="B190" s="13">
        <v>27.8</v>
      </c>
      <c r="C190" s="12">
        <v>9.2941160247659234</v>
      </c>
      <c r="D190" s="8">
        <f t="shared" si="7"/>
        <v>0.25700000000000001</v>
      </c>
      <c r="E190" s="8">
        <v>0.74299999999999999</v>
      </c>
      <c r="F190" s="8">
        <f t="shared" si="8"/>
        <v>0.56099999999999994</v>
      </c>
      <c r="G190" s="8">
        <v>0.439</v>
      </c>
    </row>
    <row r="191" spans="2:7" x14ac:dyDescent="0.25">
      <c r="B191" s="13">
        <v>27.8</v>
      </c>
      <c r="C191" s="12">
        <v>10.355906727892</v>
      </c>
      <c r="D191" s="8">
        <f t="shared" si="7"/>
        <v>0.26400000000000001</v>
      </c>
      <c r="E191" s="8">
        <v>0.73599999999999999</v>
      </c>
      <c r="F191" s="8">
        <f t="shared" si="8"/>
        <v>0.57600000000000007</v>
      </c>
      <c r="G191" s="8">
        <v>0.42399999999999999</v>
      </c>
    </row>
    <row r="192" spans="2:7" x14ac:dyDescent="0.25">
      <c r="B192" s="13">
        <v>28.05</v>
      </c>
      <c r="C192" s="12">
        <v>7.0326397220038883</v>
      </c>
      <c r="D192" s="8">
        <f t="shared" si="7"/>
        <v>0.255</v>
      </c>
      <c r="E192" s="8">
        <v>0.745</v>
      </c>
      <c r="F192" s="8">
        <f t="shared" si="8"/>
        <v>0.504</v>
      </c>
      <c r="G192" s="8">
        <v>0.496</v>
      </c>
    </row>
    <row r="193" spans="2:7" x14ac:dyDescent="0.25">
      <c r="B193" s="13">
        <v>28.05</v>
      </c>
      <c r="C193" s="12">
        <v>9.0114314869206691</v>
      </c>
      <c r="D193" s="8">
        <f t="shared" si="7"/>
        <v>0.29700000000000004</v>
      </c>
      <c r="E193" s="8">
        <v>0.70299999999999996</v>
      </c>
      <c r="F193" s="8">
        <f t="shared" si="8"/>
        <v>0.497</v>
      </c>
      <c r="G193" s="8">
        <v>0.503</v>
      </c>
    </row>
    <row r="194" spans="2:7" x14ac:dyDescent="0.25">
      <c r="B194" s="13">
        <v>28.05</v>
      </c>
      <c r="C194" s="12">
        <v>9.7284849487720457</v>
      </c>
      <c r="D194" s="8">
        <f t="shared" si="7"/>
        <v>0.31400000000000006</v>
      </c>
      <c r="E194" s="8">
        <v>0.68599999999999994</v>
      </c>
      <c r="F194" s="8">
        <f t="shared" si="8"/>
        <v>0.50900000000000001</v>
      </c>
      <c r="G194" s="8">
        <v>0.49099999999999999</v>
      </c>
    </row>
    <row r="195" spans="2:7" x14ac:dyDescent="0.25">
      <c r="B195" s="13">
        <v>28.05</v>
      </c>
      <c r="C195" s="12">
        <v>10.342117238241013</v>
      </c>
      <c r="D195" s="8">
        <f t="shared" si="7"/>
        <v>0.32799999999999996</v>
      </c>
      <c r="E195" s="8">
        <v>0.67200000000000004</v>
      </c>
      <c r="F195" s="8">
        <f t="shared" si="8"/>
        <v>0.51700000000000002</v>
      </c>
      <c r="G195" s="8">
        <v>0.48299999999999998</v>
      </c>
    </row>
    <row r="196" spans="2:7" x14ac:dyDescent="0.25">
      <c r="B196" s="13">
        <v>28.2</v>
      </c>
      <c r="C196" s="12">
        <v>5.8605331016699065</v>
      </c>
      <c r="D196" s="8">
        <f t="shared" si="7"/>
        <v>0.21200000000000008</v>
      </c>
      <c r="E196" s="8">
        <v>0.78799999999999992</v>
      </c>
      <c r="F196" s="8">
        <f t="shared" si="8"/>
        <v>0.52100000000000002</v>
      </c>
      <c r="G196" s="8">
        <v>0.47899999999999998</v>
      </c>
    </row>
    <row r="197" spans="2:7" x14ac:dyDescent="0.25">
      <c r="B197" s="13">
        <v>28.2</v>
      </c>
      <c r="C197" s="12">
        <v>6.8740605910175256</v>
      </c>
      <c r="D197" s="8">
        <f t="shared" si="7"/>
        <v>0.26400000000000001</v>
      </c>
      <c r="E197" s="8">
        <v>0.73599999999999999</v>
      </c>
      <c r="F197" s="8">
        <f t="shared" si="8"/>
        <v>0.48599999999999999</v>
      </c>
      <c r="G197" s="8">
        <v>0.51400000000000001</v>
      </c>
    </row>
    <row r="198" spans="2:7" x14ac:dyDescent="0.25">
      <c r="B198" s="13">
        <v>28.2</v>
      </c>
      <c r="C198" s="12">
        <v>7.0809029357823459</v>
      </c>
      <c r="D198" s="8">
        <f t="shared" si="7"/>
        <v>0.26900000000000002</v>
      </c>
      <c r="E198" s="8">
        <v>0.73099999999999998</v>
      </c>
      <c r="F198" s="8">
        <f t="shared" si="8"/>
        <v>0.47499999999999998</v>
      </c>
      <c r="G198" s="8">
        <v>0.52500000000000002</v>
      </c>
    </row>
    <row r="199" spans="2:7" x14ac:dyDescent="0.25">
      <c r="B199" s="13">
        <v>28.2</v>
      </c>
      <c r="C199" s="12">
        <v>7.2670610460706841</v>
      </c>
      <c r="D199" s="8">
        <f t="shared" si="7"/>
        <v>0.27900000000000003</v>
      </c>
      <c r="E199" s="8">
        <v>0.72099999999999997</v>
      </c>
      <c r="F199" s="8">
        <f t="shared" si="8"/>
        <v>0.47699999999999998</v>
      </c>
      <c r="G199" s="8">
        <v>0.52300000000000002</v>
      </c>
    </row>
    <row r="200" spans="2:7" x14ac:dyDescent="0.25">
      <c r="B200" s="13">
        <v>28.2</v>
      </c>
      <c r="C200" s="12">
        <v>7.8462196114121809</v>
      </c>
      <c r="D200" s="8">
        <f t="shared" si="7"/>
        <v>0.32099999999999995</v>
      </c>
      <c r="E200" s="8">
        <v>0.67900000000000005</v>
      </c>
      <c r="F200" s="8">
        <f t="shared" si="8"/>
        <v>0.44100000000000006</v>
      </c>
      <c r="G200" s="8">
        <v>0.55899999999999994</v>
      </c>
    </row>
    <row r="201" spans="2:7" x14ac:dyDescent="0.25">
      <c r="B201" s="13">
        <v>28.45</v>
      </c>
      <c r="C201" s="12">
        <v>4.2885312814572734</v>
      </c>
      <c r="D201" s="8">
        <f t="shared" si="7"/>
        <v>0.15000000000000002</v>
      </c>
      <c r="E201" s="8">
        <v>0.85</v>
      </c>
      <c r="F201" s="8">
        <f t="shared" si="8"/>
        <v>0.51500000000000001</v>
      </c>
      <c r="G201" s="8">
        <v>0.48499999999999999</v>
      </c>
    </row>
    <row r="202" spans="2:7" x14ac:dyDescent="0.25">
      <c r="B202" s="13">
        <v>28.45</v>
      </c>
      <c r="C202" s="12">
        <v>5.1710586191205063</v>
      </c>
      <c r="D202" s="8">
        <f t="shared" si="7"/>
        <v>0.19099999999999995</v>
      </c>
      <c r="E202" s="8">
        <v>0.80900000000000005</v>
      </c>
      <c r="F202" s="8">
        <f t="shared" si="8"/>
        <v>0.496</v>
      </c>
      <c r="G202" s="8">
        <v>0.504</v>
      </c>
    </row>
    <row r="203" spans="2:7" x14ac:dyDescent="0.25">
      <c r="B203" s="13">
        <v>28.45</v>
      </c>
      <c r="C203" s="12">
        <v>5.963954274052317</v>
      </c>
      <c r="D203" s="8">
        <f t="shared" si="7"/>
        <v>0.252</v>
      </c>
      <c r="E203" s="8">
        <v>0.748</v>
      </c>
      <c r="F203" s="8">
        <f t="shared" si="8"/>
        <v>0.47399999999999998</v>
      </c>
      <c r="G203" s="8">
        <v>0.52600000000000002</v>
      </c>
    </row>
    <row r="204" spans="2:7" x14ac:dyDescent="0.25">
      <c r="B204" s="13">
        <v>28.45</v>
      </c>
      <c r="C204" s="12">
        <v>6.3155862601525117</v>
      </c>
      <c r="D204" s="8">
        <f t="shared" si="7"/>
        <v>0.27599999999999991</v>
      </c>
      <c r="E204" s="8">
        <v>0.72400000000000009</v>
      </c>
      <c r="F204" s="8">
        <f t="shared" si="8"/>
        <v>0.44100000000000006</v>
      </c>
      <c r="G204" s="8">
        <v>0.55899999999999994</v>
      </c>
    </row>
    <row r="205" spans="2:7" x14ac:dyDescent="0.25">
      <c r="B205" s="13">
        <v>28.45</v>
      </c>
      <c r="C205" s="12">
        <v>6.4879548807898617</v>
      </c>
      <c r="D205" s="8">
        <f t="shared" si="7"/>
        <v>0.29700000000000004</v>
      </c>
      <c r="E205" s="8">
        <v>0.70299999999999996</v>
      </c>
      <c r="F205" s="8">
        <f t="shared" si="8"/>
        <v>0.41600000000000004</v>
      </c>
      <c r="G205" s="8">
        <v>0.58399999999999996</v>
      </c>
    </row>
    <row r="206" spans="2:7" x14ac:dyDescent="0.25">
      <c r="B206" s="13">
        <v>28.45</v>
      </c>
      <c r="C206" s="12">
        <v>6.6741129910782</v>
      </c>
      <c r="D206" s="8">
        <f t="shared" si="7"/>
        <v>0.36299999999999999</v>
      </c>
      <c r="E206" s="8">
        <v>0.63700000000000001</v>
      </c>
      <c r="F206" s="8">
        <f t="shared" si="8"/>
        <v>0.376</v>
      </c>
      <c r="G206" s="8">
        <v>0.624</v>
      </c>
    </row>
    <row r="207" spans="2:7" x14ac:dyDescent="0.25">
      <c r="B207" s="13">
        <v>29</v>
      </c>
      <c r="C207" s="12">
        <v>2.9785297646134112</v>
      </c>
      <c r="D207" s="8">
        <f t="shared" si="7"/>
        <v>9.7999999999999976E-2</v>
      </c>
      <c r="E207" s="8">
        <v>0.90200000000000002</v>
      </c>
      <c r="F207" s="8">
        <f t="shared" si="8"/>
        <v>0.45700000000000007</v>
      </c>
      <c r="G207" s="8">
        <v>0.54299999999999993</v>
      </c>
    </row>
    <row r="208" spans="2:7" x14ac:dyDescent="0.25">
      <c r="B208" s="13">
        <v>29</v>
      </c>
      <c r="C208" s="12">
        <v>3.6335305230353421</v>
      </c>
      <c r="D208" s="8">
        <f t="shared" si="7"/>
        <v>0.13300000000000001</v>
      </c>
      <c r="E208" s="8">
        <v>0.86699999999999999</v>
      </c>
      <c r="F208" s="8">
        <f t="shared" si="8"/>
        <v>0.46899999999999997</v>
      </c>
      <c r="G208" s="8">
        <v>0.53100000000000003</v>
      </c>
    </row>
    <row r="209" spans="1:7" x14ac:dyDescent="0.25">
      <c r="B209" s="13">
        <v>29</v>
      </c>
      <c r="C209" s="12">
        <v>4.1437416401218989</v>
      </c>
      <c r="D209" s="8">
        <f t="shared" si="7"/>
        <v>0.16500000000000004</v>
      </c>
      <c r="E209" s="8">
        <v>0.83499999999999996</v>
      </c>
      <c r="F209" s="8">
        <f t="shared" si="8"/>
        <v>0.46499999999999997</v>
      </c>
      <c r="G209" s="8">
        <v>0.53500000000000003</v>
      </c>
    </row>
    <row r="210" spans="1:7" x14ac:dyDescent="0.25">
      <c r="B210" s="13">
        <v>29</v>
      </c>
      <c r="C210" s="12">
        <v>5.1710586191205063</v>
      </c>
      <c r="D210" s="8">
        <f t="shared" si="7"/>
        <v>0.26800000000000002</v>
      </c>
      <c r="E210" s="8">
        <v>0.73199999999999998</v>
      </c>
      <c r="F210" s="8">
        <f t="shared" si="8"/>
        <v>0.38</v>
      </c>
      <c r="G210" s="8">
        <v>0.62</v>
      </c>
    </row>
    <row r="211" spans="1:7" x14ac:dyDescent="0.25">
      <c r="B211" s="13">
        <v>29</v>
      </c>
      <c r="C211" s="12">
        <v>5.198637598422482</v>
      </c>
      <c r="D211" s="8">
        <f t="shared" si="7"/>
        <v>0.27700000000000002</v>
      </c>
      <c r="E211" s="8">
        <v>0.72299999999999998</v>
      </c>
      <c r="F211" s="8">
        <f t="shared" si="8"/>
        <v>0.36499999999999999</v>
      </c>
      <c r="G211" s="8">
        <v>0.63500000000000001</v>
      </c>
    </row>
    <row r="212" spans="1:7" x14ac:dyDescent="0.25">
      <c r="B212" s="13">
        <v>29.8</v>
      </c>
      <c r="C212" s="12">
        <v>2.8406348681035314</v>
      </c>
      <c r="D212" s="8">
        <f t="shared" si="7"/>
        <v>0.10699999999999998</v>
      </c>
      <c r="E212" s="8">
        <v>0.89300000000000002</v>
      </c>
      <c r="F212" s="8">
        <f t="shared" si="8"/>
        <v>0.38700000000000001</v>
      </c>
      <c r="G212" s="8">
        <v>0.61299999999999999</v>
      </c>
    </row>
    <row r="213" spans="1:7" x14ac:dyDescent="0.25">
      <c r="B213" s="13">
        <v>29.8</v>
      </c>
      <c r="C213" s="12">
        <v>3.4473724127470038</v>
      </c>
      <c r="D213" s="8">
        <f t="shared" si="7"/>
        <v>0.15599999999999992</v>
      </c>
      <c r="E213" s="8">
        <v>0.84400000000000008</v>
      </c>
      <c r="F213" s="8">
        <f t="shared" si="8"/>
        <v>0.39</v>
      </c>
      <c r="G213" s="8">
        <v>0.61</v>
      </c>
    </row>
    <row r="214" spans="1:7" x14ac:dyDescent="0.25">
      <c r="B214" s="13">
        <v>29.8</v>
      </c>
      <c r="C214" s="12">
        <v>3.8610571022766447</v>
      </c>
      <c r="D214" s="8">
        <f t="shared" si="7"/>
        <v>0.19499999999999995</v>
      </c>
      <c r="E214" s="8">
        <v>0.80500000000000005</v>
      </c>
      <c r="F214" s="8">
        <f t="shared" si="8"/>
        <v>0.35799999999999998</v>
      </c>
      <c r="G214" s="8">
        <v>0.64200000000000002</v>
      </c>
    </row>
    <row r="215" spans="1:7" x14ac:dyDescent="0.25">
      <c r="B215" s="13">
        <v>29.8</v>
      </c>
      <c r="C215" s="12">
        <v>4.0058467436120182</v>
      </c>
      <c r="D215" s="8">
        <f t="shared" si="7"/>
        <v>0.23199999999999998</v>
      </c>
      <c r="E215" s="8">
        <v>0.76800000000000002</v>
      </c>
      <c r="F215" s="8">
        <f t="shared" si="8"/>
        <v>0.32700000000000007</v>
      </c>
      <c r="G215" s="8">
        <v>0.67299999999999993</v>
      </c>
    </row>
    <row r="216" spans="1:7" ht="15.75" thickBot="1" x14ac:dyDescent="0.3">
      <c r="A216" s="9"/>
      <c r="B216" s="17">
        <v>29.8</v>
      </c>
      <c r="C216" s="15">
        <v>4.0334257229139947</v>
      </c>
      <c r="D216" s="9">
        <f t="shared" si="7"/>
        <v>0.248</v>
      </c>
      <c r="E216" s="9">
        <v>0.752</v>
      </c>
      <c r="F216" s="9">
        <f t="shared" si="8"/>
        <v>0.31700000000000006</v>
      </c>
      <c r="G216" s="9">
        <v>0.68299999999999994</v>
      </c>
    </row>
    <row r="217" spans="1:7" x14ac:dyDescent="0.25">
      <c r="A217" s="18" t="s">
        <v>79</v>
      </c>
      <c r="B217" s="8">
        <v>20</v>
      </c>
      <c r="C217" s="12">
        <v>9.0665609999999994E-2</v>
      </c>
    </row>
    <row r="218" spans="1:7" x14ac:dyDescent="0.25">
      <c r="B218" s="8">
        <v>20</v>
      </c>
      <c r="C218" s="12">
        <v>0.73460625000000002</v>
      </c>
      <c r="D218" s="8">
        <v>1.0999999999999999E-2</v>
      </c>
      <c r="E218" s="8">
        <f t="shared" ref="E218:E244" si="9">1-D218</f>
        <v>0.98899999999999999</v>
      </c>
    </row>
    <row r="219" spans="1:7" x14ac:dyDescent="0.25">
      <c r="B219" s="8">
        <v>20</v>
      </c>
      <c r="C219" s="12">
        <v>1.120755825</v>
      </c>
      <c r="D219" s="8">
        <v>1.72E-2</v>
      </c>
      <c r="E219" s="8">
        <f t="shared" si="9"/>
        <v>0.98280000000000001</v>
      </c>
    </row>
    <row r="220" spans="1:7" x14ac:dyDescent="0.25">
      <c r="B220" s="8">
        <v>20</v>
      </c>
      <c r="C220" s="12">
        <v>1.5964767</v>
      </c>
      <c r="D220" s="8">
        <v>2.1100000000000001E-2</v>
      </c>
      <c r="E220" s="8">
        <f t="shared" si="9"/>
        <v>0.97889999999999999</v>
      </c>
    </row>
    <row r="221" spans="1:7" x14ac:dyDescent="0.25">
      <c r="B221" s="8">
        <v>20</v>
      </c>
      <c r="C221" s="12">
        <v>2.0111999250000001</v>
      </c>
      <c r="D221" s="8">
        <v>2.4400000000000002E-2</v>
      </c>
      <c r="E221" s="8">
        <f t="shared" si="9"/>
        <v>0.97560000000000002</v>
      </c>
    </row>
    <row r="222" spans="1:7" x14ac:dyDescent="0.25">
      <c r="B222" s="8">
        <v>22</v>
      </c>
      <c r="C222" s="12">
        <v>0.15823925250000001</v>
      </c>
    </row>
    <row r="223" spans="1:7" x14ac:dyDescent="0.25">
      <c r="B223" s="8">
        <v>22</v>
      </c>
      <c r="C223" s="12">
        <v>0.58606379999999991</v>
      </c>
      <c r="D223" s="8">
        <v>1.0699999999999999E-2</v>
      </c>
      <c r="E223" s="8">
        <f t="shared" si="9"/>
        <v>0.98929999999999996</v>
      </c>
    </row>
    <row r="224" spans="1:7" x14ac:dyDescent="0.25">
      <c r="B224" s="8">
        <v>22</v>
      </c>
      <c r="C224" s="12">
        <v>0.97768492499999993</v>
      </c>
      <c r="D224" s="8">
        <v>2.0400000000000001E-2</v>
      </c>
      <c r="E224" s="8">
        <f t="shared" si="9"/>
        <v>0.97960000000000003</v>
      </c>
    </row>
    <row r="225" spans="2:5" x14ac:dyDescent="0.25">
      <c r="B225" s="8">
        <v>22</v>
      </c>
      <c r="C225" s="12">
        <v>1.465463475</v>
      </c>
      <c r="D225" s="8">
        <v>2.6599999999999999E-2</v>
      </c>
      <c r="E225" s="8">
        <f t="shared" si="9"/>
        <v>0.97340000000000004</v>
      </c>
    </row>
    <row r="226" spans="2:5" x14ac:dyDescent="0.25">
      <c r="B226" s="8">
        <v>22</v>
      </c>
      <c r="C226" s="12">
        <v>2.0622677249999999</v>
      </c>
      <c r="D226" s="8">
        <v>3.4299999999999997E-2</v>
      </c>
      <c r="E226" s="8">
        <f t="shared" si="9"/>
        <v>0.9657</v>
      </c>
    </row>
    <row r="227" spans="2:5" x14ac:dyDescent="0.25">
      <c r="B227" s="8">
        <v>24</v>
      </c>
      <c r="C227" s="12">
        <v>0.25648397249999999</v>
      </c>
    </row>
    <row r="228" spans="2:5" x14ac:dyDescent="0.25">
      <c r="B228" s="8">
        <v>24</v>
      </c>
      <c r="C228" s="12">
        <v>0.73876057500000003</v>
      </c>
      <c r="D228" s="8">
        <v>1.55E-2</v>
      </c>
      <c r="E228" s="8">
        <f t="shared" si="9"/>
        <v>0.98450000000000004</v>
      </c>
    </row>
    <row r="229" spans="2:5" x14ac:dyDescent="0.25">
      <c r="B229" s="8">
        <v>24</v>
      </c>
      <c r="C229" s="12">
        <v>1.0907636249999999</v>
      </c>
      <c r="D229" s="8">
        <v>2.3099999999999999E-2</v>
      </c>
      <c r="E229" s="8">
        <f t="shared" si="9"/>
        <v>0.97689999999999999</v>
      </c>
    </row>
    <row r="230" spans="2:5" x14ac:dyDescent="0.25">
      <c r="B230" s="8">
        <v>24</v>
      </c>
      <c r="C230" s="12">
        <v>1.6547385749999999</v>
      </c>
      <c r="D230" s="8">
        <v>3.3300000000000003E-2</v>
      </c>
      <c r="E230" s="8">
        <f t="shared" si="9"/>
        <v>0.9667</v>
      </c>
    </row>
    <row r="231" spans="2:5" x14ac:dyDescent="0.25">
      <c r="B231" s="8">
        <v>24</v>
      </c>
      <c r="C231" s="12">
        <v>2.0067416250000001</v>
      </c>
      <c r="D231" s="8">
        <v>4.1099999999999998E-2</v>
      </c>
      <c r="E231" s="8">
        <f t="shared" si="9"/>
        <v>0.95889999999999997</v>
      </c>
    </row>
    <row r="232" spans="2:5" x14ac:dyDescent="0.25">
      <c r="B232" s="8">
        <v>26</v>
      </c>
      <c r="C232" s="12">
        <v>0.39334365000000004</v>
      </c>
    </row>
    <row r="233" spans="2:5" x14ac:dyDescent="0.25">
      <c r="B233" s="8">
        <v>26</v>
      </c>
      <c r="C233" s="12">
        <v>0.84809024999999993</v>
      </c>
      <c r="D233" s="8">
        <v>1.4999999999999999E-2</v>
      </c>
      <c r="E233" s="8">
        <f t="shared" si="9"/>
        <v>0.98499999999999999</v>
      </c>
    </row>
    <row r="234" spans="2:5" x14ac:dyDescent="0.25">
      <c r="B234" s="8">
        <v>26</v>
      </c>
      <c r="C234" s="12">
        <v>1.0924861499999998</v>
      </c>
      <c r="D234" s="8">
        <v>2.3800000000000002E-2</v>
      </c>
      <c r="E234" s="8">
        <f t="shared" si="9"/>
        <v>0.97619999999999996</v>
      </c>
    </row>
    <row r="235" spans="2:5" x14ac:dyDescent="0.25">
      <c r="B235" s="8">
        <v>26</v>
      </c>
      <c r="C235" s="12">
        <v>1.2490332749999999</v>
      </c>
      <c r="D235" s="8">
        <v>2.8299999999999999E-2</v>
      </c>
      <c r="E235" s="8">
        <f t="shared" si="9"/>
        <v>0.97170000000000001</v>
      </c>
    </row>
    <row r="236" spans="2:5" x14ac:dyDescent="0.25">
      <c r="B236" s="8">
        <v>26</v>
      </c>
      <c r="C236" s="12">
        <v>1.3958531999999999</v>
      </c>
      <c r="D236" s="8">
        <v>3.0700000000000002E-2</v>
      </c>
      <c r="E236" s="8">
        <f t="shared" si="9"/>
        <v>0.96930000000000005</v>
      </c>
    </row>
    <row r="237" spans="2:5" x14ac:dyDescent="0.25">
      <c r="B237" s="8">
        <v>26</v>
      </c>
      <c r="C237" s="12">
        <v>1.6023535500000001</v>
      </c>
      <c r="D237" s="8">
        <v>3.73E-2</v>
      </c>
      <c r="E237" s="8">
        <f t="shared" si="9"/>
        <v>0.9627</v>
      </c>
    </row>
    <row r="238" spans="2:5" x14ac:dyDescent="0.25">
      <c r="B238" s="8">
        <v>26</v>
      </c>
      <c r="C238" s="12">
        <v>1.8050035500000001</v>
      </c>
      <c r="D238" s="8">
        <v>4.2999999999999997E-2</v>
      </c>
      <c r="E238" s="8">
        <f t="shared" si="9"/>
        <v>0.95699999999999996</v>
      </c>
    </row>
    <row r="239" spans="2:5" x14ac:dyDescent="0.25">
      <c r="B239" s="8">
        <v>26</v>
      </c>
      <c r="C239" s="12">
        <v>2.0256894000000001</v>
      </c>
      <c r="D239" s="8">
        <v>4.7100000000000003E-2</v>
      </c>
      <c r="E239" s="8">
        <f t="shared" si="9"/>
        <v>0.95289999999999997</v>
      </c>
    </row>
    <row r="240" spans="2:5" x14ac:dyDescent="0.25">
      <c r="B240" s="8">
        <v>28</v>
      </c>
      <c r="C240" s="12">
        <v>0.57295234499999992</v>
      </c>
    </row>
    <row r="241" spans="1:7" x14ac:dyDescent="0.25">
      <c r="B241" s="8">
        <v>28</v>
      </c>
      <c r="C241" s="12">
        <v>0.835627275</v>
      </c>
      <c r="D241" s="8">
        <v>1.41E-2</v>
      </c>
      <c r="E241" s="8">
        <f t="shared" si="9"/>
        <v>0.9859</v>
      </c>
    </row>
    <row r="242" spans="1:7" x14ac:dyDescent="0.25">
      <c r="B242" s="8">
        <v>28</v>
      </c>
      <c r="C242" s="12">
        <v>1.1707090500000001</v>
      </c>
      <c r="D242" s="8">
        <v>2.6700000000000002E-2</v>
      </c>
      <c r="E242" s="8">
        <f t="shared" si="9"/>
        <v>0.97330000000000005</v>
      </c>
    </row>
    <row r="243" spans="1:7" x14ac:dyDescent="0.25">
      <c r="B243" s="8">
        <v>28</v>
      </c>
      <c r="C243" s="12">
        <v>1.179321675</v>
      </c>
      <c r="D243" s="8">
        <v>2.64E-2</v>
      </c>
      <c r="E243" s="8">
        <f t="shared" si="9"/>
        <v>0.97360000000000002</v>
      </c>
    </row>
    <row r="244" spans="1:7" x14ac:dyDescent="0.25">
      <c r="B244" s="8">
        <v>28</v>
      </c>
      <c r="C244" s="12">
        <v>1.7019560250000001</v>
      </c>
      <c r="D244" s="8">
        <v>4.58E-2</v>
      </c>
      <c r="E244" s="8">
        <f t="shared" si="9"/>
        <v>0.95420000000000005</v>
      </c>
    </row>
    <row r="245" spans="1:7" ht="15.75" thickBot="1" x14ac:dyDescent="0.3">
      <c r="A245" s="9"/>
      <c r="B245" s="9">
        <v>28</v>
      </c>
      <c r="C245" s="15">
        <v>1.998129</v>
      </c>
      <c r="D245" s="9">
        <v>5.6599999999999998E-2</v>
      </c>
      <c r="E245" s="9">
        <f>1-D245</f>
        <v>0.94340000000000002</v>
      </c>
      <c r="F245" s="9"/>
      <c r="G245" s="9"/>
    </row>
    <row r="246" spans="1:7" x14ac:dyDescent="0.25">
      <c r="A246" s="18" t="s">
        <v>81</v>
      </c>
      <c r="B246" s="8">
        <v>15.85</v>
      </c>
      <c r="C246" s="8">
        <v>6.2899999999999998E-2</v>
      </c>
      <c r="D246" s="14">
        <f>1-E246</f>
        <v>3.5700000000005172E-4</v>
      </c>
      <c r="E246" s="14">
        <v>0.99964299999999995</v>
      </c>
      <c r="G246" s="14"/>
    </row>
    <row r="247" spans="1:7" x14ac:dyDescent="0.25">
      <c r="B247" s="8">
        <v>16.88</v>
      </c>
      <c r="C247" s="8">
        <v>7.2900000000000006E-2</v>
      </c>
      <c r="D247" s="14">
        <f t="shared" ref="D247:D269" si="10">1-E247</f>
        <v>6.0599999999988441E-4</v>
      </c>
      <c r="E247" s="14">
        <v>0.99939400000000012</v>
      </c>
      <c r="F247" s="14">
        <f t="shared" ref="F247:F269" si="11">1-G247</f>
        <v>0.63400000000000001</v>
      </c>
      <c r="G247" s="14">
        <v>0.36599999999999999</v>
      </c>
    </row>
    <row r="248" spans="1:7" x14ac:dyDescent="0.25">
      <c r="B248" s="8">
        <v>17.68</v>
      </c>
      <c r="C248" s="8">
        <v>6.7900000000000002E-2</v>
      </c>
      <c r="D248" s="14">
        <f t="shared" si="10"/>
        <v>3.2300000000007323E-4</v>
      </c>
      <c r="E248" s="14">
        <v>0.99967699999999993</v>
      </c>
      <c r="F248" s="14">
        <f t="shared" si="11"/>
        <v>0.43999999999999995</v>
      </c>
      <c r="G248" s="14">
        <v>0.56000000000000005</v>
      </c>
    </row>
    <row r="249" spans="1:7" x14ac:dyDescent="0.25">
      <c r="B249" s="8">
        <v>17.68</v>
      </c>
      <c r="C249" s="8">
        <v>8.8300000000000003E-2</v>
      </c>
      <c r="D249" s="14">
        <f t="shared" si="10"/>
        <v>6.1599999999994992E-4</v>
      </c>
      <c r="E249" s="14">
        <v>0.99938400000000005</v>
      </c>
      <c r="F249" s="14"/>
      <c r="G249" s="14"/>
    </row>
    <row r="250" spans="1:7" x14ac:dyDescent="0.25">
      <c r="B250" s="8">
        <v>17.920000000000002</v>
      </c>
      <c r="C250" s="8">
        <v>7.85E-2</v>
      </c>
      <c r="D250" s="14">
        <f t="shared" si="10"/>
        <v>5.5400000000005445E-4</v>
      </c>
      <c r="E250" s="14">
        <v>0.99944599999999995</v>
      </c>
      <c r="F250" s="14">
        <f t="shared" si="11"/>
        <v>0.42100000000000004</v>
      </c>
      <c r="G250" s="14">
        <v>0.57899999999999996</v>
      </c>
    </row>
    <row r="251" spans="1:7" x14ac:dyDescent="0.25">
      <c r="B251" s="8">
        <v>17.920000000000002</v>
      </c>
      <c r="C251" s="8">
        <v>8.5199999999999998E-2</v>
      </c>
      <c r="D251" s="14">
        <f t="shared" si="10"/>
        <v>6.5399999999993241E-4</v>
      </c>
      <c r="E251" s="14">
        <v>0.99934600000000007</v>
      </c>
      <c r="F251" s="14"/>
      <c r="G251" s="14"/>
    </row>
    <row r="252" spans="1:7" x14ac:dyDescent="0.25">
      <c r="B252" s="8">
        <v>17.920000000000002</v>
      </c>
      <c r="C252" s="8">
        <v>0.13750000000000001</v>
      </c>
      <c r="D252" s="14">
        <f t="shared" si="10"/>
        <v>1.2499999999999734E-3</v>
      </c>
      <c r="E252" s="14">
        <v>0.99875000000000003</v>
      </c>
      <c r="F252" s="14"/>
      <c r="G252" s="14"/>
    </row>
    <row r="253" spans="1:7" x14ac:dyDescent="0.25">
      <c r="B253" s="8">
        <v>18.260000000000002</v>
      </c>
      <c r="C253" s="8">
        <v>7.3799999999999991E-2</v>
      </c>
      <c r="D253" s="14">
        <f t="shared" si="10"/>
        <v>3.8300000000002221E-4</v>
      </c>
      <c r="E253" s="14">
        <v>0.99961699999999998</v>
      </c>
      <c r="F253" s="14">
        <f t="shared" si="11"/>
        <v>0.38400000000000001</v>
      </c>
      <c r="G253" s="14">
        <v>0.61599999999999999</v>
      </c>
    </row>
    <row r="254" spans="1:7" x14ac:dyDescent="0.25">
      <c r="B254" s="8">
        <v>18.260000000000002</v>
      </c>
      <c r="C254" s="8">
        <v>9.7299999999999998E-2</v>
      </c>
      <c r="D254" s="14">
        <f t="shared" si="10"/>
        <v>6.4300000000006019E-4</v>
      </c>
      <c r="E254" s="14">
        <v>0.99935699999999994</v>
      </c>
      <c r="F254" s="14">
        <f t="shared" si="11"/>
        <v>0.46899999999999997</v>
      </c>
      <c r="G254" s="14">
        <v>0.53100000000000003</v>
      </c>
    </row>
    <row r="255" spans="1:7" x14ac:dyDescent="0.25">
      <c r="B255" s="8">
        <v>18.260000000000002</v>
      </c>
      <c r="C255" s="8">
        <v>0.10199999999999999</v>
      </c>
      <c r="D255" s="14">
        <f t="shared" si="10"/>
        <v>6.2600000000001543E-4</v>
      </c>
      <c r="E255" s="14">
        <v>0.99937399999999998</v>
      </c>
      <c r="F255" s="14"/>
      <c r="G255" s="14"/>
    </row>
    <row r="256" spans="1:7" x14ac:dyDescent="0.25">
      <c r="B256" s="8">
        <v>18.260000000000002</v>
      </c>
      <c r="C256" s="8">
        <v>0.10909999999999999</v>
      </c>
      <c r="D256" s="14">
        <f t="shared" si="10"/>
        <v>7.6400000000009793E-4</v>
      </c>
      <c r="E256" s="14">
        <v>0.9992359999999999</v>
      </c>
      <c r="F256" s="14"/>
      <c r="G256" s="14"/>
    </row>
    <row r="257" spans="1:7" x14ac:dyDescent="0.25">
      <c r="B257" s="8">
        <v>18.260000000000002</v>
      </c>
      <c r="C257" s="8">
        <v>0.16</v>
      </c>
      <c r="D257" s="14">
        <f t="shared" si="10"/>
        <v>1.8099999999999783E-3</v>
      </c>
      <c r="E257" s="14">
        <v>0.99819000000000002</v>
      </c>
      <c r="F257" s="14"/>
      <c r="G257" s="14"/>
    </row>
    <row r="258" spans="1:7" x14ac:dyDescent="0.25">
      <c r="B258" s="8">
        <v>18.73</v>
      </c>
      <c r="C258" s="8">
        <v>9.5400000000000013E-2</v>
      </c>
      <c r="D258" s="14">
        <f t="shared" si="10"/>
        <v>5.5000000000005045E-4</v>
      </c>
      <c r="E258" s="14">
        <v>0.99944999999999995</v>
      </c>
      <c r="F258" s="14"/>
      <c r="G258" s="14"/>
    </row>
    <row r="259" spans="1:7" x14ac:dyDescent="0.25">
      <c r="B259" s="8">
        <v>18.73</v>
      </c>
      <c r="C259" s="8">
        <v>0.10529999999999999</v>
      </c>
      <c r="D259" s="14">
        <f t="shared" si="10"/>
        <v>7.9200000000001491E-4</v>
      </c>
      <c r="E259" s="14">
        <v>0.99920799999999999</v>
      </c>
      <c r="F259" s="14">
        <f t="shared" si="11"/>
        <v>0.47299999999999998</v>
      </c>
      <c r="G259" s="14">
        <v>0.52700000000000002</v>
      </c>
    </row>
    <row r="260" spans="1:7" x14ac:dyDescent="0.25">
      <c r="B260" s="8">
        <v>18.73</v>
      </c>
      <c r="C260" s="8">
        <v>0.1139</v>
      </c>
      <c r="D260" s="14">
        <f t="shared" si="10"/>
        <v>1.1199999999998989E-3</v>
      </c>
      <c r="E260" s="14">
        <v>0.9988800000000001</v>
      </c>
      <c r="F260" s="14"/>
      <c r="G260" s="14"/>
    </row>
    <row r="261" spans="1:7" x14ac:dyDescent="0.25">
      <c r="B261" s="8">
        <v>18.73</v>
      </c>
      <c r="C261" s="8">
        <v>0.1487</v>
      </c>
      <c r="D261" s="14">
        <f t="shared" si="10"/>
        <v>1.7000000000000348E-3</v>
      </c>
      <c r="E261" s="14">
        <v>0.99829999999999997</v>
      </c>
      <c r="F261" s="14"/>
      <c r="G261" s="14"/>
    </row>
    <row r="262" spans="1:7" x14ac:dyDescent="0.25">
      <c r="B262" s="8">
        <v>18.93</v>
      </c>
      <c r="C262" s="8">
        <v>9.4400000000000012E-2</v>
      </c>
      <c r="D262" s="14">
        <f t="shared" si="10"/>
        <v>5.4500000000001769E-4</v>
      </c>
      <c r="E262" s="14">
        <v>0.99945499999999998</v>
      </c>
      <c r="F262" s="14">
        <f t="shared" si="11"/>
        <v>0.33200000000000007</v>
      </c>
      <c r="G262" s="14">
        <v>0.66799999999999993</v>
      </c>
    </row>
    <row r="263" spans="1:7" x14ac:dyDescent="0.25">
      <c r="B263" s="8">
        <v>18.93</v>
      </c>
      <c r="C263" s="8">
        <v>0.13019999999999998</v>
      </c>
      <c r="D263" s="14">
        <f t="shared" si="10"/>
        <v>8.0699999999989114E-4</v>
      </c>
      <c r="E263" s="14">
        <v>0.99919300000000011</v>
      </c>
      <c r="F263" s="14"/>
      <c r="G263" s="14"/>
    </row>
    <row r="264" spans="1:7" x14ac:dyDescent="0.25">
      <c r="B264" s="8" t="s">
        <v>85</v>
      </c>
      <c r="C264" s="8">
        <v>9.2700000000000005E-2</v>
      </c>
      <c r="D264" s="14">
        <f t="shared" si="10"/>
        <v>4.2199999999992244E-4</v>
      </c>
      <c r="E264" s="14">
        <v>0.99957800000000008</v>
      </c>
      <c r="F264" s="14">
        <f t="shared" si="11"/>
        <v>0.28000000000000003</v>
      </c>
      <c r="G264" s="14">
        <v>0.72</v>
      </c>
    </row>
    <row r="265" spans="1:7" x14ac:dyDescent="0.25">
      <c r="B265" s="8" t="s">
        <v>85</v>
      </c>
      <c r="C265" s="8">
        <v>0.11159999999999999</v>
      </c>
      <c r="D265" s="14">
        <f t="shared" si="10"/>
        <v>8.8200000000004941E-4</v>
      </c>
      <c r="E265" s="14">
        <v>0.99911799999999995</v>
      </c>
      <c r="F265" s="14">
        <f t="shared" si="11"/>
        <v>0.377</v>
      </c>
      <c r="G265" s="14">
        <v>0.623</v>
      </c>
    </row>
    <row r="266" spans="1:7" x14ac:dyDescent="0.25">
      <c r="B266" s="8" t="s">
        <v>85</v>
      </c>
      <c r="C266" s="8">
        <v>0.12830000000000003</v>
      </c>
      <c r="D266" s="14">
        <f t="shared" si="10"/>
        <v>1.1900000000000244E-3</v>
      </c>
      <c r="E266" s="14">
        <v>0.99880999999999998</v>
      </c>
      <c r="F266" s="14">
        <f t="shared" si="11"/>
        <v>0.56400000000000006</v>
      </c>
      <c r="G266" s="14">
        <v>0.436</v>
      </c>
    </row>
    <row r="267" spans="1:7" x14ac:dyDescent="0.25">
      <c r="B267" s="8">
        <v>19.11</v>
      </c>
      <c r="C267" s="8">
        <v>0.161</v>
      </c>
      <c r="D267" s="14">
        <f t="shared" si="10"/>
        <v>1.5699999999999603E-3</v>
      </c>
      <c r="E267" s="14">
        <v>0.99843000000000004</v>
      </c>
      <c r="F267" s="14"/>
      <c r="G267" s="14"/>
    </row>
    <row r="268" spans="1:7" x14ac:dyDescent="0.25">
      <c r="B268" s="8">
        <v>20.09</v>
      </c>
      <c r="C268" s="8">
        <v>0.12990000000000002</v>
      </c>
      <c r="D268" s="14">
        <f t="shared" si="10"/>
        <v>8.7000000000003741E-4</v>
      </c>
      <c r="E268" s="14">
        <v>0.99912999999999996</v>
      </c>
      <c r="F268" s="14"/>
      <c r="G268" s="14"/>
    </row>
    <row r="269" spans="1:7" ht="15.75" thickBot="1" x14ac:dyDescent="0.3">
      <c r="A269" s="9"/>
      <c r="B269" s="9">
        <v>20.09</v>
      </c>
      <c r="C269" s="9">
        <v>0.14730000000000001</v>
      </c>
      <c r="D269" s="16">
        <f t="shared" si="10"/>
        <v>1.0400000000000409E-3</v>
      </c>
      <c r="E269" s="16">
        <v>0.99895999999999996</v>
      </c>
      <c r="F269" s="16">
        <f t="shared" si="11"/>
        <v>0.33400000000000007</v>
      </c>
      <c r="G269" s="16">
        <v>0.66599999999999993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6"/>
  <dimension ref="A1:I274"/>
  <sheetViews>
    <sheetView workbookViewId="0">
      <pane ySplit="1" topLeftCell="A44" activePane="bottomLeft" state="frozen"/>
      <selection pane="bottomLeft" activeCell="L65" sqref="L65"/>
    </sheetView>
  </sheetViews>
  <sheetFormatPr defaultColWidth="9.140625" defaultRowHeight="15" x14ac:dyDescent="0.25"/>
  <cols>
    <col min="1" max="1" width="16.42578125" style="8" bestFit="1" customWidth="1"/>
    <col min="2" max="2" width="6.5703125" style="13" bestFit="1" customWidth="1"/>
    <col min="3" max="3" width="7.7109375" style="10" bestFit="1" customWidth="1"/>
    <col min="4" max="4" width="6.5703125" style="8" bestFit="1" customWidth="1"/>
    <col min="5" max="5" width="9.42578125" style="8" bestFit="1" customWidth="1"/>
    <col min="6" max="6" width="6.5703125" style="8" bestFit="1" customWidth="1"/>
    <col min="7" max="7" width="9.42578125" style="8" bestFit="1" customWidth="1"/>
    <col min="8" max="8" width="9.140625" style="1"/>
    <col min="9" max="9" width="16.42578125" style="1" bestFit="1" customWidth="1"/>
    <col min="10" max="16384" width="9.140625" style="1"/>
  </cols>
  <sheetData>
    <row r="1" spans="1:9" ht="18" x14ac:dyDescent="0.25">
      <c r="A1" s="8" t="s">
        <v>0</v>
      </c>
      <c r="B1" s="13" t="s">
        <v>3</v>
      </c>
      <c r="C1" s="10" t="s">
        <v>4</v>
      </c>
      <c r="D1" s="8" t="s">
        <v>35</v>
      </c>
      <c r="E1" s="8" t="s">
        <v>2</v>
      </c>
      <c r="F1" s="8" t="s">
        <v>36</v>
      </c>
      <c r="G1" s="8" t="s">
        <v>7</v>
      </c>
      <c r="I1" s="1" t="s">
        <v>0</v>
      </c>
    </row>
    <row r="2" spans="1:9" x14ac:dyDescent="0.25">
      <c r="A2" s="18" t="s">
        <v>84</v>
      </c>
      <c r="B2" s="13">
        <v>83.09</v>
      </c>
      <c r="C2" s="10">
        <v>0.08</v>
      </c>
      <c r="D2" s="14">
        <f>1-E2</f>
        <v>1</v>
      </c>
      <c r="E2" s="14">
        <v>0</v>
      </c>
      <c r="F2" s="14">
        <f>1-G2</f>
        <v>1</v>
      </c>
      <c r="G2" s="14">
        <v>0</v>
      </c>
      <c r="I2" s="1" t="s">
        <v>83</v>
      </c>
    </row>
    <row r="3" spans="1:9" x14ac:dyDescent="0.25">
      <c r="B3" s="13">
        <v>83.09</v>
      </c>
      <c r="C3" s="10">
        <v>10.34</v>
      </c>
      <c r="D3" s="14">
        <f>1-E3</f>
        <v>0.91349999999999998</v>
      </c>
      <c r="E3" s="14">
        <v>8.6499999999999994E-2</v>
      </c>
      <c r="F3" s="14">
        <f>1-G3</f>
        <v>1.8000000000000016E-2</v>
      </c>
      <c r="G3" s="14">
        <v>0.98199999999999998</v>
      </c>
      <c r="I3" s="1" t="s">
        <v>84</v>
      </c>
    </row>
    <row r="4" spans="1:9" x14ac:dyDescent="0.25">
      <c r="B4" s="13">
        <v>83.09</v>
      </c>
      <c r="C4" s="10">
        <v>13.93</v>
      </c>
      <c r="D4" s="14">
        <f t="shared" ref="D4:D66" si="0">1-E4</f>
        <v>0.88690000000000002</v>
      </c>
      <c r="E4" s="14">
        <v>0.11310000000000001</v>
      </c>
      <c r="F4" s="14">
        <f t="shared" ref="F4:F66" si="1">1-G4</f>
        <v>2.3599999999999954E-2</v>
      </c>
      <c r="G4" s="14">
        <v>0.97640000000000005</v>
      </c>
    </row>
    <row r="5" spans="1:9" x14ac:dyDescent="0.25">
      <c r="B5" s="13">
        <v>83.09</v>
      </c>
      <c r="C5" s="10">
        <v>17.239999999999998</v>
      </c>
      <c r="D5" s="14">
        <f t="shared" si="0"/>
        <v>0.86219999999999997</v>
      </c>
      <c r="E5" s="14">
        <v>0.13780000000000001</v>
      </c>
      <c r="F5" s="14">
        <f t="shared" si="1"/>
        <v>3.0200000000000005E-2</v>
      </c>
      <c r="G5" s="14">
        <v>0.9698</v>
      </c>
    </row>
    <row r="6" spans="1:9" x14ac:dyDescent="0.25">
      <c r="B6" s="13">
        <v>83.09</v>
      </c>
      <c r="C6" s="10">
        <v>21.03</v>
      </c>
      <c r="D6" s="14">
        <f t="shared" si="0"/>
        <v>0.83699999999999997</v>
      </c>
      <c r="E6" s="14">
        <v>0.16300000000000001</v>
      </c>
      <c r="F6" s="14">
        <f t="shared" si="1"/>
        <v>4.7300000000000009E-2</v>
      </c>
      <c r="G6" s="14">
        <v>0.95269999999999999</v>
      </c>
    </row>
    <row r="7" spans="1:9" x14ac:dyDescent="0.25">
      <c r="B7" s="13">
        <v>83.09</v>
      </c>
      <c r="C7" s="10">
        <v>28.48</v>
      </c>
      <c r="D7" s="14">
        <f t="shared" si="0"/>
        <v>0.77879999999999994</v>
      </c>
      <c r="E7" s="14">
        <v>0.22120000000000001</v>
      </c>
      <c r="F7" s="14">
        <f t="shared" si="1"/>
        <v>6.3400000000000012E-2</v>
      </c>
      <c r="G7" s="14">
        <v>0.93659999999999999</v>
      </c>
    </row>
    <row r="8" spans="1:9" x14ac:dyDescent="0.25">
      <c r="B8" s="13">
        <v>83.09</v>
      </c>
      <c r="C8" s="10">
        <v>31.03</v>
      </c>
      <c r="D8" s="14">
        <f t="shared" si="0"/>
        <v>0.75960000000000005</v>
      </c>
      <c r="E8" s="14">
        <v>0.2404</v>
      </c>
      <c r="F8" s="14">
        <f t="shared" si="1"/>
        <v>8.1999999999999962E-2</v>
      </c>
      <c r="G8" s="14">
        <v>0.91800000000000004</v>
      </c>
    </row>
    <row r="9" spans="1:9" x14ac:dyDescent="0.25">
      <c r="B9" s="13">
        <v>83.09</v>
      </c>
      <c r="C9" s="10">
        <v>33.090000000000003</v>
      </c>
      <c r="D9" s="14">
        <f t="shared" si="0"/>
        <v>0.74509999999999998</v>
      </c>
      <c r="E9" s="14">
        <v>0.25490000000000002</v>
      </c>
      <c r="F9" s="14">
        <f t="shared" si="1"/>
        <v>9.3500000000000028E-2</v>
      </c>
      <c r="G9" s="14">
        <v>0.90649999999999997</v>
      </c>
    </row>
    <row r="10" spans="1:9" x14ac:dyDescent="0.25">
      <c r="B10" s="13">
        <v>83.4</v>
      </c>
      <c r="C10" s="10">
        <v>0.08</v>
      </c>
      <c r="D10" s="14">
        <f t="shared" si="0"/>
        <v>1</v>
      </c>
      <c r="E10" s="14">
        <v>0</v>
      </c>
      <c r="F10" s="14">
        <f t="shared" si="1"/>
        <v>1</v>
      </c>
      <c r="G10" s="14">
        <v>0</v>
      </c>
    </row>
    <row r="11" spans="1:9" x14ac:dyDescent="0.25">
      <c r="B11" s="13">
        <v>83.4</v>
      </c>
      <c r="C11" s="10">
        <v>4.83</v>
      </c>
      <c r="D11" s="14">
        <f t="shared" si="0"/>
        <v>0.9597</v>
      </c>
      <c r="E11" s="14">
        <v>4.0300000000000002E-2</v>
      </c>
      <c r="F11" s="14">
        <f t="shared" si="1"/>
        <v>1.639999999999997E-2</v>
      </c>
      <c r="G11" s="14">
        <v>0.98360000000000003</v>
      </c>
    </row>
    <row r="12" spans="1:9" x14ac:dyDescent="0.25">
      <c r="B12" s="13">
        <v>83.4</v>
      </c>
      <c r="C12" s="10">
        <v>8.27</v>
      </c>
      <c r="D12" s="14">
        <f t="shared" si="0"/>
        <v>0.9294</v>
      </c>
      <c r="E12" s="14">
        <v>7.0599999999999996E-2</v>
      </c>
      <c r="F12" s="14">
        <f t="shared" si="1"/>
        <v>1.8000000000000016E-2</v>
      </c>
      <c r="G12" s="14">
        <v>0.98199999999999998</v>
      </c>
    </row>
    <row r="13" spans="1:9" x14ac:dyDescent="0.25">
      <c r="B13" s="13">
        <v>83.4</v>
      </c>
      <c r="C13" s="10">
        <v>10.34</v>
      </c>
      <c r="D13" s="14">
        <f t="shared" si="0"/>
        <v>0.91239999999999999</v>
      </c>
      <c r="E13" s="14">
        <v>8.7599999999999997E-2</v>
      </c>
      <c r="F13" s="14">
        <f t="shared" si="1"/>
        <v>2.0199999999999996E-2</v>
      </c>
      <c r="G13" s="14">
        <v>0.9798</v>
      </c>
    </row>
    <row r="14" spans="1:9" x14ac:dyDescent="0.25">
      <c r="B14" s="13">
        <v>83.4</v>
      </c>
      <c r="C14" s="10">
        <v>13.79</v>
      </c>
      <c r="D14" s="14">
        <f t="shared" si="0"/>
        <v>0.88480000000000003</v>
      </c>
      <c r="E14" s="14">
        <v>0.1152</v>
      </c>
      <c r="F14" s="14">
        <f t="shared" si="1"/>
        <v>2.6000000000000023E-2</v>
      </c>
      <c r="G14" s="14">
        <v>0.97399999999999998</v>
      </c>
    </row>
    <row r="15" spans="1:9" x14ac:dyDescent="0.25">
      <c r="B15" s="13">
        <v>83.4</v>
      </c>
      <c r="C15" s="10">
        <v>17.440000000000001</v>
      </c>
      <c r="D15" s="14">
        <f t="shared" si="0"/>
        <v>0.85739999999999994</v>
      </c>
      <c r="E15" s="14">
        <v>0.1426</v>
      </c>
      <c r="F15" s="14">
        <f t="shared" si="1"/>
        <v>3.3000000000000029E-2</v>
      </c>
      <c r="G15" s="14">
        <v>0.96699999999999997</v>
      </c>
    </row>
    <row r="16" spans="1:9" x14ac:dyDescent="0.25">
      <c r="B16" s="13">
        <v>83.4</v>
      </c>
      <c r="C16" s="10">
        <v>20.68</v>
      </c>
      <c r="D16" s="14">
        <f t="shared" si="0"/>
        <v>0.83240000000000003</v>
      </c>
      <c r="E16" s="14">
        <v>0.1676</v>
      </c>
      <c r="F16" s="14">
        <f t="shared" si="1"/>
        <v>4.1499999999999981E-2</v>
      </c>
      <c r="G16" s="14">
        <v>0.95850000000000002</v>
      </c>
    </row>
    <row r="17" spans="2:7" x14ac:dyDescent="0.25">
      <c r="B17" s="13">
        <v>83.4</v>
      </c>
      <c r="C17" s="10">
        <v>24.34</v>
      </c>
      <c r="D17" s="14">
        <f t="shared" si="0"/>
        <v>0.80779999999999996</v>
      </c>
      <c r="E17" s="14">
        <v>0.19220000000000001</v>
      </c>
      <c r="F17" s="14">
        <f t="shared" si="1"/>
        <v>5.3300000000000014E-2</v>
      </c>
      <c r="G17" s="14">
        <v>0.94669999999999999</v>
      </c>
    </row>
    <row r="18" spans="2:7" x14ac:dyDescent="0.25">
      <c r="B18" s="13">
        <v>83.4</v>
      </c>
      <c r="C18" s="10">
        <v>27.78</v>
      </c>
      <c r="D18" s="14">
        <f t="shared" si="0"/>
        <v>0.78559999999999997</v>
      </c>
      <c r="E18" s="14">
        <v>0.21440000000000001</v>
      </c>
      <c r="F18" s="14">
        <f t="shared" si="1"/>
        <v>6.6699999999999982E-2</v>
      </c>
      <c r="G18" s="14">
        <v>0.93330000000000002</v>
      </c>
    </row>
    <row r="19" spans="2:7" x14ac:dyDescent="0.25">
      <c r="B19" s="13">
        <v>83.4</v>
      </c>
      <c r="C19" s="10">
        <v>31.03</v>
      </c>
      <c r="D19" s="14">
        <f t="shared" si="0"/>
        <v>0.76069999999999993</v>
      </c>
      <c r="E19" s="14">
        <v>0.23930000000000001</v>
      </c>
      <c r="F19" s="14">
        <f t="shared" si="1"/>
        <v>7.999999999999996E-2</v>
      </c>
      <c r="G19" s="14">
        <v>0.92</v>
      </c>
    </row>
    <row r="20" spans="2:7" x14ac:dyDescent="0.25">
      <c r="B20" s="13">
        <v>83.4</v>
      </c>
      <c r="C20" s="10">
        <v>34.47</v>
      </c>
      <c r="D20" s="14">
        <f t="shared" si="0"/>
        <v>0.7278</v>
      </c>
      <c r="E20" s="14">
        <v>0.2722</v>
      </c>
      <c r="F20" s="14">
        <f t="shared" si="1"/>
        <v>0.10299999999999998</v>
      </c>
      <c r="G20" s="14">
        <v>0.89700000000000002</v>
      </c>
    </row>
    <row r="21" spans="2:7" x14ac:dyDescent="0.25">
      <c r="B21" s="13">
        <v>83.4</v>
      </c>
      <c r="C21" s="10">
        <v>39.299999999999997</v>
      </c>
      <c r="D21" s="14">
        <f t="shared" si="0"/>
        <v>0.68340000000000001</v>
      </c>
      <c r="E21" s="14">
        <v>0.31659999999999999</v>
      </c>
      <c r="F21" s="14">
        <f t="shared" si="1"/>
        <v>0.14100000000000001</v>
      </c>
      <c r="G21" s="14">
        <v>0.85899999999999999</v>
      </c>
    </row>
    <row r="22" spans="2:7" x14ac:dyDescent="0.25">
      <c r="B22" s="13">
        <v>83.74</v>
      </c>
      <c r="C22" s="10">
        <v>0.08</v>
      </c>
      <c r="D22" s="14">
        <f t="shared" si="0"/>
        <v>1</v>
      </c>
      <c r="E22" s="14">
        <v>0</v>
      </c>
      <c r="F22" s="14">
        <f t="shared" si="1"/>
        <v>1</v>
      </c>
      <c r="G22" s="14">
        <v>0</v>
      </c>
    </row>
    <row r="23" spans="2:7" x14ac:dyDescent="0.25">
      <c r="B23" s="13">
        <v>83.74</v>
      </c>
      <c r="C23" s="10">
        <v>45.3</v>
      </c>
      <c r="D23" s="14">
        <f t="shared" si="0"/>
        <v>0.59949999999999992</v>
      </c>
      <c r="E23" s="14">
        <v>0.40050000000000002</v>
      </c>
      <c r="F23" s="14">
        <f t="shared" si="1"/>
        <v>0.23770000000000002</v>
      </c>
      <c r="G23" s="14">
        <v>0.76229999999999998</v>
      </c>
    </row>
    <row r="24" spans="2:7" x14ac:dyDescent="0.25">
      <c r="B24" s="13">
        <v>83.74</v>
      </c>
      <c r="C24" s="10">
        <v>46.54</v>
      </c>
      <c r="D24" s="14">
        <f t="shared" si="0"/>
        <v>0.58420000000000005</v>
      </c>
      <c r="E24" s="14">
        <v>0.4158</v>
      </c>
      <c r="F24" s="14">
        <f t="shared" si="1"/>
        <v>0.23199999999999998</v>
      </c>
      <c r="G24" s="14">
        <v>0.76800000000000002</v>
      </c>
    </row>
    <row r="25" spans="2:7" x14ac:dyDescent="0.25">
      <c r="B25" s="13">
        <v>84.05</v>
      </c>
      <c r="C25" s="10">
        <v>0.09</v>
      </c>
      <c r="D25" s="14">
        <f t="shared" si="0"/>
        <v>1</v>
      </c>
      <c r="E25" s="14">
        <v>0</v>
      </c>
      <c r="F25" s="14">
        <f t="shared" si="1"/>
        <v>1</v>
      </c>
      <c r="G25" s="14">
        <v>0</v>
      </c>
    </row>
    <row r="26" spans="2:7" x14ac:dyDescent="0.25">
      <c r="B26" s="13">
        <v>84.05</v>
      </c>
      <c r="C26" s="10">
        <v>49.71</v>
      </c>
      <c r="D26" s="14">
        <f t="shared" si="0"/>
        <v>0.50080000000000002</v>
      </c>
      <c r="E26" s="14">
        <v>0.49919999999999998</v>
      </c>
      <c r="F26" s="14">
        <f t="shared" si="1"/>
        <v>0.31100000000000005</v>
      </c>
      <c r="G26" s="14">
        <v>0.68899999999999995</v>
      </c>
    </row>
    <row r="27" spans="2:7" x14ac:dyDescent="0.25">
      <c r="B27" s="13">
        <v>84.05</v>
      </c>
      <c r="C27" s="10">
        <v>50.68</v>
      </c>
      <c r="D27" s="14">
        <f t="shared" si="0"/>
        <v>0.48099999999999998</v>
      </c>
      <c r="E27" s="14">
        <v>0.51900000000000002</v>
      </c>
      <c r="F27" s="14">
        <f t="shared" si="1"/>
        <v>0.32379999999999998</v>
      </c>
      <c r="G27" s="14">
        <v>0.67620000000000002</v>
      </c>
    </row>
    <row r="28" spans="2:7" x14ac:dyDescent="0.25">
      <c r="B28" s="13">
        <v>84.05</v>
      </c>
      <c r="C28" s="10">
        <v>51.43</v>
      </c>
      <c r="D28" s="14">
        <f t="shared" si="0"/>
        <v>0.37539999999999996</v>
      </c>
      <c r="E28" s="14">
        <v>0.62460000000000004</v>
      </c>
      <c r="F28" s="14">
        <f t="shared" si="1"/>
        <v>0.3468</v>
      </c>
      <c r="G28" s="14">
        <v>0.6532</v>
      </c>
    </row>
    <row r="29" spans="2:7" x14ac:dyDescent="0.25">
      <c r="B29" s="13">
        <v>84.05</v>
      </c>
      <c r="C29" s="10">
        <v>51.8</v>
      </c>
      <c r="D29" s="14">
        <f t="shared" si="0"/>
        <v>0.40200000000000002</v>
      </c>
      <c r="E29" s="14">
        <v>0.59799999999999998</v>
      </c>
      <c r="F29" s="14"/>
      <c r="G29" s="14"/>
    </row>
    <row r="30" spans="2:7" x14ac:dyDescent="0.25">
      <c r="B30" s="13">
        <v>84.5</v>
      </c>
      <c r="C30" s="10">
        <v>0.09</v>
      </c>
      <c r="D30" s="14">
        <f t="shared" si="0"/>
        <v>1</v>
      </c>
      <c r="E30" s="14">
        <v>0</v>
      </c>
      <c r="F30" s="14">
        <f t="shared" si="1"/>
        <v>1</v>
      </c>
      <c r="G30" s="14">
        <v>0</v>
      </c>
    </row>
    <row r="31" spans="2:7" x14ac:dyDescent="0.25">
      <c r="B31" s="13">
        <v>84.5</v>
      </c>
      <c r="C31" s="10">
        <v>39.64</v>
      </c>
      <c r="D31" s="14">
        <f t="shared" si="0"/>
        <v>0.65239999999999998</v>
      </c>
      <c r="E31" s="14">
        <v>0.34760000000000002</v>
      </c>
      <c r="F31" s="14">
        <f t="shared" si="1"/>
        <v>0.18300000000000005</v>
      </c>
      <c r="G31" s="14">
        <v>0.81699999999999995</v>
      </c>
    </row>
    <row r="32" spans="2:7" x14ac:dyDescent="0.25">
      <c r="B32" s="13">
        <v>84.5</v>
      </c>
      <c r="C32" s="10">
        <v>43.09</v>
      </c>
      <c r="D32" s="14">
        <f t="shared" si="0"/>
        <v>0.60660000000000003</v>
      </c>
      <c r="E32" s="14">
        <v>0.39340000000000003</v>
      </c>
      <c r="F32" s="14">
        <f t="shared" si="1"/>
        <v>0.22299999999999998</v>
      </c>
      <c r="G32" s="14">
        <v>0.77700000000000002</v>
      </c>
    </row>
    <row r="33" spans="2:7" x14ac:dyDescent="0.25">
      <c r="B33" s="13">
        <v>84.5</v>
      </c>
      <c r="C33" s="10">
        <v>46.54</v>
      </c>
      <c r="D33" s="14">
        <f t="shared" si="0"/>
        <v>0.54920000000000002</v>
      </c>
      <c r="E33" s="14">
        <v>0.45079999999999998</v>
      </c>
      <c r="F33" s="14">
        <f t="shared" si="1"/>
        <v>0.27400000000000002</v>
      </c>
      <c r="G33" s="14">
        <v>0.72599999999999998</v>
      </c>
    </row>
    <row r="34" spans="2:7" x14ac:dyDescent="0.25">
      <c r="B34" s="13">
        <v>84.5</v>
      </c>
      <c r="C34" s="10">
        <v>48.4</v>
      </c>
      <c r="D34" s="14">
        <f t="shared" si="0"/>
        <v>0.50980000000000003</v>
      </c>
      <c r="E34" s="14">
        <v>0.49020000000000002</v>
      </c>
      <c r="F34" s="14">
        <f t="shared" si="1"/>
        <v>0.30320000000000003</v>
      </c>
      <c r="G34" s="14">
        <v>0.69679999999999997</v>
      </c>
    </row>
    <row r="35" spans="2:7" x14ac:dyDescent="0.25">
      <c r="B35" s="13">
        <v>84.5</v>
      </c>
      <c r="C35" s="10">
        <v>49.23</v>
      </c>
      <c r="D35" s="14">
        <f t="shared" si="0"/>
        <v>0.48580000000000001</v>
      </c>
      <c r="E35" s="14">
        <v>0.51419999999999999</v>
      </c>
      <c r="F35" s="14">
        <f t="shared" si="1"/>
        <v>0.3165</v>
      </c>
      <c r="G35" s="14">
        <v>0.6835</v>
      </c>
    </row>
    <row r="36" spans="2:7" x14ac:dyDescent="0.25">
      <c r="B36" s="13">
        <v>84.5</v>
      </c>
      <c r="C36" s="10">
        <v>49.92</v>
      </c>
      <c r="D36" s="14">
        <f t="shared" si="0"/>
        <v>0.45050000000000001</v>
      </c>
      <c r="E36" s="14">
        <v>0.54949999999999999</v>
      </c>
      <c r="F36" s="14">
        <f t="shared" si="1"/>
        <v>0.34160000000000001</v>
      </c>
      <c r="G36" s="14">
        <v>0.65839999999999999</v>
      </c>
    </row>
    <row r="37" spans="2:7" x14ac:dyDescent="0.25">
      <c r="B37" s="13">
        <v>84.5</v>
      </c>
      <c r="C37" s="10">
        <v>50.6</v>
      </c>
      <c r="D37" s="14">
        <f t="shared" si="0"/>
        <v>0.40300000000000002</v>
      </c>
      <c r="E37" s="14">
        <v>0.59699999999999998</v>
      </c>
      <c r="F37" s="14"/>
      <c r="G37" s="14"/>
    </row>
    <row r="38" spans="2:7" x14ac:dyDescent="0.25">
      <c r="B38" s="13">
        <v>85.65</v>
      </c>
      <c r="C38" s="10">
        <v>0.1</v>
      </c>
      <c r="D38" s="14">
        <f t="shared" si="0"/>
        <v>1</v>
      </c>
      <c r="E38" s="14">
        <v>0</v>
      </c>
      <c r="F38" s="14">
        <f t="shared" si="1"/>
        <v>1</v>
      </c>
      <c r="G38" s="14">
        <v>0</v>
      </c>
    </row>
    <row r="39" spans="2:7" x14ac:dyDescent="0.25">
      <c r="B39" s="13">
        <v>85.65</v>
      </c>
      <c r="C39" s="10">
        <v>1.38</v>
      </c>
      <c r="D39" s="14">
        <f t="shared" si="0"/>
        <v>0.99739999999999995</v>
      </c>
      <c r="E39" s="14">
        <v>2.5999999999999999E-3</v>
      </c>
      <c r="F39" s="14">
        <f t="shared" si="1"/>
        <v>5.7300000000000018E-2</v>
      </c>
      <c r="G39" s="14">
        <v>0.94269999999999998</v>
      </c>
    </row>
    <row r="40" spans="2:7" x14ac:dyDescent="0.25">
      <c r="B40" s="13">
        <v>85.65</v>
      </c>
      <c r="C40" s="10">
        <v>2.21</v>
      </c>
      <c r="D40" s="14">
        <f t="shared" si="0"/>
        <v>0.98699999999999999</v>
      </c>
      <c r="E40" s="14">
        <v>1.2999999999999999E-2</v>
      </c>
      <c r="F40" s="14">
        <f t="shared" si="1"/>
        <v>3.1200000000000006E-2</v>
      </c>
      <c r="G40" s="14">
        <v>0.96879999999999999</v>
      </c>
    </row>
    <row r="41" spans="2:7" x14ac:dyDescent="0.25">
      <c r="B41" s="13">
        <v>85.65</v>
      </c>
      <c r="C41" s="10">
        <v>3.65</v>
      </c>
      <c r="D41" s="14">
        <f t="shared" si="0"/>
        <v>0.96460000000000001</v>
      </c>
      <c r="E41" s="14">
        <v>3.5400000000000001E-2</v>
      </c>
      <c r="F41" s="14">
        <f t="shared" si="1"/>
        <v>1.7199999999999993E-2</v>
      </c>
      <c r="G41" s="14">
        <v>0.98280000000000001</v>
      </c>
    </row>
    <row r="42" spans="2:7" x14ac:dyDescent="0.25">
      <c r="B42" s="13">
        <v>85.65</v>
      </c>
      <c r="C42" s="10">
        <v>4.2</v>
      </c>
      <c r="D42" s="14">
        <f t="shared" si="0"/>
        <v>0.95960000000000001</v>
      </c>
      <c r="E42" s="14">
        <v>4.0399999999999998E-2</v>
      </c>
      <c r="F42" s="14">
        <f t="shared" si="1"/>
        <v>2.0000000000000018E-2</v>
      </c>
      <c r="G42" s="14">
        <v>0.98</v>
      </c>
    </row>
    <row r="43" spans="2:7" x14ac:dyDescent="0.25">
      <c r="B43" s="13">
        <v>85.65</v>
      </c>
      <c r="C43" s="10">
        <v>4.83</v>
      </c>
      <c r="D43" s="14">
        <f t="shared" si="0"/>
        <v>0.95340000000000003</v>
      </c>
      <c r="E43" s="14">
        <v>4.6600000000000003E-2</v>
      </c>
      <c r="F43" s="14">
        <f t="shared" si="1"/>
        <v>2.3599999999999954E-2</v>
      </c>
      <c r="G43" s="14">
        <v>0.97640000000000005</v>
      </c>
    </row>
    <row r="44" spans="2:7" x14ac:dyDescent="0.25">
      <c r="B44" s="13">
        <v>85.65</v>
      </c>
      <c r="C44" s="10">
        <v>5.79</v>
      </c>
      <c r="D44" s="14">
        <f t="shared" si="0"/>
        <v>0.94369999999999998</v>
      </c>
      <c r="E44" s="14">
        <v>5.6300000000000003E-2</v>
      </c>
      <c r="F44" s="14">
        <f t="shared" si="1"/>
        <v>1.980000000000004E-2</v>
      </c>
      <c r="G44" s="14">
        <v>0.98019999999999996</v>
      </c>
    </row>
    <row r="45" spans="2:7" x14ac:dyDescent="0.25">
      <c r="B45" s="13">
        <v>85.65</v>
      </c>
      <c r="C45" s="10">
        <v>6.89</v>
      </c>
      <c r="D45" s="14">
        <f t="shared" si="0"/>
        <v>0.93259999999999998</v>
      </c>
      <c r="E45" s="14">
        <v>6.7400000000000002E-2</v>
      </c>
      <c r="F45" s="14">
        <f t="shared" si="1"/>
        <v>2.0000000000000018E-2</v>
      </c>
      <c r="G45" s="14">
        <v>0.98</v>
      </c>
    </row>
    <row r="46" spans="2:7" x14ac:dyDescent="0.25">
      <c r="B46" s="13">
        <v>85.65</v>
      </c>
      <c r="C46" s="10">
        <v>8.3800000000000008</v>
      </c>
      <c r="D46" s="14">
        <f t="shared" si="0"/>
        <v>0.9194</v>
      </c>
      <c r="E46" s="14">
        <v>8.0600000000000005E-2</v>
      </c>
      <c r="F46" s="14">
        <f t="shared" si="1"/>
        <v>1.9199999999999995E-2</v>
      </c>
      <c r="G46" s="14">
        <v>0.98080000000000001</v>
      </c>
    </row>
    <row r="47" spans="2:7" x14ac:dyDescent="0.25">
      <c r="B47" s="13">
        <v>85.65</v>
      </c>
      <c r="C47" s="10">
        <v>9.44</v>
      </c>
      <c r="D47" s="14">
        <f t="shared" si="0"/>
        <v>0.90920000000000001</v>
      </c>
      <c r="E47" s="14">
        <v>9.0800000000000006E-2</v>
      </c>
      <c r="F47" s="14">
        <f t="shared" si="1"/>
        <v>2.5499999999999967E-2</v>
      </c>
      <c r="G47" s="14">
        <v>0.97450000000000003</v>
      </c>
    </row>
    <row r="48" spans="2:7" x14ac:dyDescent="0.25">
      <c r="B48" s="13">
        <v>85.65</v>
      </c>
      <c r="C48" s="10">
        <v>10.89</v>
      </c>
      <c r="D48" s="14">
        <f t="shared" si="0"/>
        <v>0.89639999999999997</v>
      </c>
      <c r="E48" s="14">
        <v>0.1036</v>
      </c>
      <c r="F48" s="14">
        <f t="shared" si="1"/>
        <v>2.7800000000000047E-2</v>
      </c>
      <c r="G48" s="14">
        <v>0.97219999999999995</v>
      </c>
    </row>
    <row r="49" spans="2:7" x14ac:dyDescent="0.25">
      <c r="B49" s="13">
        <v>85.65</v>
      </c>
      <c r="C49" s="10">
        <v>13.1</v>
      </c>
      <c r="D49" s="14">
        <f t="shared" si="0"/>
        <v>0.87739999999999996</v>
      </c>
      <c r="E49" s="14">
        <v>0.1226</v>
      </c>
      <c r="F49" s="14">
        <f t="shared" si="1"/>
        <v>2.4000000000000021E-2</v>
      </c>
      <c r="G49" s="14">
        <v>0.97599999999999998</v>
      </c>
    </row>
    <row r="50" spans="2:7" x14ac:dyDescent="0.25">
      <c r="B50" s="13">
        <v>85.65</v>
      </c>
      <c r="C50" s="10">
        <v>17.37</v>
      </c>
      <c r="D50" s="14">
        <f t="shared" si="0"/>
        <v>0.84230000000000005</v>
      </c>
      <c r="E50" s="14">
        <v>0.15770000000000001</v>
      </c>
      <c r="F50" s="14">
        <f t="shared" si="1"/>
        <v>3.4800000000000053E-2</v>
      </c>
      <c r="G50" s="14">
        <v>0.96519999999999995</v>
      </c>
    </row>
    <row r="51" spans="2:7" x14ac:dyDescent="0.25">
      <c r="B51" s="13">
        <v>85.65</v>
      </c>
      <c r="C51" s="10">
        <v>20.75</v>
      </c>
      <c r="D51" s="14">
        <f t="shared" si="0"/>
        <v>0.81479999999999997</v>
      </c>
      <c r="E51" s="14">
        <v>0.1852</v>
      </c>
      <c r="F51" s="14">
        <f t="shared" si="1"/>
        <v>4.9799999999999955E-2</v>
      </c>
      <c r="G51" s="14">
        <v>0.95020000000000004</v>
      </c>
    </row>
    <row r="52" spans="2:7" x14ac:dyDescent="0.25">
      <c r="B52" s="13">
        <v>85.65</v>
      </c>
      <c r="C52" s="10">
        <v>23.86</v>
      </c>
      <c r="D52" s="14">
        <f t="shared" si="0"/>
        <v>0.78720000000000001</v>
      </c>
      <c r="E52" s="14">
        <v>0.21279999999999999</v>
      </c>
      <c r="F52" s="14">
        <f t="shared" si="1"/>
        <v>6.0699999999999976E-2</v>
      </c>
      <c r="G52" s="14">
        <v>0.93930000000000002</v>
      </c>
    </row>
    <row r="53" spans="2:7" x14ac:dyDescent="0.25">
      <c r="B53" s="13">
        <v>85.65</v>
      </c>
      <c r="C53" s="10">
        <v>28.37</v>
      </c>
      <c r="D53" s="14">
        <f t="shared" si="0"/>
        <v>0.746</v>
      </c>
      <c r="E53" s="14">
        <v>0.254</v>
      </c>
      <c r="F53" s="14">
        <f t="shared" si="1"/>
        <v>9.430000000000005E-2</v>
      </c>
      <c r="G53" s="14">
        <v>0.90569999999999995</v>
      </c>
    </row>
    <row r="54" spans="2:7" x14ac:dyDescent="0.25">
      <c r="B54" s="13">
        <v>85.65</v>
      </c>
      <c r="C54" s="10">
        <v>31.03</v>
      </c>
      <c r="D54" s="14">
        <f t="shared" si="0"/>
        <v>0.72039999999999993</v>
      </c>
      <c r="E54" s="14">
        <v>0.27960000000000002</v>
      </c>
      <c r="F54" s="14">
        <f t="shared" si="1"/>
        <v>0.12350000000000005</v>
      </c>
      <c r="G54" s="14">
        <v>0.87649999999999995</v>
      </c>
    </row>
    <row r="55" spans="2:7" x14ac:dyDescent="0.25">
      <c r="B55" s="13">
        <v>85.65</v>
      </c>
      <c r="C55" s="10">
        <v>35.58</v>
      </c>
      <c r="D55" s="14">
        <f t="shared" si="0"/>
        <v>0.67159999999999997</v>
      </c>
      <c r="E55" s="14">
        <v>0.32840000000000003</v>
      </c>
      <c r="F55" s="14">
        <f t="shared" si="1"/>
        <v>0.16249999999999998</v>
      </c>
      <c r="G55" s="14">
        <v>0.83750000000000002</v>
      </c>
    </row>
    <row r="56" spans="2:7" x14ac:dyDescent="0.25">
      <c r="B56" s="13">
        <v>85.65</v>
      </c>
      <c r="C56" s="10">
        <v>40.950000000000003</v>
      </c>
      <c r="D56" s="14">
        <f t="shared" si="0"/>
        <v>0.59960000000000002</v>
      </c>
      <c r="E56" s="14">
        <v>0.40039999999999998</v>
      </c>
      <c r="F56" s="14">
        <f t="shared" si="1"/>
        <v>0.22350000000000003</v>
      </c>
      <c r="G56" s="14">
        <v>0.77649999999999997</v>
      </c>
    </row>
    <row r="57" spans="2:7" x14ac:dyDescent="0.25">
      <c r="B57" s="13">
        <v>85.65</v>
      </c>
      <c r="C57" s="10">
        <v>41.78</v>
      </c>
      <c r="D57" s="14">
        <f t="shared" si="0"/>
        <v>0.59339999999999993</v>
      </c>
      <c r="E57" s="14">
        <v>0.40660000000000002</v>
      </c>
      <c r="F57" s="14">
        <f t="shared" si="1"/>
        <v>0.23799999999999999</v>
      </c>
      <c r="G57" s="14">
        <v>0.76200000000000001</v>
      </c>
    </row>
    <row r="58" spans="2:7" x14ac:dyDescent="0.25">
      <c r="B58" s="13">
        <v>85.65</v>
      </c>
      <c r="C58" s="10">
        <v>43.16</v>
      </c>
      <c r="D58" s="14">
        <f t="shared" si="0"/>
        <v>0.57220000000000004</v>
      </c>
      <c r="E58" s="14">
        <v>0.42780000000000001</v>
      </c>
      <c r="F58" s="14">
        <f t="shared" si="1"/>
        <v>0.24929999999999997</v>
      </c>
      <c r="G58" s="14">
        <v>0.75070000000000003</v>
      </c>
    </row>
    <row r="59" spans="2:7" x14ac:dyDescent="0.25">
      <c r="B59" s="13">
        <v>85.65</v>
      </c>
      <c r="C59" s="10">
        <v>44.82</v>
      </c>
      <c r="D59" s="14">
        <f t="shared" si="0"/>
        <v>0.54099999999999993</v>
      </c>
      <c r="E59" s="14">
        <v>0.45900000000000002</v>
      </c>
      <c r="F59" s="14">
        <f t="shared" si="1"/>
        <v>0.27400000000000002</v>
      </c>
      <c r="G59" s="14">
        <v>0.72599999999999998</v>
      </c>
    </row>
    <row r="60" spans="2:7" x14ac:dyDescent="0.25">
      <c r="B60" s="13">
        <v>85.65</v>
      </c>
      <c r="C60" s="10">
        <v>46.47</v>
      </c>
      <c r="D60" s="14">
        <f t="shared" si="0"/>
        <v>0.50829999999999997</v>
      </c>
      <c r="E60" s="14">
        <v>0.49170000000000003</v>
      </c>
      <c r="F60" s="14">
        <f t="shared" si="1"/>
        <v>0.32599999999999996</v>
      </c>
      <c r="G60" s="14">
        <v>0.67400000000000004</v>
      </c>
    </row>
    <row r="61" spans="2:7" x14ac:dyDescent="0.25">
      <c r="B61" s="13">
        <v>85.65</v>
      </c>
      <c r="C61" s="10">
        <v>48.1</v>
      </c>
      <c r="D61" s="14">
        <f t="shared" si="0"/>
        <v>0.40500000000000003</v>
      </c>
      <c r="E61" s="14">
        <v>0.59499999999999997</v>
      </c>
      <c r="F61" s="14"/>
      <c r="G61" s="14"/>
    </row>
    <row r="62" spans="2:7" x14ac:dyDescent="0.25">
      <c r="B62" s="13">
        <v>90.16</v>
      </c>
      <c r="C62" s="10">
        <v>0.15</v>
      </c>
      <c r="D62" s="14">
        <f t="shared" si="0"/>
        <v>1</v>
      </c>
      <c r="E62" s="14">
        <v>0</v>
      </c>
      <c r="F62" s="14">
        <f t="shared" si="1"/>
        <v>1</v>
      </c>
      <c r="G62" s="14">
        <v>0</v>
      </c>
    </row>
    <row r="63" spans="2:7" x14ac:dyDescent="0.25">
      <c r="B63" s="13">
        <v>90.16</v>
      </c>
      <c r="C63" s="10">
        <v>24.27</v>
      </c>
      <c r="D63" s="14">
        <f t="shared" si="0"/>
        <v>0.75080000000000002</v>
      </c>
      <c r="E63" s="14">
        <v>0.2492</v>
      </c>
      <c r="F63" s="14">
        <f t="shared" si="1"/>
        <v>9.4400000000000039E-2</v>
      </c>
      <c r="G63" s="14">
        <v>0.90559999999999996</v>
      </c>
    </row>
    <row r="64" spans="2:7" x14ac:dyDescent="0.25">
      <c r="B64" s="13">
        <v>90.16</v>
      </c>
      <c r="C64" s="10">
        <v>27.85</v>
      </c>
      <c r="D64" s="14">
        <f t="shared" si="0"/>
        <v>0.70269999999999999</v>
      </c>
      <c r="E64" s="14">
        <v>0.29730000000000001</v>
      </c>
      <c r="F64" s="14">
        <f t="shared" si="1"/>
        <v>0.13949999999999996</v>
      </c>
      <c r="G64" s="14">
        <v>0.86050000000000004</v>
      </c>
    </row>
    <row r="65" spans="2:7" x14ac:dyDescent="0.25">
      <c r="B65" s="13">
        <v>90.16</v>
      </c>
      <c r="C65" s="10">
        <v>33.299999999999997</v>
      </c>
      <c r="D65" s="14">
        <f t="shared" si="0"/>
        <v>0.61159999999999992</v>
      </c>
      <c r="E65" s="14">
        <v>0.38840000000000002</v>
      </c>
      <c r="F65" s="14">
        <f t="shared" si="1"/>
        <v>0.2137</v>
      </c>
      <c r="G65" s="14">
        <v>0.7863</v>
      </c>
    </row>
    <row r="66" spans="2:7" x14ac:dyDescent="0.25">
      <c r="B66" s="13">
        <v>90.16</v>
      </c>
      <c r="C66" s="10">
        <v>36.54</v>
      </c>
      <c r="D66" s="14">
        <f t="shared" si="0"/>
        <v>0.56889999999999996</v>
      </c>
      <c r="E66" s="14">
        <v>0.43109999999999998</v>
      </c>
      <c r="F66" s="14">
        <f t="shared" si="1"/>
        <v>0.27300000000000002</v>
      </c>
      <c r="G66" s="14">
        <v>0.72699999999999998</v>
      </c>
    </row>
    <row r="67" spans="2:7" x14ac:dyDescent="0.25">
      <c r="B67" s="13">
        <v>90.16</v>
      </c>
      <c r="C67" s="10">
        <v>37.58</v>
      </c>
      <c r="D67" s="14">
        <f t="shared" ref="D67:D130" si="2">1-E67</f>
        <v>0.52859999999999996</v>
      </c>
      <c r="E67" s="14">
        <v>0.47139999999999999</v>
      </c>
      <c r="F67" s="14">
        <f t="shared" ref="F67:F130" si="3">1-G67</f>
        <v>0.29320000000000002</v>
      </c>
      <c r="G67" s="14">
        <v>0.70679999999999998</v>
      </c>
    </row>
    <row r="68" spans="2:7" x14ac:dyDescent="0.25">
      <c r="B68" s="13">
        <v>90.16</v>
      </c>
      <c r="C68" s="10">
        <v>38.26</v>
      </c>
      <c r="D68" s="14"/>
      <c r="E68" s="14"/>
      <c r="F68" s="14">
        <f t="shared" si="3"/>
        <v>0.32050000000000001</v>
      </c>
      <c r="G68" s="14">
        <v>0.67949999999999999</v>
      </c>
    </row>
    <row r="69" spans="2:7" x14ac:dyDescent="0.25">
      <c r="B69" s="13">
        <v>90.16</v>
      </c>
      <c r="C69" s="10">
        <v>39.5</v>
      </c>
      <c r="D69" s="14">
        <f t="shared" si="2"/>
        <v>0.41200000000000003</v>
      </c>
      <c r="E69" s="14">
        <v>0.58799999999999997</v>
      </c>
      <c r="F69" s="14"/>
      <c r="G69" s="14"/>
    </row>
    <row r="70" spans="2:7" x14ac:dyDescent="0.25">
      <c r="B70" s="13">
        <v>95.77</v>
      </c>
      <c r="C70" s="10">
        <v>0.24</v>
      </c>
      <c r="D70" s="14">
        <f t="shared" si="2"/>
        <v>1</v>
      </c>
      <c r="E70" s="14">
        <v>0</v>
      </c>
      <c r="F70" s="14">
        <f t="shared" si="3"/>
        <v>1</v>
      </c>
      <c r="G70" s="14">
        <v>0</v>
      </c>
    </row>
    <row r="71" spans="2:7" x14ac:dyDescent="0.25">
      <c r="B71" s="13">
        <v>95.77</v>
      </c>
      <c r="C71" s="10">
        <v>1.38</v>
      </c>
      <c r="D71" s="14">
        <f t="shared" si="2"/>
        <v>0.98680000000000001</v>
      </c>
      <c r="E71" s="14">
        <v>1.32E-2</v>
      </c>
      <c r="F71" s="14">
        <f t="shared" si="3"/>
        <v>0.21230000000000004</v>
      </c>
      <c r="G71" s="14">
        <v>0.78769999999999996</v>
      </c>
    </row>
    <row r="72" spans="2:7" x14ac:dyDescent="0.25">
      <c r="B72" s="13">
        <v>95.77</v>
      </c>
      <c r="C72" s="10">
        <v>2.0699999999999998</v>
      </c>
      <c r="D72" s="14">
        <f t="shared" si="2"/>
        <v>0.97870000000000001</v>
      </c>
      <c r="E72" s="14">
        <v>2.1299999999999999E-2</v>
      </c>
      <c r="F72" s="14">
        <f t="shared" si="3"/>
        <v>0.12649999999999995</v>
      </c>
      <c r="G72" s="14">
        <v>0.87350000000000005</v>
      </c>
    </row>
    <row r="73" spans="2:7" x14ac:dyDescent="0.25">
      <c r="B73" s="13">
        <v>95.77</v>
      </c>
      <c r="C73" s="10">
        <v>3.45</v>
      </c>
      <c r="D73" s="14">
        <f t="shared" si="2"/>
        <v>0.96030000000000004</v>
      </c>
      <c r="E73" s="14">
        <v>3.9699999999999999E-2</v>
      </c>
      <c r="F73" s="14">
        <f t="shared" si="3"/>
        <v>6.1699999999999977E-2</v>
      </c>
      <c r="G73" s="14">
        <v>0.93830000000000002</v>
      </c>
    </row>
    <row r="74" spans="2:7" x14ac:dyDescent="0.25">
      <c r="B74" s="13">
        <v>95.77</v>
      </c>
      <c r="C74" s="10">
        <v>5.38</v>
      </c>
      <c r="D74" s="14">
        <f t="shared" si="2"/>
        <v>0.93789999999999996</v>
      </c>
      <c r="E74" s="14">
        <v>6.2100000000000002E-2</v>
      </c>
      <c r="F74" s="14">
        <f t="shared" si="3"/>
        <v>4.8699999999999966E-2</v>
      </c>
      <c r="G74" s="14">
        <v>0.95130000000000003</v>
      </c>
    </row>
    <row r="75" spans="2:7" x14ac:dyDescent="0.25">
      <c r="B75" s="13">
        <v>95.77</v>
      </c>
      <c r="C75" s="10">
        <v>7.58</v>
      </c>
      <c r="D75" s="14">
        <f t="shared" si="2"/>
        <v>0.91090000000000004</v>
      </c>
      <c r="E75" s="14">
        <v>8.9099999999999999E-2</v>
      </c>
      <c r="F75" s="14">
        <f t="shared" si="3"/>
        <v>3.8699999999999957E-2</v>
      </c>
      <c r="G75" s="14">
        <v>0.96130000000000004</v>
      </c>
    </row>
    <row r="76" spans="2:7" x14ac:dyDescent="0.25">
      <c r="B76" s="13">
        <v>95.77</v>
      </c>
      <c r="C76" s="10">
        <v>9.17</v>
      </c>
      <c r="D76" s="14">
        <f t="shared" si="2"/>
        <v>0.89749999999999996</v>
      </c>
      <c r="E76" s="14">
        <v>0.10249999999999999</v>
      </c>
      <c r="F76" s="14">
        <f t="shared" si="3"/>
        <v>5.0300000000000011E-2</v>
      </c>
      <c r="G76" s="14">
        <v>0.94969999999999999</v>
      </c>
    </row>
    <row r="77" spans="2:7" x14ac:dyDescent="0.25">
      <c r="B77" s="13">
        <v>95.77</v>
      </c>
      <c r="C77" s="10">
        <v>10.27</v>
      </c>
      <c r="D77" s="14">
        <f t="shared" si="2"/>
        <v>0.88580000000000003</v>
      </c>
      <c r="E77" s="14">
        <v>0.1142</v>
      </c>
      <c r="F77" s="14">
        <f t="shared" si="3"/>
        <v>4.9699999999999966E-2</v>
      </c>
      <c r="G77" s="14">
        <v>0.95030000000000003</v>
      </c>
    </row>
    <row r="78" spans="2:7" x14ac:dyDescent="0.25">
      <c r="B78" s="13">
        <v>95.77</v>
      </c>
      <c r="C78" s="10">
        <v>13.1</v>
      </c>
      <c r="D78" s="14">
        <f t="shared" si="2"/>
        <v>0.85050000000000003</v>
      </c>
      <c r="E78" s="14">
        <v>0.14949999999999999</v>
      </c>
      <c r="F78" s="14">
        <f t="shared" si="3"/>
        <v>5.9300000000000019E-2</v>
      </c>
      <c r="G78" s="14">
        <v>0.94069999999999998</v>
      </c>
    </row>
    <row r="79" spans="2:7" x14ac:dyDescent="0.25">
      <c r="B79" s="13">
        <v>95.77</v>
      </c>
      <c r="C79" s="10">
        <v>14.96</v>
      </c>
      <c r="D79" s="14">
        <f t="shared" si="2"/>
        <v>0.8266</v>
      </c>
      <c r="E79" s="14">
        <v>0.1734</v>
      </c>
      <c r="F79" s="14">
        <f t="shared" si="3"/>
        <v>7.569999999999999E-2</v>
      </c>
      <c r="G79" s="14">
        <v>0.92430000000000001</v>
      </c>
    </row>
    <row r="80" spans="2:7" x14ac:dyDescent="0.25">
      <c r="B80" s="13">
        <v>95.77</v>
      </c>
      <c r="C80" s="10">
        <v>18.48</v>
      </c>
      <c r="D80" s="14">
        <f t="shared" si="2"/>
        <v>0.77770000000000006</v>
      </c>
      <c r="E80" s="14">
        <v>0.2223</v>
      </c>
      <c r="F80" s="14">
        <f t="shared" si="3"/>
        <v>0.10350000000000004</v>
      </c>
      <c r="G80" s="14">
        <v>0.89649999999999996</v>
      </c>
    </row>
    <row r="81" spans="2:7" x14ac:dyDescent="0.25">
      <c r="B81" s="13">
        <v>95.77</v>
      </c>
      <c r="C81" s="10">
        <v>20.41</v>
      </c>
      <c r="D81" s="14">
        <f t="shared" si="2"/>
        <v>0.74859999999999993</v>
      </c>
      <c r="E81" s="14">
        <v>0.25140000000000001</v>
      </c>
      <c r="F81" s="14">
        <f t="shared" si="3"/>
        <v>0.13549999999999995</v>
      </c>
      <c r="G81" s="14">
        <v>0.86450000000000005</v>
      </c>
    </row>
    <row r="82" spans="2:7" x14ac:dyDescent="0.25">
      <c r="B82" s="13">
        <v>95.77</v>
      </c>
      <c r="C82" s="10">
        <v>21.99</v>
      </c>
      <c r="D82" s="14">
        <f t="shared" si="2"/>
        <v>0.72260000000000002</v>
      </c>
      <c r="E82" s="14">
        <v>0.27739999999999998</v>
      </c>
      <c r="F82" s="14">
        <f t="shared" si="3"/>
        <v>0.14500000000000002</v>
      </c>
      <c r="G82" s="14">
        <v>0.85499999999999998</v>
      </c>
    </row>
    <row r="83" spans="2:7" x14ac:dyDescent="0.25">
      <c r="B83" s="13">
        <v>95.77</v>
      </c>
      <c r="C83" s="10">
        <v>24.48</v>
      </c>
      <c r="D83" s="14">
        <f t="shared" si="2"/>
        <v>0.67549999999999999</v>
      </c>
      <c r="E83" s="14">
        <v>0.32450000000000001</v>
      </c>
      <c r="F83" s="14">
        <f t="shared" si="3"/>
        <v>0.19399999999999995</v>
      </c>
      <c r="G83" s="14">
        <v>0.80600000000000005</v>
      </c>
    </row>
    <row r="84" spans="2:7" x14ac:dyDescent="0.25">
      <c r="B84" s="13">
        <v>95.77</v>
      </c>
      <c r="C84" s="10">
        <v>25.79</v>
      </c>
      <c r="D84" s="14">
        <f t="shared" si="2"/>
        <v>0.65410000000000001</v>
      </c>
      <c r="E84" s="14">
        <v>0.34589999999999999</v>
      </c>
      <c r="F84" s="14">
        <f t="shared" si="3"/>
        <v>0.22970000000000002</v>
      </c>
      <c r="G84" s="14">
        <v>0.77029999999999998</v>
      </c>
    </row>
    <row r="85" spans="2:7" x14ac:dyDescent="0.25">
      <c r="B85" s="13">
        <v>95.77</v>
      </c>
      <c r="C85" s="10">
        <v>27.44</v>
      </c>
      <c r="D85" s="14">
        <f t="shared" si="2"/>
        <v>0.60860000000000003</v>
      </c>
      <c r="E85" s="14">
        <v>0.39140000000000003</v>
      </c>
      <c r="F85" s="14">
        <f t="shared" si="3"/>
        <v>0.24470000000000003</v>
      </c>
      <c r="G85" s="14">
        <v>0.75529999999999997</v>
      </c>
    </row>
    <row r="86" spans="2:7" x14ac:dyDescent="0.25">
      <c r="B86" s="13">
        <v>95.77</v>
      </c>
      <c r="C86" s="10">
        <v>28.96</v>
      </c>
      <c r="D86" s="14">
        <f t="shared" si="2"/>
        <v>0.55420000000000003</v>
      </c>
      <c r="E86" s="14">
        <v>0.44579999999999997</v>
      </c>
      <c r="F86" s="14">
        <f t="shared" si="3"/>
        <v>0.29300000000000004</v>
      </c>
      <c r="G86" s="14">
        <v>0.70699999999999996</v>
      </c>
    </row>
    <row r="87" spans="2:7" x14ac:dyDescent="0.25">
      <c r="B87" s="13">
        <v>95.77</v>
      </c>
      <c r="C87" s="10">
        <v>29.54</v>
      </c>
      <c r="D87" s="14">
        <f t="shared" si="2"/>
        <v>0.5514</v>
      </c>
      <c r="E87" s="14">
        <v>0.4486</v>
      </c>
      <c r="F87" s="14">
        <f t="shared" si="3"/>
        <v>0.30900000000000005</v>
      </c>
      <c r="G87" s="14">
        <v>0.69099999999999995</v>
      </c>
    </row>
    <row r="88" spans="2:7" x14ac:dyDescent="0.25">
      <c r="B88" s="13">
        <v>95.77</v>
      </c>
      <c r="C88" s="10">
        <v>30.4</v>
      </c>
      <c r="D88" s="14">
        <f t="shared" si="2"/>
        <v>0.46250000000000002</v>
      </c>
      <c r="E88" s="14">
        <v>0.53749999999999998</v>
      </c>
      <c r="F88" s="14">
        <f t="shared" si="3"/>
        <v>0.35580000000000001</v>
      </c>
      <c r="G88" s="14">
        <v>0.64419999999999999</v>
      </c>
    </row>
    <row r="89" spans="2:7" x14ac:dyDescent="0.25">
      <c r="B89" s="13">
        <v>95.77</v>
      </c>
      <c r="C89" s="10">
        <v>31</v>
      </c>
      <c r="D89" s="14">
        <f t="shared" si="2"/>
        <v>0.43000000000000005</v>
      </c>
      <c r="E89" s="14">
        <v>0.56999999999999995</v>
      </c>
      <c r="F89" s="14"/>
      <c r="G89" s="14"/>
    </row>
    <row r="90" spans="2:7" x14ac:dyDescent="0.25">
      <c r="B90" s="13">
        <v>104.11</v>
      </c>
      <c r="C90" s="10">
        <v>0.46</v>
      </c>
      <c r="D90" s="14">
        <f t="shared" si="2"/>
        <v>1</v>
      </c>
      <c r="E90" s="14">
        <v>0</v>
      </c>
      <c r="F90" s="14">
        <f t="shared" si="3"/>
        <v>1</v>
      </c>
      <c r="G90" s="14">
        <v>0</v>
      </c>
    </row>
    <row r="91" spans="2:7" x14ac:dyDescent="0.25">
      <c r="B91" s="13">
        <v>104.11</v>
      </c>
      <c r="C91" s="10">
        <v>1.52</v>
      </c>
      <c r="D91" s="14">
        <f t="shared" si="2"/>
        <v>0.98280000000000001</v>
      </c>
      <c r="E91" s="14">
        <v>1.72E-2</v>
      </c>
      <c r="F91" s="14">
        <f t="shared" si="3"/>
        <v>0.31079999999999997</v>
      </c>
      <c r="G91" s="14">
        <v>0.68920000000000003</v>
      </c>
    </row>
    <row r="92" spans="2:7" x14ac:dyDescent="0.25">
      <c r="B92" s="13">
        <v>104.11</v>
      </c>
      <c r="C92" s="10">
        <v>1.72</v>
      </c>
      <c r="D92" s="14">
        <f t="shared" si="2"/>
        <v>0.98229999999999995</v>
      </c>
      <c r="E92" s="14">
        <v>1.77E-2</v>
      </c>
      <c r="F92" s="14">
        <f t="shared" si="3"/>
        <v>0.29720000000000002</v>
      </c>
      <c r="G92" s="14">
        <v>0.70279999999999998</v>
      </c>
    </row>
    <row r="93" spans="2:7" x14ac:dyDescent="0.25">
      <c r="B93" s="13">
        <v>104.11</v>
      </c>
      <c r="C93" s="10">
        <v>2.0699999999999998</v>
      </c>
      <c r="D93" s="14">
        <f t="shared" si="2"/>
        <v>0.97740000000000005</v>
      </c>
      <c r="E93" s="14">
        <v>2.2599999999999999E-2</v>
      </c>
      <c r="F93" s="14">
        <f t="shared" si="3"/>
        <v>0.26329999999999998</v>
      </c>
      <c r="G93" s="14">
        <v>0.73670000000000002</v>
      </c>
    </row>
    <row r="94" spans="2:7" x14ac:dyDescent="0.25">
      <c r="B94" s="13">
        <v>104.11</v>
      </c>
      <c r="C94" s="10">
        <v>2.9</v>
      </c>
      <c r="D94" s="14">
        <f t="shared" si="2"/>
        <v>0.96640000000000004</v>
      </c>
      <c r="E94" s="14">
        <v>3.3599999999999998E-2</v>
      </c>
      <c r="F94" s="14">
        <f t="shared" si="3"/>
        <v>0.20099999999999996</v>
      </c>
      <c r="G94" s="14">
        <v>0.79900000000000004</v>
      </c>
    </row>
    <row r="95" spans="2:7" x14ac:dyDescent="0.25">
      <c r="B95" s="13">
        <v>104.11</v>
      </c>
      <c r="C95" s="10">
        <v>4.07</v>
      </c>
      <c r="D95" s="14">
        <f t="shared" si="2"/>
        <v>0.95179999999999998</v>
      </c>
      <c r="E95" s="14">
        <v>4.82E-2</v>
      </c>
      <c r="F95" s="14">
        <f t="shared" si="3"/>
        <v>0.15049999999999997</v>
      </c>
      <c r="G95" s="14">
        <v>0.84950000000000003</v>
      </c>
    </row>
    <row r="96" spans="2:7" x14ac:dyDescent="0.25">
      <c r="B96" s="13">
        <v>104.11</v>
      </c>
      <c r="C96" s="10">
        <v>6.2</v>
      </c>
      <c r="D96" s="14">
        <f t="shared" si="2"/>
        <v>0.92130000000000001</v>
      </c>
      <c r="E96" s="14">
        <v>7.8700000000000006E-2</v>
      </c>
      <c r="F96" s="14">
        <f t="shared" si="3"/>
        <v>0.10750000000000004</v>
      </c>
      <c r="G96" s="14">
        <v>0.89249999999999996</v>
      </c>
    </row>
    <row r="97" spans="2:7" x14ac:dyDescent="0.25">
      <c r="B97" s="13">
        <v>104.11</v>
      </c>
      <c r="C97" s="10">
        <v>8.69</v>
      </c>
      <c r="D97" s="14">
        <f t="shared" si="2"/>
        <v>0.88580000000000003</v>
      </c>
      <c r="E97" s="14">
        <v>0.1142</v>
      </c>
      <c r="F97" s="14">
        <f t="shared" si="3"/>
        <v>9.4700000000000006E-2</v>
      </c>
      <c r="G97" s="14">
        <v>0.90529999999999999</v>
      </c>
    </row>
    <row r="98" spans="2:7" x14ac:dyDescent="0.25">
      <c r="B98" s="13">
        <v>104.11</v>
      </c>
      <c r="C98" s="10">
        <v>11.44</v>
      </c>
      <c r="D98" s="14">
        <f t="shared" si="2"/>
        <v>0.84279999999999999</v>
      </c>
      <c r="E98" s="14">
        <v>0.15720000000000001</v>
      </c>
      <c r="F98" s="14">
        <f t="shared" si="3"/>
        <v>0.10999999999999999</v>
      </c>
      <c r="G98" s="14">
        <v>0.89</v>
      </c>
    </row>
    <row r="99" spans="2:7" x14ac:dyDescent="0.25">
      <c r="B99" s="13">
        <v>104.11</v>
      </c>
      <c r="C99" s="10">
        <v>14</v>
      </c>
      <c r="D99" s="14">
        <f t="shared" si="2"/>
        <v>0.80349999999999999</v>
      </c>
      <c r="E99" s="14">
        <v>0.19650000000000001</v>
      </c>
      <c r="F99" s="14">
        <f t="shared" si="3"/>
        <v>0.14100000000000001</v>
      </c>
      <c r="G99" s="14">
        <v>0.85899999999999999</v>
      </c>
    </row>
    <row r="100" spans="2:7" x14ac:dyDescent="0.25">
      <c r="B100" s="13">
        <v>104.11</v>
      </c>
      <c r="C100" s="10">
        <v>17.440000000000001</v>
      </c>
      <c r="D100" s="14">
        <f t="shared" si="2"/>
        <v>0.73360000000000003</v>
      </c>
      <c r="E100" s="14">
        <v>0.26640000000000003</v>
      </c>
      <c r="F100" s="14">
        <f t="shared" si="3"/>
        <v>0.68300000000000005</v>
      </c>
      <c r="G100" s="14">
        <v>0.317</v>
      </c>
    </row>
    <row r="101" spans="2:7" x14ac:dyDescent="0.25">
      <c r="B101" s="13">
        <v>104.11</v>
      </c>
      <c r="C101" s="10">
        <v>20.96</v>
      </c>
      <c r="D101" s="14">
        <f t="shared" si="2"/>
        <v>0.64</v>
      </c>
      <c r="E101" s="14">
        <v>0.36</v>
      </c>
      <c r="F101" s="14">
        <f t="shared" si="3"/>
        <v>0.26029999999999998</v>
      </c>
      <c r="G101" s="14">
        <v>0.73970000000000002</v>
      </c>
    </row>
    <row r="102" spans="2:7" x14ac:dyDescent="0.25">
      <c r="B102" s="13">
        <v>104.11</v>
      </c>
      <c r="C102" s="10">
        <v>22.82</v>
      </c>
      <c r="D102" s="14">
        <f t="shared" si="2"/>
        <v>0.56600000000000006</v>
      </c>
      <c r="E102" s="14">
        <v>0.434</v>
      </c>
      <c r="F102" s="14">
        <f t="shared" si="3"/>
        <v>0.30700000000000005</v>
      </c>
      <c r="G102" s="14">
        <v>0.69299999999999995</v>
      </c>
    </row>
    <row r="103" spans="2:7" x14ac:dyDescent="0.25">
      <c r="B103" s="13">
        <v>104.11</v>
      </c>
      <c r="C103" s="10">
        <v>23.58</v>
      </c>
      <c r="D103" s="14"/>
      <c r="E103" s="14"/>
      <c r="F103" s="14">
        <f t="shared" si="3"/>
        <v>0.34179999999999999</v>
      </c>
      <c r="G103" s="14">
        <v>0.65820000000000001</v>
      </c>
    </row>
    <row r="104" spans="2:7" x14ac:dyDescent="0.25">
      <c r="B104" s="13">
        <v>104.11</v>
      </c>
      <c r="C104" s="10">
        <v>24.6</v>
      </c>
      <c r="D104" s="14">
        <f t="shared" si="2"/>
        <v>0.44699999999999995</v>
      </c>
      <c r="E104" s="14">
        <v>0.55300000000000005</v>
      </c>
      <c r="F104" s="14"/>
      <c r="G104" s="14"/>
    </row>
    <row r="105" spans="2:7" x14ac:dyDescent="0.25">
      <c r="B105" s="13">
        <v>111.46</v>
      </c>
      <c r="C105" s="10">
        <v>0.74</v>
      </c>
      <c r="D105" s="14">
        <f t="shared" si="2"/>
        <v>1</v>
      </c>
      <c r="E105" s="14">
        <v>0</v>
      </c>
      <c r="F105" s="14">
        <f t="shared" si="3"/>
        <v>1</v>
      </c>
      <c r="G105" s="14">
        <v>0</v>
      </c>
    </row>
    <row r="106" spans="2:7" x14ac:dyDescent="0.25">
      <c r="B106" s="13">
        <v>111.46</v>
      </c>
      <c r="C106" s="10">
        <v>1.72</v>
      </c>
      <c r="D106" s="14">
        <f t="shared" si="2"/>
        <v>0.98429999999999995</v>
      </c>
      <c r="E106" s="14">
        <v>1.5699999999999999E-2</v>
      </c>
      <c r="F106" s="14">
        <f t="shared" si="3"/>
        <v>0.9456</v>
      </c>
      <c r="G106" s="14">
        <v>5.4399999999999997E-2</v>
      </c>
    </row>
    <row r="107" spans="2:7" x14ac:dyDescent="0.25">
      <c r="B107" s="13">
        <v>111.46</v>
      </c>
      <c r="C107" s="10">
        <v>2.83</v>
      </c>
      <c r="D107" s="14">
        <f t="shared" si="2"/>
        <v>0.96889999999999998</v>
      </c>
      <c r="E107" s="14">
        <v>3.1099999999999999E-2</v>
      </c>
      <c r="F107" s="14">
        <f t="shared" si="3"/>
        <v>0.33520000000000005</v>
      </c>
      <c r="G107" s="14">
        <v>0.66479999999999995</v>
      </c>
    </row>
    <row r="108" spans="2:7" x14ac:dyDescent="0.25">
      <c r="B108" s="13">
        <v>111.46</v>
      </c>
      <c r="C108" s="10">
        <v>4.41</v>
      </c>
      <c r="D108" s="14">
        <f t="shared" si="2"/>
        <v>0.94350000000000001</v>
      </c>
      <c r="E108" s="14">
        <v>5.6500000000000002E-2</v>
      </c>
      <c r="F108" s="14">
        <f t="shared" si="3"/>
        <v>0.251</v>
      </c>
      <c r="G108" s="14">
        <v>0.749</v>
      </c>
    </row>
    <row r="109" spans="2:7" x14ac:dyDescent="0.25">
      <c r="B109" s="13">
        <v>111.46</v>
      </c>
      <c r="C109" s="10">
        <v>6.41</v>
      </c>
      <c r="D109" s="14">
        <f t="shared" si="2"/>
        <v>0.91159999999999997</v>
      </c>
      <c r="E109" s="14">
        <v>8.8400000000000006E-2</v>
      </c>
      <c r="F109" s="14">
        <f t="shared" si="3"/>
        <v>0.21299999999999997</v>
      </c>
      <c r="G109" s="14">
        <v>0.78700000000000003</v>
      </c>
    </row>
    <row r="110" spans="2:7" x14ac:dyDescent="0.25">
      <c r="B110" s="13">
        <v>111.46</v>
      </c>
      <c r="C110" s="10">
        <v>9.0299999999999994</v>
      </c>
      <c r="D110" s="14">
        <f t="shared" si="2"/>
        <v>0.86480000000000001</v>
      </c>
      <c r="E110" s="14">
        <v>0.13519999999999999</v>
      </c>
      <c r="F110" s="14">
        <f t="shared" si="3"/>
        <v>0.20099999999999996</v>
      </c>
      <c r="G110" s="14">
        <v>0.79900000000000004</v>
      </c>
    </row>
    <row r="111" spans="2:7" x14ac:dyDescent="0.25">
      <c r="B111" s="13">
        <v>111.46</v>
      </c>
      <c r="C111" s="10">
        <v>11.03</v>
      </c>
      <c r="D111" s="14">
        <f t="shared" si="2"/>
        <v>0.8256</v>
      </c>
      <c r="E111" s="14">
        <v>0.1744</v>
      </c>
      <c r="F111" s="14">
        <f t="shared" si="3"/>
        <v>0.21099999999999997</v>
      </c>
      <c r="G111" s="14">
        <v>0.78900000000000003</v>
      </c>
    </row>
    <row r="112" spans="2:7" x14ac:dyDescent="0.25">
      <c r="B112" s="13">
        <v>111.46</v>
      </c>
      <c r="C112" s="10">
        <v>14.13</v>
      </c>
      <c r="D112" s="14">
        <f t="shared" si="2"/>
        <v>0.75600000000000001</v>
      </c>
      <c r="E112" s="14">
        <v>0.24399999999999999</v>
      </c>
      <c r="F112" s="14">
        <f t="shared" si="3"/>
        <v>0.24670000000000003</v>
      </c>
      <c r="G112" s="14">
        <v>0.75329999999999997</v>
      </c>
    </row>
    <row r="113" spans="2:7" x14ac:dyDescent="0.25">
      <c r="B113" s="13">
        <v>111.46</v>
      </c>
      <c r="C113" s="10">
        <v>16.059999999999999</v>
      </c>
      <c r="D113" s="14">
        <f t="shared" si="2"/>
        <v>0.69290000000000007</v>
      </c>
      <c r="E113" s="14">
        <v>0.30709999999999998</v>
      </c>
      <c r="F113" s="14">
        <f t="shared" si="3"/>
        <v>0.28620000000000001</v>
      </c>
      <c r="G113" s="14">
        <v>0.71379999999999999</v>
      </c>
    </row>
    <row r="114" spans="2:7" x14ac:dyDescent="0.25">
      <c r="B114" s="13">
        <v>111.46</v>
      </c>
      <c r="C114" s="10">
        <v>17.579999999999998</v>
      </c>
      <c r="D114" s="14">
        <f t="shared" si="2"/>
        <v>0.63359999999999994</v>
      </c>
      <c r="E114" s="14">
        <v>0.3664</v>
      </c>
      <c r="F114" s="14">
        <f t="shared" si="3"/>
        <v>0.32379999999999998</v>
      </c>
      <c r="G114" s="14">
        <v>0.67620000000000002</v>
      </c>
    </row>
    <row r="115" spans="2:7" x14ac:dyDescent="0.25">
      <c r="B115" s="13">
        <v>111.46</v>
      </c>
      <c r="C115" s="10">
        <v>18.75</v>
      </c>
      <c r="D115" s="14">
        <f t="shared" si="2"/>
        <v>0.55730000000000002</v>
      </c>
      <c r="E115" s="14">
        <v>0.44269999999999998</v>
      </c>
      <c r="F115" s="14">
        <f t="shared" si="3"/>
        <v>0.39800000000000002</v>
      </c>
      <c r="G115" s="14">
        <v>0.60199999999999998</v>
      </c>
    </row>
    <row r="116" spans="2:7" x14ac:dyDescent="0.25">
      <c r="B116" s="13">
        <v>111.46</v>
      </c>
      <c r="C116" s="10">
        <v>19.5</v>
      </c>
      <c r="D116" s="14">
        <f t="shared" si="2"/>
        <v>0.47399999999999998</v>
      </c>
      <c r="E116" s="14">
        <v>0.52600000000000002</v>
      </c>
      <c r="F116" s="14"/>
      <c r="G116" s="14"/>
    </row>
    <row r="117" spans="2:7" x14ac:dyDescent="0.25">
      <c r="B117" s="13">
        <v>122.73</v>
      </c>
      <c r="C117" s="10">
        <v>1.41</v>
      </c>
      <c r="D117" s="14">
        <f t="shared" si="2"/>
        <v>1</v>
      </c>
      <c r="E117" s="14">
        <v>0</v>
      </c>
      <c r="F117" s="14">
        <f t="shared" si="3"/>
        <v>1</v>
      </c>
      <c r="G117" s="14">
        <v>0</v>
      </c>
    </row>
    <row r="118" spans="2:7" x14ac:dyDescent="0.25">
      <c r="B118" s="13">
        <v>122.73</v>
      </c>
      <c r="C118" s="10">
        <v>3.45</v>
      </c>
      <c r="D118" s="14">
        <f t="shared" si="2"/>
        <v>0.96250000000000002</v>
      </c>
      <c r="E118" s="14">
        <v>3.7499999999999999E-2</v>
      </c>
      <c r="F118" s="14">
        <f t="shared" si="3"/>
        <v>0.55940000000000001</v>
      </c>
      <c r="G118" s="14">
        <v>0.44059999999999999</v>
      </c>
    </row>
    <row r="119" spans="2:7" x14ac:dyDescent="0.25">
      <c r="B119" s="13">
        <v>122.73</v>
      </c>
      <c r="C119" s="10">
        <v>4.2</v>
      </c>
      <c r="D119" s="14">
        <f t="shared" si="2"/>
        <v>0.95199999999999996</v>
      </c>
      <c r="E119" s="14">
        <v>4.8000000000000001E-2</v>
      </c>
      <c r="F119" s="14">
        <f t="shared" si="3"/>
        <v>0.50140000000000007</v>
      </c>
      <c r="G119" s="14">
        <v>0.49859999999999999</v>
      </c>
    </row>
    <row r="120" spans="2:7" x14ac:dyDescent="0.25">
      <c r="B120" s="13">
        <v>122.73</v>
      </c>
      <c r="C120" s="10">
        <v>5.93</v>
      </c>
      <c r="D120" s="14">
        <f t="shared" si="2"/>
        <v>0.91979999999999995</v>
      </c>
      <c r="E120" s="14">
        <v>8.0199999999999994E-2</v>
      </c>
      <c r="F120" s="14">
        <f t="shared" si="3"/>
        <v>0.42320000000000002</v>
      </c>
      <c r="G120" s="14">
        <v>0.57679999999999998</v>
      </c>
    </row>
    <row r="121" spans="2:7" x14ac:dyDescent="0.25">
      <c r="B121" s="13">
        <v>122.73</v>
      </c>
      <c r="C121" s="10">
        <v>6.45</v>
      </c>
      <c r="D121" s="14">
        <f t="shared" si="2"/>
        <v>0.90670000000000006</v>
      </c>
      <c r="E121" s="14">
        <v>9.3299999999999994E-2</v>
      </c>
      <c r="F121" s="14">
        <f t="shared" si="3"/>
        <v>0.41249999999999998</v>
      </c>
      <c r="G121" s="14">
        <v>0.58750000000000002</v>
      </c>
    </row>
    <row r="122" spans="2:7" x14ac:dyDescent="0.25">
      <c r="B122" s="13">
        <v>122.73</v>
      </c>
      <c r="C122" s="10">
        <v>7.72</v>
      </c>
      <c r="D122" s="14">
        <f t="shared" si="2"/>
        <v>0.87650000000000006</v>
      </c>
      <c r="E122" s="14">
        <v>0.1235</v>
      </c>
      <c r="F122" s="14">
        <f t="shared" si="3"/>
        <v>0.3911</v>
      </c>
      <c r="G122" s="14">
        <v>0.6089</v>
      </c>
    </row>
    <row r="123" spans="2:7" x14ac:dyDescent="0.25">
      <c r="B123" s="13">
        <v>122.73</v>
      </c>
      <c r="C123" s="10">
        <v>8.93</v>
      </c>
      <c r="D123" s="14">
        <f t="shared" si="2"/>
        <v>0.84989999999999999</v>
      </c>
      <c r="E123" s="14">
        <v>0.15010000000000001</v>
      </c>
      <c r="F123" s="14">
        <f t="shared" si="3"/>
        <v>0.38819999999999999</v>
      </c>
      <c r="G123" s="14">
        <v>0.61180000000000001</v>
      </c>
    </row>
    <row r="124" spans="2:7" x14ac:dyDescent="0.25">
      <c r="B124" s="13">
        <v>122.73</v>
      </c>
      <c r="C124" s="10">
        <v>10.34</v>
      </c>
      <c r="D124" s="14">
        <f t="shared" si="2"/>
        <v>0.81089999999999995</v>
      </c>
      <c r="E124" s="14">
        <v>0.18909999999999999</v>
      </c>
      <c r="F124" s="14">
        <f t="shared" si="3"/>
        <v>0.39500000000000002</v>
      </c>
      <c r="G124" s="14">
        <v>0.60499999999999998</v>
      </c>
    </row>
    <row r="125" spans="2:7" x14ac:dyDescent="0.25">
      <c r="B125" s="13">
        <v>122.73</v>
      </c>
      <c r="C125" s="10">
        <v>11.03</v>
      </c>
      <c r="D125" s="14">
        <f t="shared" si="2"/>
        <v>0.78420000000000001</v>
      </c>
      <c r="E125" s="14">
        <v>0.21579999999999999</v>
      </c>
      <c r="F125" s="14">
        <f t="shared" si="3"/>
        <v>0.41000000000000003</v>
      </c>
      <c r="G125" s="14">
        <v>0.59</v>
      </c>
    </row>
    <row r="126" spans="2:7" x14ac:dyDescent="0.25">
      <c r="B126" s="13">
        <v>122.73</v>
      </c>
      <c r="C126" s="10">
        <v>12.06</v>
      </c>
      <c r="D126" s="14">
        <f t="shared" si="2"/>
        <v>0.75509999999999999</v>
      </c>
      <c r="E126" s="14">
        <v>0.24490000000000001</v>
      </c>
      <c r="F126" s="14">
        <f t="shared" si="3"/>
        <v>0.41890000000000005</v>
      </c>
      <c r="G126" s="14">
        <v>0.58109999999999995</v>
      </c>
    </row>
    <row r="127" spans="2:7" x14ac:dyDescent="0.25">
      <c r="B127" s="13">
        <v>122.73</v>
      </c>
      <c r="C127" s="10">
        <v>12.55</v>
      </c>
      <c r="D127" s="14">
        <f t="shared" si="2"/>
        <v>0.73449999999999993</v>
      </c>
      <c r="E127" s="14">
        <v>0.26550000000000001</v>
      </c>
      <c r="F127" s="14">
        <f t="shared" si="3"/>
        <v>0.43459999999999999</v>
      </c>
      <c r="G127" s="14">
        <v>0.56540000000000001</v>
      </c>
    </row>
    <row r="128" spans="2:7" x14ac:dyDescent="0.25">
      <c r="B128" s="13">
        <v>122.73</v>
      </c>
      <c r="C128" s="10">
        <v>13.41</v>
      </c>
      <c r="D128" s="14">
        <f t="shared" si="2"/>
        <v>0.71460000000000001</v>
      </c>
      <c r="E128" s="14">
        <v>0.28539999999999999</v>
      </c>
      <c r="F128" s="14">
        <f t="shared" si="3"/>
        <v>0.4617</v>
      </c>
      <c r="G128" s="14">
        <v>0.5383</v>
      </c>
    </row>
    <row r="129" spans="2:7" x14ac:dyDescent="0.25">
      <c r="B129" s="13">
        <v>122.73</v>
      </c>
      <c r="C129" s="10">
        <v>14.4</v>
      </c>
      <c r="D129" s="14">
        <f t="shared" si="2"/>
        <v>0.56000000000000005</v>
      </c>
      <c r="E129" s="14">
        <v>0.44</v>
      </c>
      <c r="F129" s="14"/>
      <c r="G129" s="14"/>
    </row>
    <row r="130" spans="2:7" x14ac:dyDescent="0.25">
      <c r="B130" s="13">
        <v>134.91</v>
      </c>
      <c r="C130" s="10">
        <v>2.54</v>
      </c>
      <c r="D130" s="14">
        <f t="shared" si="2"/>
        <v>1</v>
      </c>
      <c r="E130" s="14">
        <v>0</v>
      </c>
      <c r="F130" s="14">
        <f t="shared" si="3"/>
        <v>1</v>
      </c>
      <c r="G130" s="14">
        <v>0</v>
      </c>
    </row>
    <row r="131" spans="2:7" x14ac:dyDescent="0.25">
      <c r="B131" s="13">
        <v>134.91</v>
      </c>
      <c r="C131" s="10">
        <v>4.83</v>
      </c>
      <c r="D131" s="14">
        <f t="shared" ref="D131:D194" si="4">1-E131</f>
        <v>0.94799999999999995</v>
      </c>
      <c r="E131" s="14">
        <v>5.1999999999999998E-2</v>
      </c>
      <c r="F131" s="14">
        <f t="shared" ref="F131:F151" si="5">1-G131</f>
        <v>0.68900000000000006</v>
      </c>
      <c r="G131" s="14">
        <v>0.311</v>
      </c>
    </row>
    <row r="132" spans="2:7" x14ac:dyDescent="0.25">
      <c r="B132" s="13">
        <v>134.91</v>
      </c>
      <c r="C132" s="10">
        <v>5.27</v>
      </c>
      <c r="D132" s="14">
        <f t="shared" si="4"/>
        <v>0.93179999999999996</v>
      </c>
      <c r="E132" s="14">
        <v>6.8199999999999997E-2</v>
      </c>
      <c r="F132" s="14">
        <f t="shared" si="5"/>
        <v>0.66910000000000003</v>
      </c>
      <c r="G132" s="14">
        <v>0.33090000000000003</v>
      </c>
    </row>
    <row r="133" spans="2:7" x14ac:dyDescent="0.25">
      <c r="B133" s="13">
        <v>134.91</v>
      </c>
      <c r="C133" s="10">
        <v>5.65</v>
      </c>
      <c r="D133" s="14">
        <f t="shared" si="4"/>
        <v>0.92559999999999998</v>
      </c>
      <c r="E133" s="14">
        <v>7.4399999999999994E-2</v>
      </c>
      <c r="F133" s="14">
        <f t="shared" si="5"/>
        <v>0.65749999999999997</v>
      </c>
      <c r="G133" s="14">
        <v>0.34250000000000003</v>
      </c>
    </row>
    <row r="134" spans="2:7" x14ac:dyDescent="0.25">
      <c r="B134" s="13">
        <v>134.91</v>
      </c>
      <c r="C134" s="10">
        <v>6.27</v>
      </c>
      <c r="D134" s="14">
        <f t="shared" si="4"/>
        <v>0.91959999999999997</v>
      </c>
      <c r="E134" s="14">
        <v>8.0399999999999999E-2</v>
      </c>
      <c r="F134" s="14">
        <f t="shared" si="5"/>
        <v>0.6421</v>
      </c>
      <c r="G134" s="14">
        <v>0.3579</v>
      </c>
    </row>
    <row r="135" spans="2:7" x14ac:dyDescent="0.25">
      <c r="B135" s="13">
        <v>134.91</v>
      </c>
      <c r="C135" s="10">
        <v>6.55</v>
      </c>
      <c r="D135" s="14">
        <f t="shared" si="4"/>
        <v>0.90700000000000003</v>
      </c>
      <c r="E135" s="14">
        <v>9.2999999999999999E-2</v>
      </c>
      <c r="F135" s="14">
        <f t="shared" si="5"/>
        <v>0.62490000000000001</v>
      </c>
      <c r="G135" s="14">
        <v>0.37509999999999999</v>
      </c>
    </row>
    <row r="136" spans="2:7" x14ac:dyDescent="0.25">
      <c r="B136" s="13">
        <v>134.91</v>
      </c>
      <c r="C136" s="10">
        <v>6.89</v>
      </c>
      <c r="D136" s="14">
        <f t="shared" si="4"/>
        <v>0.8901</v>
      </c>
      <c r="E136" s="14">
        <v>0.1099</v>
      </c>
      <c r="F136" s="14">
        <f t="shared" si="5"/>
        <v>0.62319999999999998</v>
      </c>
      <c r="G136" s="14">
        <v>0.37680000000000002</v>
      </c>
    </row>
    <row r="137" spans="2:7" x14ac:dyDescent="0.25">
      <c r="B137" s="13">
        <v>134.91</v>
      </c>
      <c r="C137" s="10">
        <v>7.31</v>
      </c>
      <c r="D137" s="14">
        <f t="shared" si="4"/>
        <v>0.88529999999999998</v>
      </c>
      <c r="E137" s="14">
        <v>0.1147</v>
      </c>
      <c r="F137" s="14">
        <f t="shared" si="5"/>
        <v>0.61109999999999998</v>
      </c>
      <c r="G137" s="14">
        <v>0.38890000000000002</v>
      </c>
    </row>
    <row r="138" spans="2:7" x14ac:dyDescent="0.25">
      <c r="B138" s="13">
        <v>134.91</v>
      </c>
      <c r="C138" s="10">
        <v>7.86</v>
      </c>
      <c r="D138" s="14">
        <f t="shared" si="4"/>
        <v>0.86680000000000001</v>
      </c>
      <c r="E138" s="14">
        <v>0.13320000000000001</v>
      </c>
      <c r="F138" s="14">
        <f t="shared" si="5"/>
        <v>0.60370000000000001</v>
      </c>
      <c r="G138" s="14">
        <v>0.39629999999999999</v>
      </c>
    </row>
    <row r="139" spans="2:7" x14ac:dyDescent="0.25">
      <c r="B139" s="13">
        <v>134.91</v>
      </c>
      <c r="C139" s="10">
        <v>8.34</v>
      </c>
      <c r="D139" s="14">
        <f t="shared" si="4"/>
        <v>0.84899999999999998</v>
      </c>
      <c r="E139" s="14">
        <v>0.151</v>
      </c>
      <c r="F139" s="14">
        <f t="shared" si="5"/>
        <v>0.60389999999999999</v>
      </c>
      <c r="G139" s="14">
        <v>0.39610000000000001</v>
      </c>
    </row>
    <row r="140" spans="2:7" x14ac:dyDescent="0.25">
      <c r="B140" s="13">
        <v>134.91</v>
      </c>
      <c r="C140" s="10">
        <v>8.93</v>
      </c>
      <c r="D140" s="14">
        <f t="shared" si="4"/>
        <v>0.83079999999999998</v>
      </c>
      <c r="E140" s="14">
        <v>0.16919999999999999</v>
      </c>
      <c r="F140" s="14">
        <f t="shared" si="5"/>
        <v>0.60529999999999995</v>
      </c>
      <c r="G140" s="14">
        <v>0.3947</v>
      </c>
    </row>
    <row r="141" spans="2:7" x14ac:dyDescent="0.25">
      <c r="B141" s="13">
        <v>134.91</v>
      </c>
      <c r="C141" s="10">
        <v>9.24</v>
      </c>
      <c r="D141" s="14">
        <f t="shared" si="4"/>
        <v>0.80710000000000004</v>
      </c>
      <c r="E141" s="14">
        <v>0.19289999999999999</v>
      </c>
      <c r="F141" s="14">
        <f t="shared" si="5"/>
        <v>0.61050000000000004</v>
      </c>
      <c r="G141" s="14">
        <v>0.38950000000000001</v>
      </c>
    </row>
    <row r="142" spans="2:7" x14ac:dyDescent="0.25">
      <c r="B142" s="13">
        <v>134.91</v>
      </c>
      <c r="C142" s="10">
        <v>9.65</v>
      </c>
      <c r="D142" s="14">
        <f t="shared" si="4"/>
        <v>0.7823</v>
      </c>
      <c r="E142" s="14">
        <v>0.2177</v>
      </c>
      <c r="F142" s="14">
        <f t="shared" si="5"/>
        <v>0.63329999999999997</v>
      </c>
      <c r="G142" s="14">
        <v>0.36670000000000003</v>
      </c>
    </row>
    <row r="143" spans="2:7" x14ac:dyDescent="0.25">
      <c r="B143" s="13">
        <v>134.91</v>
      </c>
      <c r="C143" s="10">
        <v>10.14</v>
      </c>
      <c r="D143" s="14">
        <f t="shared" si="4"/>
        <v>0.74229999999999996</v>
      </c>
      <c r="E143" s="14">
        <v>0.25769999999999998</v>
      </c>
      <c r="F143" s="14">
        <f t="shared" si="5"/>
        <v>0.73940000000000006</v>
      </c>
      <c r="G143" s="14">
        <v>0.2606</v>
      </c>
    </row>
    <row r="144" spans="2:7" x14ac:dyDescent="0.25">
      <c r="B144" s="13">
        <v>134.91</v>
      </c>
      <c r="C144" s="10">
        <v>10.199999999999999</v>
      </c>
      <c r="D144" s="14">
        <f t="shared" si="4"/>
        <v>0.67999999999999994</v>
      </c>
      <c r="E144" s="14">
        <v>0.32</v>
      </c>
      <c r="F144" s="14"/>
      <c r="G144" s="14"/>
    </row>
    <row r="145" spans="1:7" x14ac:dyDescent="0.25">
      <c r="B145" s="13">
        <v>141.41999999999999</v>
      </c>
      <c r="C145" s="10">
        <v>3.37</v>
      </c>
      <c r="D145" s="14">
        <f t="shared" si="4"/>
        <v>1</v>
      </c>
      <c r="E145" s="14">
        <v>0</v>
      </c>
      <c r="F145" s="14">
        <f t="shared" si="5"/>
        <v>1</v>
      </c>
      <c r="G145" s="14">
        <v>0</v>
      </c>
    </row>
    <row r="146" spans="1:7" x14ac:dyDescent="0.25">
      <c r="B146" s="13">
        <v>141.41999999999999</v>
      </c>
      <c r="C146" s="10">
        <v>5.0999999999999996</v>
      </c>
      <c r="D146" s="14">
        <f t="shared" si="4"/>
        <v>0.95579999999999998</v>
      </c>
      <c r="E146" s="14">
        <v>4.4200000000000003E-2</v>
      </c>
      <c r="F146" s="14">
        <f t="shared" si="5"/>
        <v>0.82309999999999994</v>
      </c>
      <c r="G146" s="14">
        <v>0.1769</v>
      </c>
    </row>
    <row r="147" spans="1:7" x14ac:dyDescent="0.25">
      <c r="B147" s="13">
        <v>141.41999999999999</v>
      </c>
      <c r="C147" s="10">
        <v>5.51</v>
      </c>
      <c r="D147" s="14">
        <f t="shared" si="4"/>
        <v>0.94679999999999997</v>
      </c>
      <c r="E147" s="14">
        <v>5.3199999999999997E-2</v>
      </c>
      <c r="F147" s="14">
        <f t="shared" si="5"/>
        <v>0.79969999999999997</v>
      </c>
      <c r="G147" s="14">
        <v>0.20030000000000001</v>
      </c>
    </row>
    <row r="148" spans="1:7" x14ac:dyDescent="0.25">
      <c r="B148" s="13">
        <v>141.41999999999999</v>
      </c>
      <c r="C148" s="10">
        <v>6.03</v>
      </c>
      <c r="D148" s="14">
        <f t="shared" si="4"/>
        <v>0.93199999999999994</v>
      </c>
      <c r="E148" s="14">
        <v>6.8000000000000005E-2</v>
      </c>
      <c r="F148" s="14">
        <f t="shared" si="5"/>
        <v>0.77980000000000005</v>
      </c>
      <c r="G148" s="14">
        <v>0.22020000000000001</v>
      </c>
    </row>
    <row r="149" spans="1:7" x14ac:dyDescent="0.25">
      <c r="B149" s="13">
        <v>141.41999999999999</v>
      </c>
      <c r="C149" s="10">
        <v>6.48</v>
      </c>
      <c r="D149" s="14">
        <f t="shared" si="4"/>
        <v>0.91620000000000001</v>
      </c>
      <c r="E149" s="14">
        <v>8.3799999999999999E-2</v>
      </c>
      <c r="F149" s="14">
        <f t="shared" si="5"/>
        <v>0.76429999999999998</v>
      </c>
      <c r="G149" s="14">
        <v>0.23569999999999999</v>
      </c>
    </row>
    <row r="150" spans="1:7" x14ac:dyDescent="0.25">
      <c r="B150" s="13">
        <v>141.41999999999999</v>
      </c>
      <c r="C150" s="10">
        <v>7.03</v>
      </c>
      <c r="D150" s="14">
        <f t="shared" si="4"/>
        <v>0.8871</v>
      </c>
      <c r="E150" s="14">
        <v>0.1129</v>
      </c>
      <c r="F150" s="14">
        <f t="shared" si="5"/>
        <v>0.75590000000000002</v>
      </c>
      <c r="G150" s="14">
        <v>0.24410000000000001</v>
      </c>
    </row>
    <row r="151" spans="1:7" x14ac:dyDescent="0.25">
      <c r="B151" s="13">
        <v>141.41999999999999</v>
      </c>
      <c r="C151" s="10">
        <v>7.41</v>
      </c>
      <c r="D151" s="14">
        <f t="shared" si="4"/>
        <v>0.87529999999999997</v>
      </c>
      <c r="E151" s="14">
        <v>0.12470000000000001</v>
      </c>
      <c r="F151" s="14">
        <f t="shared" si="5"/>
        <v>0.75190000000000001</v>
      </c>
      <c r="G151" s="14">
        <v>0.24809999999999999</v>
      </c>
    </row>
    <row r="152" spans="1:7" ht="15.75" thickBot="1" x14ac:dyDescent="0.3">
      <c r="A152" s="9"/>
      <c r="B152" s="17">
        <v>141.41999999999999</v>
      </c>
      <c r="C152" s="11">
        <v>8.1999999999999993</v>
      </c>
      <c r="D152" s="16">
        <f t="shared" si="4"/>
        <v>0.78500000000000003</v>
      </c>
      <c r="E152" s="16">
        <v>0.215</v>
      </c>
      <c r="F152" s="16"/>
      <c r="G152" s="16"/>
    </row>
    <row r="153" spans="1:7" x14ac:dyDescent="0.25">
      <c r="A153" s="18" t="s">
        <v>83</v>
      </c>
      <c r="B153" s="13">
        <v>87</v>
      </c>
      <c r="C153" s="10">
        <v>2.4540914999999996</v>
      </c>
      <c r="D153" s="14">
        <f t="shared" si="4"/>
        <v>0.97470000000000001</v>
      </c>
      <c r="E153" s="8">
        <v>2.53E-2</v>
      </c>
    </row>
    <row r="154" spans="1:7" x14ac:dyDescent="0.25">
      <c r="B154" s="13">
        <v>87</v>
      </c>
      <c r="C154" s="10">
        <v>2.6962582500000001</v>
      </c>
      <c r="D154" s="14">
        <f t="shared" si="4"/>
        <v>0.97219999999999995</v>
      </c>
      <c r="E154" s="8">
        <v>2.7799999999999998E-2</v>
      </c>
    </row>
    <row r="155" spans="1:7" x14ac:dyDescent="0.25">
      <c r="B155" s="13">
        <v>87</v>
      </c>
      <c r="C155" s="10">
        <v>3.0235379999999998</v>
      </c>
      <c r="D155" s="14">
        <f t="shared" si="4"/>
        <v>0.96919999999999995</v>
      </c>
      <c r="E155" s="8">
        <v>3.0800000000000001E-2</v>
      </c>
    </row>
    <row r="156" spans="1:7" x14ac:dyDescent="0.25">
      <c r="B156" s="13">
        <v>87</v>
      </c>
      <c r="C156" s="10">
        <v>3.44403675</v>
      </c>
      <c r="D156" s="14">
        <f t="shared" si="4"/>
        <v>0.96509999999999996</v>
      </c>
      <c r="E156" s="8">
        <v>3.49E-2</v>
      </c>
    </row>
    <row r="157" spans="1:7" x14ac:dyDescent="0.25">
      <c r="B157" s="13">
        <v>87</v>
      </c>
      <c r="C157" s="10">
        <v>4.0226025000000005</v>
      </c>
      <c r="D157" s="14">
        <f t="shared" si="4"/>
        <v>0.95979999999999999</v>
      </c>
      <c r="E157" s="8">
        <v>4.02E-2</v>
      </c>
    </row>
    <row r="158" spans="1:7" x14ac:dyDescent="0.25">
      <c r="B158" s="13">
        <v>87</v>
      </c>
      <c r="C158" s="10">
        <v>4.0580662499999995</v>
      </c>
      <c r="D158" s="14">
        <f t="shared" si="4"/>
        <v>0.95920000000000005</v>
      </c>
      <c r="E158" s="8">
        <v>4.0800000000000003E-2</v>
      </c>
    </row>
    <row r="159" spans="1:7" x14ac:dyDescent="0.25">
      <c r="B159" s="13">
        <v>87</v>
      </c>
      <c r="C159" s="10">
        <v>4.50186975</v>
      </c>
      <c r="D159" s="14">
        <f t="shared" si="4"/>
        <v>0.95489999999999997</v>
      </c>
      <c r="E159" s="8">
        <v>4.5100000000000001E-2</v>
      </c>
    </row>
    <row r="160" spans="1:7" x14ac:dyDescent="0.25">
      <c r="B160" s="13">
        <v>87</v>
      </c>
      <c r="C160" s="10">
        <v>4.8605602499999998</v>
      </c>
      <c r="D160" s="14">
        <f t="shared" si="4"/>
        <v>0.95189999999999997</v>
      </c>
      <c r="E160" s="8">
        <v>4.8099999999999997E-2</v>
      </c>
    </row>
    <row r="161" spans="2:5" x14ac:dyDescent="0.25">
      <c r="B161" s="13">
        <v>87</v>
      </c>
      <c r="C161" s="10">
        <v>5.0692897500000003</v>
      </c>
      <c r="D161" s="14">
        <f t="shared" si="4"/>
        <v>0.95009999999999994</v>
      </c>
      <c r="E161" s="8">
        <v>4.99E-2</v>
      </c>
    </row>
    <row r="162" spans="2:5" x14ac:dyDescent="0.25">
      <c r="B162" s="13">
        <v>87</v>
      </c>
      <c r="C162" s="10">
        <v>5.8221344999999998</v>
      </c>
      <c r="D162" s="14">
        <f t="shared" si="4"/>
        <v>0.94350000000000001</v>
      </c>
      <c r="E162" s="8">
        <v>5.6500000000000002E-2</v>
      </c>
    </row>
    <row r="163" spans="2:5" x14ac:dyDescent="0.25">
      <c r="B163" s="13">
        <v>87</v>
      </c>
      <c r="C163" s="10">
        <v>6.2193285000000005</v>
      </c>
      <c r="D163" s="14">
        <f t="shared" si="4"/>
        <v>0.9405</v>
      </c>
      <c r="E163" s="8">
        <v>5.9499999999999997E-2</v>
      </c>
    </row>
    <row r="164" spans="2:5" x14ac:dyDescent="0.25">
      <c r="B164" s="13">
        <v>87</v>
      </c>
      <c r="C164" s="10">
        <v>6.9012457500000002</v>
      </c>
      <c r="D164" s="14">
        <f t="shared" si="4"/>
        <v>0.93479999999999996</v>
      </c>
      <c r="E164" s="8">
        <v>6.5199999999999994E-2</v>
      </c>
    </row>
    <row r="165" spans="2:5" x14ac:dyDescent="0.25">
      <c r="B165" s="13">
        <v>87</v>
      </c>
      <c r="C165" s="10">
        <v>7.1484787499999998</v>
      </c>
      <c r="D165" s="14">
        <f t="shared" si="4"/>
        <v>0.93289999999999995</v>
      </c>
      <c r="E165" s="8">
        <v>6.7100000000000007E-2</v>
      </c>
    </row>
    <row r="166" spans="2:5" x14ac:dyDescent="0.25">
      <c r="B166" s="13">
        <v>87</v>
      </c>
      <c r="C166" s="10">
        <v>7.3977382500000006</v>
      </c>
      <c r="D166" s="14">
        <f t="shared" si="4"/>
        <v>0.93090000000000006</v>
      </c>
      <c r="E166" s="8">
        <v>6.9099999999999995E-2</v>
      </c>
    </row>
    <row r="167" spans="2:5" x14ac:dyDescent="0.25">
      <c r="B167" s="13">
        <v>87</v>
      </c>
      <c r="C167" s="10">
        <v>7.6672627499999999</v>
      </c>
      <c r="D167" s="14">
        <f t="shared" si="4"/>
        <v>0.92879999999999996</v>
      </c>
      <c r="E167" s="8">
        <v>7.1199999999999999E-2</v>
      </c>
    </row>
    <row r="168" spans="2:5" x14ac:dyDescent="0.25">
      <c r="B168" s="13">
        <v>87</v>
      </c>
      <c r="C168" s="10">
        <v>7.9631317500000005</v>
      </c>
      <c r="D168" s="14">
        <f t="shared" si="4"/>
        <v>0.92669999999999997</v>
      </c>
      <c r="E168" s="8">
        <v>7.3300000000000004E-2</v>
      </c>
    </row>
    <row r="169" spans="2:5" x14ac:dyDescent="0.25">
      <c r="B169" s="13">
        <v>87</v>
      </c>
      <c r="C169" s="10">
        <v>8.270146500000001</v>
      </c>
      <c r="D169" s="14">
        <f t="shared" si="4"/>
        <v>0.92420000000000002</v>
      </c>
      <c r="E169" s="8">
        <v>7.5800000000000006E-2</v>
      </c>
    </row>
    <row r="170" spans="2:5" x14ac:dyDescent="0.25">
      <c r="B170" s="13">
        <v>87</v>
      </c>
      <c r="C170" s="10">
        <v>8.6085719999999988</v>
      </c>
      <c r="D170" s="14">
        <f t="shared" si="4"/>
        <v>0.92200000000000004</v>
      </c>
      <c r="E170" s="8">
        <v>7.8E-2</v>
      </c>
    </row>
    <row r="171" spans="2:5" x14ac:dyDescent="0.25">
      <c r="B171" s="13">
        <v>87</v>
      </c>
      <c r="C171" s="10">
        <v>8.9743552499999986</v>
      </c>
      <c r="D171" s="14">
        <f t="shared" si="4"/>
        <v>0.91959999999999997</v>
      </c>
      <c r="E171" s="8">
        <v>8.0399999999999999E-2</v>
      </c>
    </row>
    <row r="172" spans="2:5" x14ac:dyDescent="0.25">
      <c r="B172" s="13">
        <v>87</v>
      </c>
      <c r="C172" s="10">
        <v>9.3492577499999996</v>
      </c>
      <c r="D172" s="14">
        <f t="shared" si="4"/>
        <v>0.91710000000000003</v>
      </c>
      <c r="E172" s="8">
        <v>8.2900000000000001E-2</v>
      </c>
    </row>
    <row r="173" spans="2:5" x14ac:dyDescent="0.25">
      <c r="B173" s="13">
        <v>87</v>
      </c>
      <c r="C173" s="10">
        <v>9.7738094999999987</v>
      </c>
      <c r="D173" s="14">
        <f t="shared" si="4"/>
        <v>0.91400000000000003</v>
      </c>
      <c r="E173" s="14">
        <v>8.5999999999999993E-2</v>
      </c>
    </row>
    <row r="174" spans="2:5" x14ac:dyDescent="0.25">
      <c r="B174" s="13">
        <v>94.2</v>
      </c>
      <c r="C174" s="10">
        <v>1.6961804999999999</v>
      </c>
      <c r="D174" s="14">
        <f t="shared" si="4"/>
        <v>0.98109999999999997</v>
      </c>
      <c r="E174" s="8">
        <v>1.89E-2</v>
      </c>
    </row>
    <row r="175" spans="2:5" x14ac:dyDescent="0.25">
      <c r="B175" s="13">
        <v>94.2</v>
      </c>
      <c r="C175" s="10">
        <v>1.86741975</v>
      </c>
      <c r="D175" s="14">
        <f t="shared" si="4"/>
        <v>0.97899999999999998</v>
      </c>
      <c r="E175" s="8">
        <v>2.1000000000000001E-2</v>
      </c>
    </row>
    <row r="176" spans="2:5" x14ac:dyDescent="0.25">
      <c r="B176" s="13">
        <v>94.2</v>
      </c>
      <c r="C176" s="10">
        <v>2.09641425</v>
      </c>
      <c r="D176" s="14">
        <f t="shared" si="4"/>
        <v>0.97670000000000001</v>
      </c>
      <c r="E176" s="8">
        <v>2.3300000000000001E-2</v>
      </c>
    </row>
    <row r="177" spans="2:5" x14ac:dyDescent="0.25">
      <c r="B177" s="13">
        <v>94.2</v>
      </c>
      <c r="C177" s="10">
        <v>2.3872169999999997</v>
      </c>
      <c r="D177" s="14">
        <f t="shared" si="4"/>
        <v>0.97319999999999995</v>
      </c>
      <c r="E177" s="8">
        <v>2.6800000000000001E-2</v>
      </c>
    </row>
    <row r="178" spans="2:5" x14ac:dyDescent="0.25">
      <c r="B178" s="13">
        <v>94.2</v>
      </c>
      <c r="C178" s="10">
        <v>2.7925169999999997</v>
      </c>
      <c r="D178" s="14">
        <f t="shared" si="4"/>
        <v>0.96860000000000002</v>
      </c>
      <c r="E178" s="8">
        <v>3.1399999999999997E-2</v>
      </c>
    </row>
    <row r="179" spans="2:5" x14ac:dyDescent="0.25">
      <c r="B179" s="13">
        <v>94.2</v>
      </c>
      <c r="C179" s="10">
        <v>3.2201085000000003</v>
      </c>
      <c r="D179" s="14">
        <f t="shared" si="4"/>
        <v>0.96350000000000002</v>
      </c>
      <c r="E179" s="8">
        <v>3.6499999999999998E-2</v>
      </c>
    </row>
    <row r="180" spans="2:5" x14ac:dyDescent="0.25">
      <c r="B180" s="13">
        <v>94.2</v>
      </c>
      <c r="C180" s="10">
        <v>3.3893212500000001</v>
      </c>
      <c r="D180" s="14">
        <f t="shared" si="4"/>
        <v>0.96160000000000001</v>
      </c>
      <c r="E180" s="8">
        <v>3.8399999999999997E-2</v>
      </c>
    </row>
    <row r="181" spans="2:5" x14ac:dyDescent="0.25">
      <c r="B181" s="13">
        <v>94.2</v>
      </c>
      <c r="C181" s="10">
        <v>3.542322</v>
      </c>
      <c r="D181" s="14">
        <f t="shared" si="4"/>
        <v>0.95950000000000002</v>
      </c>
      <c r="E181" s="8">
        <v>4.0500000000000001E-2</v>
      </c>
    </row>
    <row r="182" spans="2:5" x14ac:dyDescent="0.25">
      <c r="B182" s="13">
        <v>94.2</v>
      </c>
      <c r="C182" s="10">
        <v>3.9577545000000001</v>
      </c>
      <c r="D182" s="14">
        <f t="shared" si="4"/>
        <v>0.95499999999999996</v>
      </c>
      <c r="E182" s="8">
        <v>4.4999999999999998E-2</v>
      </c>
    </row>
    <row r="183" spans="2:5" x14ac:dyDescent="0.25">
      <c r="B183" s="13">
        <v>94.2</v>
      </c>
      <c r="C183" s="10">
        <v>4.4937637500000003</v>
      </c>
      <c r="D183" s="14">
        <f t="shared" si="4"/>
        <v>0.9496</v>
      </c>
      <c r="E183" s="8">
        <v>5.04E-2</v>
      </c>
    </row>
    <row r="184" spans="2:5" x14ac:dyDescent="0.25">
      <c r="B184" s="13">
        <v>94.2</v>
      </c>
      <c r="C184" s="10">
        <v>4.64575125</v>
      </c>
      <c r="D184" s="14">
        <f t="shared" si="4"/>
        <v>0.94750000000000001</v>
      </c>
      <c r="E184" s="8">
        <v>5.2499999999999998E-2</v>
      </c>
    </row>
    <row r="185" spans="2:5" x14ac:dyDescent="0.25">
      <c r="B185" s="13">
        <v>94.2</v>
      </c>
      <c r="C185" s="10">
        <v>5.0996872499999997</v>
      </c>
      <c r="D185" s="14">
        <f t="shared" si="4"/>
        <v>0.94220000000000004</v>
      </c>
      <c r="E185" s="8">
        <v>5.7799999999999997E-2</v>
      </c>
    </row>
    <row r="186" spans="2:5" x14ac:dyDescent="0.25">
      <c r="B186" s="13">
        <v>94.2</v>
      </c>
      <c r="C186" s="10">
        <v>5.6995312499999997</v>
      </c>
      <c r="D186" s="14">
        <f t="shared" si="4"/>
        <v>0.93579999999999997</v>
      </c>
      <c r="E186" s="8">
        <v>6.4199999999999993E-2</v>
      </c>
    </row>
    <row r="187" spans="2:5" x14ac:dyDescent="0.25">
      <c r="B187" s="13">
        <v>94.2</v>
      </c>
      <c r="C187" s="10">
        <v>5.9984400000000004</v>
      </c>
      <c r="D187" s="14">
        <f t="shared" si="4"/>
        <v>0.93279999999999996</v>
      </c>
      <c r="E187" s="8">
        <v>6.7199999999999996E-2</v>
      </c>
    </row>
    <row r="188" spans="2:5" x14ac:dyDescent="0.25">
      <c r="B188" s="13">
        <v>94.2</v>
      </c>
      <c r="C188" s="10">
        <v>6.4462964999999999</v>
      </c>
      <c r="D188" s="14">
        <f t="shared" si="4"/>
        <v>0.92890000000000006</v>
      </c>
      <c r="E188" s="8">
        <v>7.1099999999999997E-2</v>
      </c>
    </row>
    <row r="189" spans="2:5" x14ac:dyDescent="0.25">
      <c r="B189" s="13">
        <v>94.2</v>
      </c>
      <c r="C189" s="10">
        <v>6.6398272499999997</v>
      </c>
      <c r="D189" s="14">
        <f t="shared" si="4"/>
        <v>0.92649999999999999</v>
      </c>
      <c r="E189" s="8">
        <v>7.3499999999999996E-2</v>
      </c>
    </row>
    <row r="190" spans="2:5" x14ac:dyDescent="0.25">
      <c r="B190" s="13">
        <v>94.2</v>
      </c>
      <c r="C190" s="10">
        <v>7.4879175000000009</v>
      </c>
      <c r="D190" s="14">
        <f t="shared" si="4"/>
        <v>0.91900000000000004</v>
      </c>
      <c r="E190" s="8">
        <v>8.1000000000000003E-2</v>
      </c>
    </row>
    <row r="191" spans="2:5" x14ac:dyDescent="0.25">
      <c r="B191" s="13">
        <v>94.2</v>
      </c>
      <c r="C191" s="10">
        <v>7.5051427499999992</v>
      </c>
      <c r="D191" s="14">
        <f t="shared" si="4"/>
        <v>0.91800000000000004</v>
      </c>
      <c r="E191" s="8">
        <v>8.2000000000000003E-2</v>
      </c>
    </row>
    <row r="192" spans="2:5" x14ac:dyDescent="0.25">
      <c r="B192" s="13">
        <v>94.2</v>
      </c>
      <c r="C192" s="10">
        <v>8.63187675</v>
      </c>
      <c r="D192" s="14">
        <f t="shared" si="4"/>
        <v>0.90849999999999997</v>
      </c>
      <c r="E192" s="8">
        <v>9.1499999999999998E-2</v>
      </c>
    </row>
    <row r="193" spans="2:5" x14ac:dyDescent="0.25">
      <c r="B193" s="13">
        <v>94.2</v>
      </c>
      <c r="C193" s="10">
        <v>8.9358517499999994</v>
      </c>
      <c r="D193" s="14">
        <f t="shared" si="4"/>
        <v>0.90549999999999997</v>
      </c>
      <c r="E193" s="8">
        <v>9.4500000000000001E-2</v>
      </c>
    </row>
    <row r="194" spans="2:5" x14ac:dyDescent="0.25">
      <c r="B194" s="13">
        <v>94.2</v>
      </c>
      <c r="C194" s="10">
        <v>10.23889125</v>
      </c>
      <c r="D194" s="14">
        <f t="shared" si="4"/>
        <v>0.89439999999999997</v>
      </c>
      <c r="E194" s="8">
        <v>0.1056</v>
      </c>
    </row>
    <row r="195" spans="2:5" x14ac:dyDescent="0.25">
      <c r="B195" s="13">
        <v>100</v>
      </c>
      <c r="C195" s="10">
        <v>1.7691345000000001</v>
      </c>
      <c r="D195" s="14">
        <f t="shared" ref="D195:D258" si="6">1-E195</f>
        <v>0.98029999999999995</v>
      </c>
      <c r="E195" s="8">
        <v>1.9699999999999999E-2</v>
      </c>
    </row>
    <row r="196" spans="2:5" x14ac:dyDescent="0.25">
      <c r="B196" s="13">
        <v>100</v>
      </c>
      <c r="C196" s="10">
        <v>1.9160557499999999</v>
      </c>
      <c r="D196" s="14">
        <f t="shared" si="6"/>
        <v>0.97860000000000003</v>
      </c>
      <c r="E196" s="8">
        <v>2.1399999999999999E-2</v>
      </c>
    </row>
    <row r="197" spans="2:5" x14ac:dyDescent="0.25">
      <c r="B197" s="13">
        <v>100</v>
      </c>
      <c r="C197" s="10">
        <v>2.0923612499999997</v>
      </c>
      <c r="D197" s="14">
        <f t="shared" si="6"/>
        <v>0.97640000000000005</v>
      </c>
      <c r="E197" s="8">
        <v>2.3599999999999999E-2</v>
      </c>
    </row>
    <row r="198" spans="2:5" x14ac:dyDescent="0.25">
      <c r="B198" s="13">
        <v>100</v>
      </c>
      <c r="C198" s="10">
        <v>2.3152762500000001</v>
      </c>
      <c r="D198" s="14">
        <f t="shared" si="6"/>
        <v>0.97360000000000002</v>
      </c>
      <c r="E198" s="8">
        <v>2.64E-2</v>
      </c>
    </row>
    <row r="199" spans="2:5" x14ac:dyDescent="0.25">
      <c r="B199" s="13">
        <v>100</v>
      </c>
      <c r="C199" s="10">
        <v>2.6111452499999999</v>
      </c>
      <c r="D199" s="14">
        <f t="shared" si="6"/>
        <v>0.96940000000000004</v>
      </c>
      <c r="E199" s="8">
        <v>3.0599999999999999E-2</v>
      </c>
    </row>
    <row r="200" spans="2:5" x14ac:dyDescent="0.25">
      <c r="B200" s="13">
        <v>100</v>
      </c>
      <c r="C200" s="10">
        <v>3.0103657500000001</v>
      </c>
      <c r="D200" s="14">
        <f t="shared" si="6"/>
        <v>0.96399999999999997</v>
      </c>
      <c r="E200" s="8">
        <v>3.5999999999999997E-2</v>
      </c>
    </row>
    <row r="201" spans="2:5" x14ac:dyDescent="0.25">
      <c r="B201" s="13">
        <v>100</v>
      </c>
      <c r="C201" s="10">
        <v>3.542322</v>
      </c>
      <c r="D201" s="14">
        <f t="shared" si="6"/>
        <v>0.95720000000000005</v>
      </c>
      <c r="E201" s="8">
        <v>4.2799999999999998E-2</v>
      </c>
    </row>
    <row r="202" spans="2:5" x14ac:dyDescent="0.25">
      <c r="B202" s="13">
        <v>100</v>
      </c>
      <c r="C202" s="10">
        <v>3.5767724999999997</v>
      </c>
      <c r="D202" s="14">
        <f t="shared" si="6"/>
        <v>0.95650000000000002</v>
      </c>
      <c r="E202" s="8">
        <v>4.3499999999999997E-2</v>
      </c>
    </row>
    <row r="203" spans="2:5" x14ac:dyDescent="0.25">
      <c r="B203" s="13">
        <v>100</v>
      </c>
      <c r="C203" s="10">
        <v>3.8817607500000002</v>
      </c>
      <c r="D203" s="14">
        <f t="shared" si="6"/>
        <v>0.95250000000000001</v>
      </c>
      <c r="E203" s="8">
        <v>4.7500000000000001E-2</v>
      </c>
    </row>
    <row r="204" spans="2:5" x14ac:dyDescent="0.25">
      <c r="B204" s="13">
        <v>100</v>
      </c>
      <c r="C204" s="10">
        <v>4.2880739999999999</v>
      </c>
      <c r="D204" s="14">
        <f t="shared" si="6"/>
        <v>0.94699999999999995</v>
      </c>
      <c r="E204" s="8">
        <v>5.2999999999999999E-2</v>
      </c>
    </row>
    <row r="205" spans="2:5" x14ac:dyDescent="0.25">
      <c r="B205" s="13">
        <v>100</v>
      </c>
      <c r="C205" s="10">
        <v>4.8473880000000005</v>
      </c>
      <c r="D205" s="14">
        <f t="shared" si="6"/>
        <v>0.94</v>
      </c>
      <c r="E205" s="8">
        <v>0.06</v>
      </c>
    </row>
    <row r="206" spans="2:5" x14ac:dyDescent="0.25">
      <c r="B206" s="13">
        <v>100</v>
      </c>
      <c r="C206" s="10">
        <v>5.0652367500000004</v>
      </c>
      <c r="D206" s="14">
        <f t="shared" si="6"/>
        <v>0.93679999999999997</v>
      </c>
      <c r="E206" s="8">
        <v>6.3200000000000006E-2</v>
      </c>
    </row>
    <row r="207" spans="2:5" x14ac:dyDescent="0.25">
      <c r="B207" s="13">
        <v>100</v>
      </c>
      <c r="C207" s="10">
        <v>5.53335825</v>
      </c>
      <c r="D207" s="14">
        <f t="shared" si="6"/>
        <v>0.93240000000000001</v>
      </c>
      <c r="E207" s="8">
        <v>6.7599999999999993E-2</v>
      </c>
    </row>
    <row r="208" spans="2:5" x14ac:dyDescent="0.25">
      <c r="B208" s="13">
        <v>100</v>
      </c>
      <c r="C208" s="10">
        <v>5.5434907500000001</v>
      </c>
      <c r="D208" s="14">
        <f t="shared" si="6"/>
        <v>0.93159999999999998</v>
      </c>
      <c r="E208" s="8">
        <v>6.8400000000000002E-2</v>
      </c>
    </row>
    <row r="209" spans="2:5" x14ac:dyDescent="0.25">
      <c r="B209" s="13">
        <v>100</v>
      </c>
      <c r="C209" s="10">
        <v>6.1565069999999995</v>
      </c>
      <c r="D209" s="14">
        <f t="shared" si="6"/>
        <v>0.92400000000000004</v>
      </c>
      <c r="E209" s="8">
        <v>7.5999999999999998E-2</v>
      </c>
    </row>
    <row r="210" spans="2:5" x14ac:dyDescent="0.25">
      <c r="B210" s="13">
        <v>100</v>
      </c>
      <c r="C210" s="10">
        <v>6.5091179999999991</v>
      </c>
      <c r="D210" s="14">
        <f t="shared" si="6"/>
        <v>0.91989999999999994</v>
      </c>
      <c r="E210" s="8">
        <v>8.0100000000000005E-2</v>
      </c>
    </row>
    <row r="211" spans="2:5" x14ac:dyDescent="0.25">
      <c r="B211" s="13">
        <v>100</v>
      </c>
      <c r="C211" s="10">
        <v>6.9255637499999994</v>
      </c>
      <c r="D211" s="14">
        <f t="shared" si="6"/>
        <v>0.91520000000000001</v>
      </c>
      <c r="E211" s="8">
        <v>8.48E-2</v>
      </c>
    </row>
    <row r="212" spans="2:5" x14ac:dyDescent="0.25">
      <c r="B212" s="13">
        <v>100</v>
      </c>
      <c r="C212" s="10">
        <v>7.1981280000000005</v>
      </c>
      <c r="D212" s="14">
        <f t="shared" si="6"/>
        <v>0.91220000000000001</v>
      </c>
      <c r="E212" s="8">
        <v>8.7800000000000003E-2</v>
      </c>
    </row>
    <row r="213" spans="2:5" x14ac:dyDescent="0.25">
      <c r="B213" s="13">
        <v>100</v>
      </c>
      <c r="C213" s="10">
        <v>7.9773172500000005</v>
      </c>
      <c r="D213" s="14">
        <f t="shared" si="6"/>
        <v>0.90249999999999997</v>
      </c>
      <c r="E213" s="8">
        <v>9.7500000000000003E-2</v>
      </c>
    </row>
    <row r="214" spans="2:5" x14ac:dyDescent="0.25">
      <c r="B214" s="13">
        <v>100</v>
      </c>
      <c r="C214" s="10">
        <v>8.0533110000000008</v>
      </c>
      <c r="D214" s="14">
        <f t="shared" si="6"/>
        <v>0.9022</v>
      </c>
      <c r="E214" s="8">
        <v>9.7799999999999998E-2</v>
      </c>
    </row>
    <row r="215" spans="2:5" x14ac:dyDescent="0.25">
      <c r="B215" s="13">
        <v>100</v>
      </c>
      <c r="C215" s="10">
        <v>9.197270249999999</v>
      </c>
      <c r="D215" s="14">
        <f t="shared" si="6"/>
        <v>0.89049999999999996</v>
      </c>
      <c r="E215" s="8">
        <v>0.1095</v>
      </c>
    </row>
    <row r="216" spans="2:5" x14ac:dyDescent="0.25">
      <c r="B216" s="13">
        <v>100</v>
      </c>
      <c r="C216" s="10">
        <v>9.3634432499999996</v>
      </c>
      <c r="D216" s="14">
        <f t="shared" si="6"/>
        <v>0.88849999999999996</v>
      </c>
      <c r="E216" s="8">
        <v>0.1115</v>
      </c>
    </row>
    <row r="217" spans="2:5" x14ac:dyDescent="0.25">
      <c r="B217" s="13">
        <v>110</v>
      </c>
      <c r="C217" s="10">
        <v>3.1755255</v>
      </c>
      <c r="D217" s="14">
        <f t="shared" si="6"/>
        <v>0.96279999999999999</v>
      </c>
      <c r="E217" s="8">
        <v>3.7199999999999997E-2</v>
      </c>
    </row>
    <row r="218" spans="2:5" x14ac:dyDescent="0.25">
      <c r="B218" s="13">
        <v>110</v>
      </c>
      <c r="C218" s="10">
        <v>3.4339042499999999</v>
      </c>
      <c r="D218" s="14">
        <f t="shared" si="6"/>
        <v>0.95899999999999996</v>
      </c>
      <c r="E218" s="8">
        <v>4.1000000000000002E-2</v>
      </c>
    </row>
    <row r="219" spans="2:5" x14ac:dyDescent="0.25">
      <c r="B219" s="13">
        <v>110</v>
      </c>
      <c r="C219" s="10">
        <v>3.7520647500000002</v>
      </c>
      <c r="D219" s="14">
        <f t="shared" si="6"/>
        <v>0.95420000000000005</v>
      </c>
      <c r="E219" s="8">
        <v>4.58E-2</v>
      </c>
    </row>
    <row r="220" spans="2:5" x14ac:dyDescent="0.25">
      <c r="B220" s="13">
        <v>110</v>
      </c>
      <c r="C220" s="10">
        <v>4.1644575000000001</v>
      </c>
      <c r="D220" s="14">
        <f t="shared" si="6"/>
        <v>0.94850000000000001</v>
      </c>
      <c r="E220" s="8">
        <v>5.1499999999999997E-2</v>
      </c>
    </row>
    <row r="221" spans="2:5" x14ac:dyDescent="0.25">
      <c r="B221" s="13">
        <v>110</v>
      </c>
      <c r="C221" s="10">
        <v>4.7217450000000003</v>
      </c>
      <c r="D221" s="14">
        <f t="shared" si="6"/>
        <v>0.94040000000000001</v>
      </c>
      <c r="E221" s="8">
        <v>5.96E-2</v>
      </c>
    </row>
    <row r="222" spans="2:5" x14ac:dyDescent="0.25">
      <c r="B222" s="13">
        <v>110</v>
      </c>
      <c r="C222" s="10">
        <v>4.7399835000000001</v>
      </c>
      <c r="D222" s="14">
        <f t="shared" si="6"/>
        <v>0.93979999999999997</v>
      </c>
      <c r="E222" s="8">
        <v>6.0199999999999997E-2</v>
      </c>
    </row>
    <row r="223" spans="2:5" x14ac:dyDescent="0.25">
      <c r="B223" s="13">
        <v>110</v>
      </c>
      <c r="C223" s="10">
        <v>5.1969592499999999</v>
      </c>
      <c r="D223" s="14">
        <f t="shared" si="6"/>
        <v>0.93379999999999996</v>
      </c>
      <c r="E223" s="8">
        <v>6.6199999999999995E-2</v>
      </c>
    </row>
    <row r="224" spans="2:5" x14ac:dyDescent="0.25">
      <c r="B224" s="13">
        <v>110</v>
      </c>
      <c r="C224" s="10">
        <v>5.7522202500000006</v>
      </c>
      <c r="D224" s="14">
        <f t="shared" si="6"/>
        <v>0.92579999999999996</v>
      </c>
      <c r="E224" s="8">
        <v>7.4200000000000002E-2</v>
      </c>
    </row>
    <row r="225" spans="2:5" x14ac:dyDescent="0.25">
      <c r="B225" s="13">
        <v>110</v>
      </c>
      <c r="C225" s="10">
        <v>6.480747</v>
      </c>
      <c r="D225" s="14">
        <f t="shared" si="6"/>
        <v>0.91659999999999997</v>
      </c>
      <c r="E225" s="8">
        <v>8.3400000000000002E-2</v>
      </c>
    </row>
    <row r="226" spans="2:5" x14ac:dyDescent="0.25">
      <c r="B226" s="13">
        <v>110</v>
      </c>
      <c r="C226" s="10">
        <v>7.4605597499999998</v>
      </c>
      <c r="D226" s="14">
        <f t="shared" si="6"/>
        <v>0.90390000000000004</v>
      </c>
      <c r="E226" s="8">
        <v>9.6100000000000005E-2</v>
      </c>
    </row>
    <row r="227" spans="2:5" x14ac:dyDescent="0.25">
      <c r="B227" s="13">
        <v>110</v>
      </c>
      <c r="C227" s="10">
        <v>7.4676524999999998</v>
      </c>
      <c r="D227" s="14">
        <f t="shared" si="6"/>
        <v>0.90400000000000003</v>
      </c>
      <c r="E227" s="8">
        <v>9.6000000000000002E-2</v>
      </c>
    </row>
    <row r="228" spans="2:5" x14ac:dyDescent="0.25">
      <c r="B228" s="13">
        <v>110</v>
      </c>
      <c r="C228" s="10">
        <v>7.674355499999999</v>
      </c>
      <c r="D228" s="14">
        <f t="shared" si="6"/>
        <v>0.90139999999999998</v>
      </c>
      <c r="E228" s="8">
        <v>9.8599999999999993E-2</v>
      </c>
    </row>
    <row r="229" spans="2:5" x14ac:dyDescent="0.25">
      <c r="B229" s="13">
        <v>110</v>
      </c>
      <c r="C229" s="10">
        <v>7.8911909999999992</v>
      </c>
      <c r="D229" s="14">
        <f t="shared" si="6"/>
        <v>0.89900000000000002</v>
      </c>
      <c r="E229" s="8">
        <v>0.10100000000000001</v>
      </c>
    </row>
    <row r="230" spans="2:5" x14ac:dyDescent="0.25">
      <c r="B230" s="13">
        <v>110</v>
      </c>
      <c r="C230" s="10">
        <v>8.1465300000000003</v>
      </c>
      <c r="D230" s="14">
        <f t="shared" si="6"/>
        <v>0.89580000000000004</v>
      </c>
      <c r="E230" s="8">
        <v>0.1042</v>
      </c>
    </row>
    <row r="231" spans="2:5" x14ac:dyDescent="0.25">
      <c r="B231" s="13">
        <v>110</v>
      </c>
      <c r="C231" s="10">
        <v>9.3218999999999994</v>
      </c>
      <c r="D231" s="14">
        <f t="shared" si="6"/>
        <v>0.88219999999999998</v>
      </c>
      <c r="E231" s="8">
        <v>0.1178</v>
      </c>
    </row>
    <row r="232" spans="2:5" x14ac:dyDescent="0.25">
      <c r="B232" s="13">
        <v>110</v>
      </c>
      <c r="C232" s="10">
        <v>9.7575974999999993</v>
      </c>
      <c r="D232" s="14">
        <f t="shared" si="6"/>
        <v>0.87709999999999999</v>
      </c>
      <c r="E232" s="8">
        <v>0.1229</v>
      </c>
    </row>
    <row r="233" spans="2:5" x14ac:dyDescent="0.25">
      <c r="B233" s="13">
        <v>120</v>
      </c>
      <c r="C233" s="10">
        <v>2.24232225</v>
      </c>
      <c r="D233" s="14">
        <f t="shared" si="6"/>
        <v>0.95820000000000005</v>
      </c>
      <c r="E233" s="8">
        <v>4.1799999999999997E-2</v>
      </c>
    </row>
    <row r="234" spans="2:5" x14ac:dyDescent="0.25">
      <c r="B234" s="13">
        <v>120</v>
      </c>
      <c r="C234" s="10">
        <v>2.4601709999999999</v>
      </c>
      <c r="D234" s="14">
        <f t="shared" si="6"/>
        <v>0.95450000000000002</v>
      </c>
      <c r="E234" s="8">
        <v>4.5499999999999999E-2</v>
      </c>
    </row>
    <row r="235" spans="2:5" x14ac:dyDescent="0.25">
      <c r="B235" s="13">
        <v>120</v>
      </c>
      <c r="C235" s="10">
        <v>2.7337484999999999</v>
      </c>
      <c r="D235" s="14">
        <f t="shared" si="6"/>
        <v>0.95009999999999994</v>
      </c>
      <c r="E235" s="8">
        <v>4.99E-2</v>
      </c>
    </row>
    <row r="236" spans="2:5" x14ac:dyDescent="0.25">
      <c r="B236" s="13">
        <v>120</v>
      </c>
      <c r="C236" s="10">
        <v>3.06508125</v>
      </c>
      <c r="D236" s="14">
        <f t="shared" si="6"/>
        <v>0.94479999999999997</v>
      </c>
      <c r="E236" s="8">
        <v>5.5199999999999999E-2</v>
      </c>
    </row>
    <row r="237" spans="2:5" x14ac:dyDescent="0.25">
      <c r="B237" s="13">
        <v>120</v>
      </c>
      <c r="C237" s="10">
        <v>3.4876065000000001</v>
      </c>
      <c r="D237" s="14">
        <f t="shared" si="6"/>
        <v>0.93610000000000004</v>
      </c>
      <c r="E237" s="8">
        <v>6.3899999999999998E-2</v>
      </c>
    </row>
    <row r="238" spans="2:5" x14ac:dyDescent="0.25">
      <c r="B238" s="13">
        <v>120</v>
      </c>
      <c r="C238" s="10">
        <v>3.60717</v>
      </c>
      <c r="D238" s="14">
        <f t="shared" si="6"/>
        <v>0.93399999999999994</v>
      </c>
      <c r="E238" s="8">
        <v>6.6000000000000003E-2</v>
      </c>
    </row>
    <row r="239" spans="2:5" x14ac:dyDescent="0.25">
      <c r="B239" s="13">
        <v>120</v>
      </c>
      <c r="C239" s="10">
        <v>3.7328130000000002</v>
      </c>
      <c r="D239" s="14">
        <f t="shared" si="6"/>
        <v>0.93199999999999994</v>
      </c>
      <c r="E239" s="8">
        <v>6.8000000000000005E-2</v>
      </c>
    </row>
    <row r="240" spans="2:5" x14ac:dyDescent="0.25">
      <c r="B240" s="13">
        <v>120</v>
      </c>
      <c r="C240" s="10">
        <v>4.0823842499999996</v>
      </c>
      <c r="D240" s="14">
        <f t="shared" si="6"/>
        <v>0.92600000000000005</v>
      </c>
      <c r="E240" s="8">
        <v>7.3999999999999996E-2</v>
      </c>
    </row>
    <row r="241" spans="2:5" x14ac:dyDescent="0.25">
      <c r="B241" s="13">
        <v>120</v>
      </c>
      <c r="C241" s="10">
        <v>4.4907240000000002</v>
      </c>
      <c r="D241" s="14">
        <f t="shared" si="6"/>
        <v>0.91859999999999997</v>
      </c>
      <c r="E241" s="8">
        <v>8.14E-2</v>
      </c>
    </row>
    <row r="242" spans="2:5" x14ac:dyDescent="0.25">
      <c r="B242" s="13">
        <v>120</v>
      </c>
      <c r="C242" s="10">
        <v>4.9983622499999996</v>
      </c>
      <c r="D242" s="14">
        <f t="shared" si="6"/>
        <v>0.90979999999999994</v>
      </c>
      <c r="E242" s="8">
        <v>9.0200000000000002E-2</v>
      </c>
    </row>
    <row r="243" spans="2:5" x14ac:dyDescent="0.25">
      <c r="B243" s="13">
        <v>120</v>
      </c>
      <c r="C243" s="10">
        <v>5.6194845000000004</v>
      </c>
      <c r="D243" s="14">
        <f t="shared" si="6"/>
        <v>0.9</v>
      </c>
      <c r="E243" s="8">
        <v>0.1</v>
      </c>
    </row>
    <row r="244" spans="2:5" x14ac:dyDescent="0.25">
      <c r="B244" s="13">
        <v>120</v>
      </c>
      <c r="C244" s="10">
        <v>6.4118459999999997</v>
      </c>
      <c r="D244" s="14">
        <f t="shared" si="6"/>
        <v>0.8871</v>
      </c>
      <c r="E244" s="8">
        <v>0.1129</v>
      </c>
    </row>
    <row r="245" spans="2:5" x14ac:dyDescent="0.25">
      <c r="B245" s="13">
        <v>120</v>
      </c>
      <c r="C245" s="10">
        <v>7.6409182499999995</v>
      </c>
      <c r="D245" s="14">
        <f t="shared" si="6"/>
        <v>0.87009999999999998</v>
      </c>
      <c r="E245" s="8">
        <v>0.12989999999999999</v>
      </c>
    </row>
    <row r="246" spans="2:5" x14ac:dyDescent="0.25">
      <c r="B246" s="13">
        <v>130</v>
      </c>
      <c r="C246" s="10">
        <v>5.0196404999999995</v>
      </c>
      <c r="D246" s="14">
        <f t="shared" si="6"/>
        <v>0.94420000000000004</v>
      </c>
      <c r="E246" s="8">
        <v>5.5800000000000002E-2</v>
      </c>
    </row>
    <row r="247" spans="2:5" x14ac:dyDescent="0.25">
      <c r="B247" s="13">
        <v>130</v>
      </c>
      <c r="C247" s="10">
        <v>5.3155095000000001</v>
      </c>
      <c r="D247" s="14">
        <f t="shared" si="6"/>
        <v>0.93869999999999998</v>
      </c>
      <c r="E247" s="8">
        <v>6.13E-2</v>
      </c>
    </row>
    <row r="248" spans="2:5" x14ac:dyDescent="0.25">
      <c r="B248" s="13">
        <v>130</v>
      </c>
      <c r="C248" s="10">
        <v>5.6671072499999999</v>
      </c>
      <c r="D248" s="14">
        <f t="shared" si="6"/>
        <v>0.93300000000000005</v>
      </c>
      <c r="E248" s="8">
        <v>6.7000000000000004E-2</v>
      </c>
    </row>
    <row r="249" spans="2:5" x14ac:dyDescent="0.25">
      <c r="B249" s="13">
        <v>130</v>
      </c>
      <c r="C249" s="10">
        <v>6.2243947500000001</v>
      </c>
      <c r="D249" s="14">
        <f t="shared" si="6"/>
        <v>0.92290000000000005</v>
      </c>
      <c r="E249" s="8">
        <v>7.7100000000000002E-2</v>
      </c>
    </row>
    <row r="250" spans="2:5" x14ac:dyDescent="0.25">
      <c r="B250" s="13">
        <v>130</v>
      </c>
      <c r="C250" s="10">
        <v>6.635774249999999</v>
      </c>
      <c r="D250" s="14">
        <f t="shared" si="6"/>
        <v>0.91549999999999998</v>
      </c>
      <c r="E250" s="8">
        <v>8.4500000000000006E-2</v>
      </c>
    </row>
    <row r="251" spans="2:5" x14ac:dyDescent="0.25">
      <c r="B251" s="13">
        <v>130</v>
      </c>
      <c r="C251" s="10">
        <v>7.1434125000000002</v>
      </c>
      <c r="D251" s="14">
        <f t="shared" si="6"/>
        <v>0.90680000000000005</v>
      </c>
      <c r="E251" s="8">
        <v>9.3200000000000005E-2</v>
      </c>
    </row>
    <row r="252" spans="2:5" x14ac:dyDescent="0.25">
      <c r="B252" s="13">
        <v>130</v>
      </c>
      <c r="C252" s="10">
        <v>7.2325784999999998</v>
      </c>
      <c r="D252" s="14">
        <f t="shared" si="6"/>
        <v>0.90480000000000005</v>
      </c>
      <c r="E252" s="8">
        <v>9.5200000000000007E-2</v>
      </c>
    </row>
    <row r="253" spans="2:5" x14ac:dyDescent="0.25">
      <c r="B253" s="13">
        <v>130</v>
      </c>
      <c r="C253" s="10">
        <v>7.2396712499999998</v>
      </c>
      <c r="D253" s="14">
        <f t="shared" si="6"/>
        <v>0.90480000000000005</v>
      </c>
      <c r="E253" s="8">
        <v>9.5200000000000007E-2</v>
      </c>
    </row>
    <row r="254" spans="2:5" x14ac:dyDescent="0.25">
      <c r="B254" s="13">
        <v>130</v>
      </c>
      <c r="C254" s="10">
        <v>7.3632877500000005</v>
      </c>
      <c r="D254" s="14">
        <f t="shared" si="6"/>
        <v>0.90249999999999997</v>
      </c>
      <c r="E254" s="8">
        <v>9.7500000000000003E-2</v>
      </c>
    </row>
    <row r="255" spans="2:5" x14ac:dyDescent="0.25">
      <c r="B255" s="13">
        <v>130</v>
      </c>
      <c r="C255" s="10">
        <v>7.9084162499999993</v>
      </c>
      <c r="D255" s="14">
        <f t="shared" si="6"/>
        <v>0.89219999999999999</v>
      </c>
      <c r="E255" s="8">
        <v>0.10780000000000001</v>
      </c>
    </row>
    <row r="256" spans="2:5" x14ac:dyDescent="0.25">
      <c r="B256" s="13">
        <v>130</v>
      </c>
      <c r="C256" s="10">
        <v>7.9438800000000001</v>
      </c>
      <c r="D256" s="14">
        <f t="shared" si="6"/>
        <v>0.89200000000000002</v>
      </c>
      <c r="E256" s="8">
        <v>0.108</v>
      </c>
    </row>
    <row r="257" spans="2:5" x14ac:dyDescent="0.25">
      <c r="B257" s="13">
        <v>130</v>
      </c>
      <c r="C257" s="10">
        <v>8.5011675000000011</v>
      </c>
      <c r="D257" s="14">
        <f t="shared" si="6"/>
        <v>0.8831</v>
      </c>
      <c r="E257" s="8">
        <v>0.1169</v>
      </c>
    </row>
    <row r="258" spans="2:5" x14ac:dyDescent="0.25">
      <c r="B258" s="13">
        <v>130</v>
      </c>
      <c r="C258" s="10">
        <v>9.1354619999999986</v>
      </c>
      <c r="D258" s="14">
        <f t="shared" si="6"/>
        <v>0.87250000000000005</v>
      </c>
      <c r="E258" s="8">
        <v>0.1275</v>
      </c>
    </row>
    <row r="259" spans="2:5" x14ac:dyDescent="0.25">
      <c r="B259" s="13">
        <v>140</v>
      </c>
      <c r="C259" s="10">
        <v>2.4956347499999998</v>
      </c>
      <c r="D259" s="14">
        <f t="shared" ref="D259:D260" si="7">1-E259</f>
        <v>0.9385</v>
      </c>
      <c r="E259" s="8">
        <v>6.1499999999999999E-2</v>
      </c>
    </row>
    <row r="260" spans="2:5" x14ac:dyDescent="0.25">
      <c r="B260" s="13">
        <v>140</v>
      </c>
      <c r="C260" s="10">
        <v>2.7540135000000001</v>
      </c>
      <c r="D260" s="14">
        <f t="shared" si="7"/>
        <v>0.93300000000000005</v>
      </c>
      <c r="E260" s="8">
        <v>6.7000000000000004E-2</v>
      </c>
    </row>
    <row r="261" spans="2:5" x14ac:dyDescent="0.25">
      <c r="B261" s="13">
        <v>140</v>
      </c>
      <c r="C261" s="10">
        <v>2.9303190000000003</v>
      </c>
      <c r="D261" s="14">
        <f t="shared" ref="D261:D274" si="8">1-E261</f>
        <v>0.92769999999999997</v>
      </c>
      <c r="E261" s="8">
        <v>7.2300000000000003E-2</v>
      </c>
    </row>
    <row r="262" spans="2:5" x14ac:dyDescent="0.25">
      <c r="B262" s="13">
        <v>140</v>
      </c>
      <c r="C262" s="10">
        <v>3.22112175</v>
      </c>
      <c r="D262" s="14">
        <f t="shared" si="8"/>
        <v>0.92210000000000003</v>
      </c>
      <c r="E262" s="8">
        <v>7.7899999999999997E-2</v>
      </c>
    </row>
    <row r="263" spans="2:5" x14ac:dyDescent="0.25">
      <c r="B263" s="13">
        <v>140</v>
      </c>
      <c r="C263" s="10">
        <v>3.2768505000000001</v>
      </c>
      <c r="D263" s="14">
        <f t="shared" si="8"/>
        <v>0.9204</v>
      </c>
      <c r="E263" s="8">
        <v>7.9600000000000004E-2</v>
      </c>
    </row>
    <row r="264" spans="2:5" x14ac:dyDescent="0.25">
      <c r="B264" s="13">
        <v>140</v>
      </c>
      <c r="C264" s="10">
        <v>3.4197187499999999</v>
      </c>
      <c r="D264" s="14">
        <f t="shared" si="8"/>
        <v>0.91759999999999997</v>
      </c>
      <c r="E264" s="8">
        <v>8.2400000000000001E-2</v>
      </c>
    </row>
    <row r="265" spans="2:5" x14ac:dyDescent="0.25">
      <c r="B265" s="13">
        <v>140</v>
      </c>
      <c r="C265" s="10">
        <v>3.4572089999999998</v>
      </c>
      <c r="D265" s="14">
        <f t="shared" si="8"/>
        <v>0.91669999999999996</v>
      </c>
      <c r="E265" s="8">
        <v>8.3299999999999999E-2</v>
      </c>
    </row>
    <row r="266" spans="2:5" x14ac:dyDescent="0.25">
      <c r="B266" s="13">
        <v>140</v>
      </c>
      <c r="C266" s="10">
        <v>3.5899447499999999</v>
      </c>
      <c r="D266" s="14">
        <f t="shared" si="8"/>
        <v>0.91369999999999996</v>
      </c>
      <c r="E266" s="8">
        <v>8.6300000000000002E-2</v>
      </c>
    </row>
    <row r="267" spans="2:5" x14ac:dyDescent="0.25">
      <c r="B267" s="13">
        <v>140</v>
      </c>
      <c r="C267" s="10">
        <v>3.9222907500000002</v>
      </c>
      <c r="D267" s="14">
        <f t="shared" si="8"/>
        <v>0.90569999999999995</v>
      </c>
      <c r="E267" s="8">
        <v>9.4299999999999995E-2</v>
      </c>
    </row>
    <row r="268" spans="2:5" x14ac:dyDescent="0.25">
      <c r="B268" s="13">
        <v>140</v>
      </c>
      <c r="C268" s="10">
        <v>3.9922049999999998</v>
      </c>
      <c r="D268" s="14">
        <f t="shared" si="8"/>
        <v>0.90470000000000006</v>
      </c>
      <c r="E268" s="8">
        <v>9.5299999999999996E-2</v>
      </c>
    </row>
    <row r="269" spans="2:5" x14ac:dyDescent="0.25">
      <c r="B269" s="13">
        <v>140</v>
      </c>
      <c r="C269" s="10">
        <v>4.1462190000000003</v>
      </c>
      <c r="D269" s="14">
        <f t="shared" si="8"/>
        <v>0.90100000000000002</v>
      </c>
      <c r="E269" s="8">
        <v>9.9000000000000005E-2</v>
      </c>
    </row>
    <row r="270" spans="2:5" x14ac:dyDescent="0.25">
      <c r="B270" s="13">
        <v>140</v>
      </c>
      <c r="C270" s="10">
        <v>4.3762267499999998</v>
      </c>
      <c r="D270" s="14">
        <f t="shared" si="8"/>
        <v>0.89559999999999995</v>
      </c>
      <c r="E270" s="8">
        <v>0.10440000000000001</v>
      </c>
    </row>
    <row r="271" spans="2:5" x14ac:dyDescent="0.25">
      <c r="B271" s="13">
        <v>140</v>
      </c>
      <c r="C271" s="10">
        <v>4.4360084999999998</v>
      </c>
      <c r="D271" s="14">
        <f t="shared" si="8"/>
        <v>0.89400000000000002</v>
      </c>
      <c r="E271" s="8">
        <v>0.106</v>
      </c>
    </row>
    <row r="272" spans="2:5" x14ac:dyDescent="0.25">
      <c r="B272" s="13">
        <v>140</v>
      </c>
      <c r="C272" s="10">
        <v>5.0784089999999997</v>
      </c>
      <c r="D272" s="14">
        <f t="shared" si="8"/>
        <v>0.88009999999999999</v>
      </c>
      <c r="E272" s="8">
        <v>0.11990000000000001</v>
      </c>
    </row>
    <row r="273" spans="1:7" x14ac:dyDescent="0.25">
      <c r="B273" s="13">
        <v>140</v>
      </c>
      <c r="C273" s="10">
        <v>5.2922047499999998</v>
      </c>
      <c r="D273" s="14">
        <f t="shared" si="8"/>
        <v>0.87549999999999994</v>
      </c>
      <c r="E273" s="8">
        <v>0.1245</v>
      </c>
    </row>
    <row r="274" spans="1:7" ht="15.75" thickBot="1" x14ac:dyDescent="0.3">
      <c r="A274" s="9"/>
      <c r="B274" s="17">
        <v>140</v>
      </c>
      <c r="C274" s="11">
        <v>5.5181595000000003</v>
      </c>
      <c r="D274" s="16">
        <f t="shared" si="8"/>
        <v>0.87050000000000005</v>
      </c>
      <c r="E274" s="9">
        <v>0.1295</v>
      </c>
      <c r="F274" s="9"/>
      <c r="G274" s="9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EA19-283F-4B33-8A60-8DFFC5D8E90F}">
  <dimension ref="A1:I277"/>
  <sheetViews>
    <sheetView workbookViewId="0">
      <pane ySplit="1" topLeftCell="A2" activePane="bottomLeft" state="frozen"/>
      <selection pane="bottomLeft" activeCell="I1" sqref="I1"/>
    </sheetView>
  </sheetViews>
  <sheetFormatPr defaultColWidth="9.140625" defaultRowHeight="15" x14ac:dyDescent="0.25"/>
  <cols>
    <col min="1" max="1" width="15.85546875" style="8" bestFit="1" customWidth="1"/>
    <col min="2" max="2" width="5.5703125" style="13" bestFit="1" customWidth="1"/>
    <col min="3" max="3" width="7.7109375" style="10" bestFit="1" customWidth="1"/>
    <col min="4" max="4" width="5.5703125" style="10" bestFit="1" customWidth="1"/>
    <col min="5" max="5" width="9.42578125" style="10" bestFit="1" customWidth="1"/>
    <col min="6" max="6" width="5.5703125" style="10" bestFit="1" customWidth="1"/>
    <col min="7" max="7" width="9.42578125" style="10" bestFit="1" customWidth="1"/>
    <col min="8" max="8" width="9.140625" style="1"/>
    <col min="9" max="9" width="15.85546875" style="1" bestFit="1" customWidth="1"/>
    <col min="10" max="16384" width="9.140625" style="1"/>
  </cols>
  <sheetData>
    <row r="1" spans="1:9" ht="18" x14ac:dyDescent="0.25">
      <c r="A1" s="8" t="s">
        <v>0</v>
      </c>
      <c r="B1" s="13" t="s">
        <v>3</v>
      </c>
      <c r="C1" s="10" t="s">
        <v>4</v>
      </c>
      <c r="D1" s="10" t="s">
        <v>92</v>
      </c>
      <c r="E1" s="10" t="s">
        <v>2</v>
      </c>
      <c r="F1" s="10" t="s">
        <v>91</v>
      </c>
      <c r="G1" s="10" t="s">
        <v>7</v>
      </c>
      <c r="I1" s="1" t="s">
        <v>0</v>
      </c>
    </row>
    <row r="2" spans="1:9" x14ac:dyDescent="0.25">
      <c r="A2" s="18" t="s">
        <v>93</v>
      </c>
      <c r="B2" s="13">
        <v>24.59</v>
      </c>
      <c r="C2" s="10">
        <v>0.17374788395999999</v>
      </c>
      <c r="D2" s="10">
        <f t="shared" ref="D2:D57" si="0">1-E2</f>
        <v>0.98670000000000002</v>
      </c>
      <c r="E2" s="10">
        <v>1.3300000000000001E-2</v>
      </c>
      <c r="F2" s="10">
        <f t="shared" ref="F2:F57" si="1">1-G2</f>
        <v>0.26359999999999995</v>
      </c>
      <c r="G2" s="10">
        <v>0.73640000000000005</v>
      </c>
      <c r="I2" s="1" t="s">
        <v>93</v>
      </c>
    </row>
    <row r="3" spans="1:9" x14ac:dyDescent="0.25">
      <c r="B3" s="13">
        <v>24.59</v>
      </c>
      <c r="C3" s="10">
        <v>0.21511642776000001</v>
      </c>
      <c r="D3" s="10">
        <f t="shared" si="0"/>
        <v>0.9829</v>
      </c>
      <c r="E3" s="10">
        <v>1.7100000000000001E-2</v>
      </c>
      <c r="F3" s="10">
        <f t="shared" si="1"/>
        <v>0.21599999999999997</v>
      </c>
      <c r="G3" s="10">
        <v>0.78400000000000003</v>
      </c>
      <c r="I3" s="1" t="s">
        <v>94</v>
      </c>
    </row>
    <row r="4" spans="1:9" x14ac:dyDescent="0.25">
      <c r="B4" s="13">
        <v>24.59</v>
      </c>
      <c r="C4" s="10">
        <v>0.24614283561000003</v>
      </c>
      <c r="D4" s="10">
        <f t="shared" si="0"/>
        <v>0.97870000000000001</v>
      </c>
      <c r="E4" s="10">
        <v>2.1299999999999999E-2</v>
      </c>
      <c r="F4" s="10">
        <f t="shared" si="1"/>
        <v>0.1915</v>
      </c>
      <c r="G4" s="10">
        <v>0.8085</v>
      </c>
      <c r="I4" s="1" t="s">
        <v>95</v>
      </c>
    </row>
    <row r="5" spans="1:9" x14ac:dyDescent="0.25">
      <c r="B5" s="13">
        <v>24.59</v>
      </c>
      <c r="C5" s="10">
        <v>0.27716924346000005</v>
      </c>
      <c r="D5" s="10">
        <f t="shared" si="0"/>
        <v>0.97430000000000005</v>
      </c>
      <c r="E5" s="10">
        <v>2.5699999999999997E-2</v>
      </c>
      <c r="F5" s="10">
        <f t="shared" si="1"/>
        <v>0.17349999999999999</v>
      </c>
      <c r="G5" s="10">
        <v>0.82650000000000001</v>
      </c>
    </row>
    <row r="6" spans="1:9" x14ac:dyDescent="0.25">
      <c r="B6" s="13">
        <v>24.59</v>
      </c>
      <c r="C6" s="10">
        <v>0.30267984546999999</v>
      </c>
      <c r="D6" s="10">
        <f t="shared" si="0"/>
        <v>0.97019999999999995</v>
      </c>
      <c r="E6" s="10">
        <v>2.98E-2</v>
      </c>
      <c r="F6" s="10">
        <f t="shared" si="1"/>
        <v>0.15900000000000003</v>
      </c>
      <c r="G6" s="10">
        <v>0.84099999999999997</v>
      </c>
    </row>
    <row r="7" spans="1:9" x14ac:dyDescent="0.25">
      <c r="B7" s="13">
        <v>24.59</v>
      </c>
      <c r="C7" s="10">
        <v>0.30405879693000004</v>
      </c>
      <c r="D7" s="10">
        <f t="shared" si="0"/>
        <v>0.96879999999999999</v>
      </c>
      <c r="E7" s="10">
        <v>3.1200000000000002E-2</v>
      </c>
      <c r="F7" s="10">
        <f t="shared" si="1"/>
        <v>0.15760000000000007</v>
      </c>
      <c r="G7" s="10">
        <v>0.84239999999999993</v>
      </c>
    </row>
    <row r="8" spans="1:9" x14ac:dyDescent="0.25">
      <c r="B8" s="13">
        <v>24.59</v>
      </c>
      <c r="C8" s="10">
        <v>0.29440613671000004</v>
      </c>
      <c r="D8" s="10">
        <f t="shared" si="0"/>
        <v>9.099999999999997E-3</v>
      </c>
      <c r="E8" s="10">
        <v>0.9909</v>
      </c>
      <c r="F8" s="10">
        <f t="shared" si="1"/>
        <v>1.419999999999999E-2</v>
      </c>
      <c r="G8" s="10">
        <v>0.98580000000000001</v>
      </c>
    </row>
    <row r="9" spans="1:9" x14ac:dyDescent="0.25">
      <c r="B9" s="13">
        <v>24.59</v>
      </c>
      <c r="C9" s="10">
        <v>0.29716403963000004</v>
      </c>
      <c r="D9" s="10">
        <f t="shared" si="0"/>
        <v>1.8100000000000005E-2</v>
      </c>
      <c r="E9" s="10">
        <v>0.9819</v>
      </c>
      <c r="F9" s="10">
        <f t="shared" si="1"/>
        <v>2.739999999999998E-2</v>
      </c>
      <c r="G9" s="10">
        <v>0.97260000000000002</v>
      </c>
    </row>
    <row r="10" spans="1:9" x14ac:dyDescent="0.25">
      <c r="B10" s="13">
        <v>24.59</v>
      </c>
      <c r="C10" s="10">
        <v>0.29992194254999999</v>
      </c>
      <c r="D10" s="10">
        <f t="shared" si="0"/>
        <v>4.0000000000000036E-2</v>
      </c>
      <c r="E10" s="10">
        <v>0.96</v>
      </c>
      <c r="F10" s="10">
        <f t="shared" si="1"/>
        <v>5.5599999999999983E-2</v>
      </c>
      <c r="G10" s="10">
        <v>0.94440000000000002</v>
      </c>
    </row>
    <row r="11" spans="1:9" x14ac:dyDescent="0.25">
      <c r="B11" s="13">
        <v>24.59</v>
      </c>
      <c r="C11" s="10">
        <v>0.30130089401000004</v>
      </c>
      <c r="D11" s="10">
        <f t="shared" si="0"/>
        <v>5.3799999999999959E-2</v>
      </c>
      <c r="E11" s="10">
        <v>0.94620000000000004</v>
      </c>
      <c r="F11" s="10">
        <f t="shared" si="1"/>
        <v>7.0900000000000074E-2</v>
      </c>
      <c r="G11" s="10">
        <v>0.92909999999999993</v>
      </c>
    </row>
    <row r="12" spans="1:9" x14ac:dyDescent="0.25">
      <c r="B12" s="13">
        <v>24.59</v>
      </c>
      <c r="C12" s="10">
        <v>0.30405879693000004</v>
      </c>
      <c r="D12" s="10">
        <f t="shared" si="0"/>
        <v>8.2500000000000018E-2</v>
      </c>
      <c r="E12" s="10">
        <v>0.91749999999999998</v>
      </c>
      <c r="F12" s="10">
        <f t="shared" si="1"/>
        <v>9.2300000000000049E-2</v>
      </c>
      <c r="G12" s="10">
        <v>0.90769999999999995</v>
      </c>
    </row>
    <row r="13" spans="1:9" x14ac:dyDescent="0.25">
      <c r="B13" s="13">
        <v>24.59</v>
      </c>
      <c r="C13" s="10">
        <v>0.30543774838999999</v>
      </c>
      <c r="D13" s="10">
        <f t="shared" si="0"/>
        <v>0.10609999999999997</v>
      </c>
      <c r="E13" s="10">
        <v>0.89390000000000003</v>
      </c>
      <c r="F13" s="10">
        <f t="shared" si="1"/>
        <v>0.11180000000000012</v>
      </c>
      <c r="G13" s="10">
        <v>0.88819999999999988</v>
      </c>
    </row>
    <row r="14" spans="1:9" x14ac:dyDescent="0.25">
      <c r="B14" s="13">
        <v>24.59</v>
      </c>
      <c r="C14" s="10">
        <v>0.30543774838999999</v>
      </c>
      <c r="D14" s="10">
        <f t="shared" si="0"/>
        <v>0.12159999999999993</v>
      </c>
      <c r="E14" s="10">
        <v>0.87840000000000007</v>
      </c>
      <c r="F14" s="10">
        <f t="shared" si="1"/>
        <v>0.12529999999999997</v>
      </c>
      <c r="G14" s="10">
        <v>0.87470000000000003</v>
      </c>
    </row>
    <row r="15" spans="1:9" x14ac:dyDescent="0.25">
      <c r="B15" s="13">
        <v>24.59</v>
      </c>
      <c r="C15" s="10">
        <v>0.30474827266000004</v>
      </c>
      <c r="D15" s="10">
        <f t="shared" si="0"/>
        <v>0.14610000000000001</v>
      </c>
      <c r="E15" s="10">
        <v>0.85389999999999999</v>
      </c>
      <c r="F15" s="10">
        <f t="shared" si="1"/>
        <v>0.13760000000000006</v>
      </c>
      <c r="G15" s="10">
        <v>0.86239999999999994</v>
      </c>
    </row>
    <row r="16" spans="1:9" x14ac:dyDescent="0.25">
      <c r="B16" s="13">
        <v>26.33</v>
      </c>
      <c r="C16" s="10">
        <v>0.21373747630000001</v>
      </c>
      <c r="D16" s="10">
        <f t="shared" si="0"/>
        <v>0.98660000000000003</v>
      </c>
      <c r="E16" s="10">
        <v>1.34E-2</v>
      </c>
      <c r="F16" s="10">
        <f t="shared" si="1"/>
        <v>0.37680000000000002</v>
      </c>
      <c r="G16" s="10">
        <v>0.62319999999999998</v>
      </c>
    </row>
    <row r="17" spans="2:7" x14ac:dyDescent="0.25">
      <c r="B17" s="13">
        <v>26.33</v>
      </c>
      <c r="C17" s="10">
        <v>0.35508000095000003</v>
      </c>
      <c r="D17" s="10">
        <f t="shared" si="0"/>
        <v>0.96709999999999996</v>
      </c>
      <c r="E17" s="10">
        <v>3.2899999999999999E-2</v>
      </c>
      <c r="F17" s="10">
        <f t="shared" si="1"/>
        <v>0.25150000000000006</v>
      </c>
      <c r="G17" s="10">
        <v>0.74849999999999994</v>
      </c>
    </row>
    <row r="18" spans="2:7" x14ac:dyDescent="0.25">
      <c r="B18" s="13">
        <v>26.33</v>
      </c>
      <c r="C18" s="10">
        <v>0.40334330205000002</v>
      </c>
      <c r="D18" s="10">
        <f t="shared" si="0"/>
        <v>0.95579999999999998</v>
      </c>
      <c r="E18" s="10">
        <v>4.4199999999999996E-2</v>
      </c>
      <c r="F18" s="10">
        <f t="shared" si="1"/>
        <v>0.22519999999999996</v>
      </c>
      <c r="G18" s="10">
        <v>0.77480000000000004</v>
      </c>
    </row>
    <row r="19" spans="2:7" x14ac:dyDescent="0.25">
      <c r="B19" s="13">
        <v>26.33</v>
      </c>
      <c r="C19" s="10">
        <v>0.43781708855000001</v>
      </c>
      <c r="D19" s="10">
        <f t="shared" si="0"/>
        <v>0.94640000000000002</v>
      </c>
      <c r="E19" s="10">
        <v>5.3600000000000002E-2</v>
      </c>
      <c r="F19" s="10">
        <f t="shared" si="1"/>
        <v>0.21010000000000006</v>
      </c>
      <c r="G19" s="10">
        <v>0.78989999999999994</v>
      </c>
    </row>
    <row r="20" spans="2:7" x14ac:dyDescent="0.25">
      <c r="B20" s="13">
        <v>26.33</v>
      </c>
      <c r="C20" s="10">
        <v>0.44264341866000001</v>
      </c>
      <c r="D20" s="10">
        <f t="shared" si="0"/>
        <v>3.4899999999999931E-2</v>
      </c>
      <c r="E20" s="10">
        <v>0.96510000000000007</v>
      </c>
      <c r="F20" s="10">
        <f t="shared" si="1"/>
        <v>4.9000000000000044E-2</v>
      </c>
      <c r="G20" s="10">
        <v>0.95099999999999996</v>
      </c>
    </row>
    <row r="21" spans="2:7" x14ac:dyDescent="0.25">
      <c r="B21" s="13">
        <v>26.33</v>
      </c>
      <c r="C21" s="10">
        <v>0.44884870022999995</v>
      </c>
      <c r="D21" s="10">
        <f t="shared" si="0"/>
        <v>7.790000000000008E-2</v>
      </c>
      <c r="E21" s="10">
        <v>0.92209999999999992</v>
      </c>
      <c r="F21" s="10">
        <f t="shared" si="1"/>
        <v>8.5900000000000087E-2</v>
      </c>
      <c r="G21" s="10">
        <v>0.91409999999999991</v>
      </c>
    </row>
    <row r="22" spans="2:7" x14ac:dyDescent="0.25">
      <c r="B22" s="13">
        <v>26.33</v>
      </c>
      <c r="C22" s="10">
        <v>0.45229607887999995</v>
      </c>
      <c r="D22" s="10">
        <f t="shared" si="0"/>
        <v>0.1140000000000001</v>
      </c>
      <c r="E22" s="10">
        <v>0.8859999999999999</v>
      </c>
      <c r="F22" s="10">
        <f t="shared" si="1"/>
        <v>0.11900000000000011</v>
      </c>
      <c r="G22" s="10">
        <v>0.88099999999999989</v>
      </c>
    </row>
    <row r="23" spans="2:7" x14ac:dyDescent="0.25">
      <c r="B23" s="13">
        <v>26.33</v>
      </c>
      <c r="C23" s="10">
        <v>0.45160660315000001</v>
      </c>
      <c r="D23" s="10">
        <f t="shared" si="0"/>
        <v>0.13519999999999999</v>
      </c>
      <c r="E23" s="10">
        <v>0.86480000000000001</v>
      </c>
      <c r="F23" s="10">
        <f t="shared" si="1"/>
        <v>0.13200000000000001</v>
      </c>
      <c r="G23" s="10">
        <v>0.86799999999999999</v>
      </c>
    </row>
    <row r="24" spans="2:7" x14ac:dyDescent="0.25">
      <c r="B24" s="13">
        <v>26.33</v>
      </c>
      <c r="C24" s="10">
        <v>0.45022765169000001</v>
      </c>
      <c r="D24" s="10">
        <f t="shared" si="0"/>
        <v>0.17500000000000004</v>
      </c>
      <c r="E24" s="10">
        <v>0.82499999999999996</v>
      </c>
      <c r="F24" s="10">
        <f t="shared" si="1"/>
        <v>0.16170000000000007</v>
      </c>
      <c r="G24" s="10">
        <v>0.83829999999999993</v>
      </c>
    </row>
    <row r="25" spans="2:7" x14ac:dyDescent="0.25">
      <c r="B25" s="13">
        <v>26.33</v>
      </c>
      <c r="C25" s="10">
        <v>0.44815922450000001</v>
      </c>
      <c r="D25" s="10">
        <f t="shared" si="0"/>
        <v>0.20979999999999999</v>
      </c>
      <c r="E25" s="10">
        <v>0.79020000000000001</v>
      </c>
      <c r="F25" s="10">
        <f t="shared" si="1"/>
        <v>0.19889999999999997</v>
      </c>
      <c r="G25" s="10">
        <v>0.80110000000000003</v>
      </c>
    </row>
    <row r="26" spans="2:7" x14ac:dyDescent="0.25">
      <c r="B26" s="13">
        <v>26.33</v>
      </c>
      <c r="C26" s="10">
        <v>0.44815922450000001</v>
      </c>
      <c r="D26" s="10">
        <f t="shared" si="0"/>
        <v>0.23560000000000003</v>
      </c>
      <c r="E26" s="10">
        <v>0.76439999999999997</v>
      </c>
      <c r="F26" s="10">
        <f t="shared" si="1"/>
        <v>0.20530000000000004</v>
      </c>
      <c r="G26" s="10">
        <v>0.79469999999999996</v>
      </c>
    </row>
    <row r="27" spans="2:7" x14ac:dyDescent="0.25">
      <c r="B27" s="13">
        <v>27.15</v>
      </c>
      <c r="C27" s="10">
        <v>0.23097436955</v>
      </c>
      <c r="D27" s="10">
        <f t="shared" si="0"/>
        <v>0.98440000000000005</v>
      </c>
      <c r="E27" s="10">
        <v>1.5600000000000001E-2</v>
      </c>
      <c r="F27" s="10">
        <f t="shared" si="1"/>
        <v>0.45779999999999998</v>
      </c>
      <c r="G27" s="10">
        <v>0.54220000000000002</v>
      </c>
    </row>
    <row r="28" spans="2:7" x14ac:dyDescent="0.25">
      <c r="B28" s="13">
        <v>27.15</v>
      </c>
      <c r="C28" s="10">
        <v>0.31371145714999998</v>
      </c>
      <c r="D28" s="10">
        <f t="shared" si="0"/>
        <v>0.97570000000000001</v>
      </c>
      <c r="E28" s="10">
        <v>2.4300000000000002E-2</v>
      </c>
      <c r="F28" s="10">
        <f t="shared" si="1"/>
        <v>0.35560000000000003</v>
      </c>
      <c r="G28" s="10">
        <v>0.64439999999999997</v>
      </c>
    </row>
    <row r="29" spans="2:7" x14ac:dyDescent="0.25">
      <c r="B29" s="13">
        <v>27.15</v>
      </c>
      <c r="C29" s="10">
        <v>0.38334850588000002</v>
      </c>
      <c r="D29" s="10">
        <f t="shared" si="0"/>
        <v>0.96540000000000004</v>
      </c>
      <c r="E29" s="10">
        <v>3.4599999999999999E-2</v>
      </c>
      <c r="F29" s="10">
        <f t="shared" si="1"/>
        <v>0.29799999999999993</v>
      </c>
      <c r="G29" s="10">
        <v>0.70200000000000007</v>
      </c>
    </row>
    <row r="30" spans="2:7" x14ac:dyDescent="0.25">
      <c r="B30" s="13">
        <v>27.15</v>
      </c>
      <c r="C30" s="10">
        <v>0.45712240899000001</v>
      </c>
      <c r="D30" s="10">
        <f t="shared" si="0"/>
        <v>0.95120000000000005</v>
      </c>
      <c r="E30" s="10">
        <v>4.8799999999999996E-2</v>
      </c>
      <c r="F30" s="10">
        <f t="shared" si="1"/>
        <v>0.25609999999999999</v>
      </c>
      <c r="G30" s="10">
        <v>0.74390000000000001</v>
      </c>
    </row>
    <row r="31" spans="2:7" x14ac:dyDescent="0.25">
      <c r="B31" s="13">
        <v>27.15</v>
      </c>
      <c r="C31" s="10">
        <v>0.48814881684</v>
      </c>
      <c r="D31" s="10">
        <f t="shared" si="0"/>
        <v>0.93700000000000006</v>
      </c>
      <c r="E31" s="10">
        <v>6.3E-2</v>
      </c>
      <c r="F31" s="10">
        <f t="shared" si="1"/>
        <v>0.24</v>
      </c>
      <c r="G31" s="10">
        <v>0.76</v>
      </c>
    </row>
    <row r="32" spans="2:7" x14ac:dyDescent="0.25">
      <c r="B32" s="13">
        <v>27.15</v>
      </c>
      <c r="C32" s="10">
        <v>0.5129699431200001</v>
      </c>
      <c r="D32" s="10">
        <f t="shared" si="0"/>
        <v>0.92379999999999995</v>
      </c>
      <c r="E32" s="10">
        <v>7.6200000000000004E-2</v>
      </c>
      <c r="F32" s="10">
        <f t="shared" si="1"/>
        <v>0.23019999999999996</v>
      </c>
      <c r="G32" s="10">
        <v>0.76980000000000004</v>
      </c>
    </row>
    <row r="33" spans="2:7" x14ac:dyDescent="0.25">
      <c r="B33" s="13">
        <v>27.15</v>
      </c>
      <c r="C33" s="10">
        <v>0.49504357414</v>
      </c>
      <c r="D33" s="10">
        <f t="shared" si="0"/>
        <v>1.3000000000000012E-2</v>
      </c>
      <c r="E33" s="10">
        <v>0.98699999999999999</v>
      </c>
      <c r="F33" s="10">
        <f t="shared" si="1"/>
        <v>1.9000000000000017E-2</v>
      </c>
      <c r="G33" s="10">
        <v>0.98099999999999998</v>
      </c>
    </row>
    <row r="34" spans="2:7" x14ac:dyDescent="0.25">
      <c r="B34" s="13">
        <v>27.15</v>
      </c>
      <c r="C34" s="10">
        <v>0.50676466155</v>
      </c>
      <c r="D34" s="10">
        <f t="shared" si="0"/>
        <v>3.6399999999999988E-2</v>
      </c>
      <c r="E34" s="10">
        <v>0.96360000000000001</v>
      </c>
      <c r="F34" s="10">
        <f t="shared" si="1"/>
        <v>4.9899999999999944E-2</v>
      </c>
      <c r="G34" s="10">
        <v>0.95010000000000006</v>
      </c>
    </row>
    <row r="35" spans="2:7" x14ac:dyDescent="0.25">
      <c r="B35" s="13">
        <v>27.15</v>
      </c>
      <c r="C35" s="10">
        <v>0.51572784603999999</v>
      </c>
      <c r="D35" s="10">
        <f t="shared" si="0"/>
        <v>6.4400000000000013E-2</v>
      </c>
      <c r="E35" s="10">
        <v>0.93559999999999999</v>
      </c>
      <c r="F35" s="10">
        <f t="shared" si="1"/>
        <v>8.2699999999999996E-2</v>
      </c>
      <c r="G35" s="10">
        <v>0.9173</v>
      </c>
    </row>
    <row r="36" spans="2:7" x14ac:dyDescent="0.25">
      <c r="B36" s="13">
        <v>27.15</v>
      </c>
      <c r="C36" s="10">
        <v>0.52469103052999999</v>
      </c>
      <c r="D36" s="10">
        <f t="shared" si="0"/>
        <v>9.8600000000000021E-2</v>
      </c>
      <c r="E36" s="10">
        <v>0.90139999999999998</v>
      </c>
      <c r="F36" s="10">
        <f t="shared" si="1"/>
        <v>0.11510000000000009</v>
      </c>
      <c r="G36" s="10">
        <v>0.88489999999999991</v>
      </c>
    </row>
    <row r="37" spans="2:7" x14ac:dyDescent="0.25">
      <c r="B37" s="13">
        <v>27.15</v>
      </c>
      <c r="C37" s="10">
        <v>0.52744893344999999</v>
      </c>
      <c r="D37" s="10">
        <f t="shared" si="0"/>
        <v>0.18659999999999999</v>
      </c>
      <c r="E37" s="10">
        <v>0.81340000000000001</v>
      </c>
      <c r="F37" s="10">
        <f t="shared" si="1"/>
        <v>0.17420000000000002</v>
      </c>
      <c r="G37" s="10">
        <v>0.82579999999999998</v>
      </c>
    </row>
    <row r="38" spans="2:7" x14ac:dyDescent="0.25">
      <c r="B38" s="13">
        <v>28.12</v>
      </c>
      <c r="C38" s="10">
        <v>0.22270066078999998</v>
      </c>
      <c r="D38" s="10">
        <f t="shared" si="0"/>
        <v>0.99170000000000003</v>
      </c>
      <c r="E38" s="10">
        <v>8.3000000000000001E-3</v>
      </c>
      <c r="F38" s="10">
        <f t="shared" si="1"/>
        <v>0.6402000000000001</v>
      </c>
      <c r="G38" s="10">
        <v>0.35979999999999995</v>
      </c>
    </row>
    <row r="39" spans="2:7" x14ac:dyDescent="0.25">
      <c r="B39" s="13">
        <v>28.12</v>
      </c>
      <c r="C39" s="10">
        <v>0.33508520478000003</v>
      </c>
      <c r="D39" s="10">
        <f t="shared" si="0"/>
        <v>0.97660000000000002</v>
      </c>
      <c r="E39" s="10">
        <v>2.3399999999999997E-2</v>
      </c>
      <c r="F39" s="10">
        <f t="shared" si="1"/>
        <v>0.43069999999999997</v>
      </c>
      <c r="G39" s="10">
        <v>0.56930000000000003</v>
      </c>
    </row>
    <row r="40" spans="2:7" x14ac:dyDescent="0.25">
      <c r="B40" s="13">
        <v>28.12</v>
      </c>
      <c r="C40" s="10">
        <v>0.49711200133</v>
      </c>
      <c r="D40" s="10">
        <f t="shared" si="0"/>
        <v>0.94259999999999999</v>
      </c>
      <c r="E40" s="10">
        <v>5.74E-2</v>
      </c>
      <c r="F40" s="10">
        <f t="shared" si="1"/>
        <v>0.30180000000000007</v>
      </c>
      <c r="G40" s="10">
        <v>0.69819999999999993</v>
      </c>
    </row>
    <row r="41" spans="2:7" x14ac:dyDescent="0.25">
      <c r="B41" s="13">
        <v>28.12</v>
      </c>
      <c r="C41" s="10">
        <v>0.60467021521000008</v>
      </c>
      <c r="D41" s="10">
        <f t="shared" si="0"/>
        <v>4.280000000000006E-2</v>
      </c>
      <c r="E41" s="10">
        <v>0.95719999999999994</v>
      </c>
      <c r="F41" s="10">
        <f t="shared" si="1"/>
        <v>5.7699999999999974E-2</v>
      </c>
      <c r="G41" s="10">
        <v>0.94230000000000003</v>
      </c>
    </row>
    <row r="42" spans="2:7" x14ac:dyDescent="0.25">
      <c r="B42" s="13">
        <v>28.12</v>
      </c>
      <c r="C42" s="10">
        <v>0.61914920553999997</v>
      </c>
      <c r="D42" s="10">
        <f t="shared" si="0"/>
        <v>0.10560000000000003</v>
      </c>
      <c r="E42" s="10">
        <v>0.89439999999999997</v>
      </c>
      <c r="F42" s="10">
        <f t="shared" si="1"/>
        <v>0.12209999999999999</v>
      </c>
      <c r="G42" s="10">
        <v>0.87790000000000001</v>
      </c>
    </row>
    <row r="43" spans="2:7" x14ac:dyDescent="0.25">
      <c r="B43" s="13">
        <v>28.12</v>
      </c>
      <c r="C43" s="10">
        <v>0.62259658418999997</v>
      </c>
      <c r="D43" s="10">
        <f t="shared" si="0"/>
        <v>0.13700000000000001</v>
      </c>
      <c r="E43" s="10">
        <v>0.86299999999999999</v>
      </c>
      <c r="F43" s="10">
        <f t="shared" si="1"/>
        <v>0.14800000000000002</v>
      </c>
      <c r="G43" s="10">
        <v>0.85199999999999998</v>
      </c>
    </row>
    <row r="44" spans="2:7" x14ac:dyDescent="0.25">
      <c r="B44" s="13">
        <v>28.12</v>
      </c>
      <c r="C44" s="10">
        <v>0.62328605992000008</v>
      </c>
      <c r="D44" s="10">
        <f t="shared" si="0"/>
        <v>0.17079999999999995</v>
      </c>
      <c r="E44" s="10">
        <v>0.82920000000000005</v>
      </c>
      <c r="F44" s="10">
        <f t="shared" si="1"/>
        <v>0.1714</v>
      </c>
      <c r="G44" s="10">
        <v>0.8286</v>
      </c>
    </row>
    <row r="45" spans="2:7" x14ac:dyDescent="0.25">
      <c r="B45" s="13">
        <v>28.12</v>
      </c>
      <c r="C45" s="10">
        <v>0.62121763272999997</v>
      </c>
      <c r="D45" s="10">
        <f t="shared" si="0"/>
        <v>0.23439999999999994</v>
      </c>
      <c r="E45" s="10">
        <v>0.76560000000000006</v>
      </c>
      <c r="F45" s="10">
        <f t="shared" si="1"/>
        <v>0.20579999999999998</v>
      </c>
      <c r="G45" s="10">
        <v>0.79420000000000002</v>
      </c>
    </row>
    <row r="46" spans="2:7" x14ac:dyDescent="0.25">
      <c r="B46" s="13">
        <v>28.12</v>
      </c>
      <c r="C46" s="10">
        <v>0.61570182688999997</v>
      </c>
      <c r="D46" s="10">
        <f t="shared" si="0"/>
        <v>0.29469999999999996</v>
      </c>
      <c r="E46" s="10">
        <v>0.70530000000000004</v>
      </c>
      <c r="F46" s="10">
        <f t="shared" si="1"/>
        <v>0.22900000000000009</v>
      </c>
      <c r="G46" s="10">
        <v>0.77099999999999991</v>
      </c>
    </row>
    <row r="47" spans="2:7" x14ac:dyDescent="0.25">
      <c r="B47" s="13">
        <v>28.12</v>
      </c>
      <c r="C47" s="10">
        <v>0.60949654532000008</v>
      </c>
      <c r="D47" s="10">
        <f t="shared" si="0"/>
        <v>0.34310000000000007</v>
      </c>
      <c r="E47" s="10">
        <v>0.65689999999999993</v>
      </c>
      <c r="F47" s="10">
        <f t="shared" si="1"/>
        <v>0.24290000000000012</v>
      </c>
      <c r="G47" s="10">
        <v>0.75709999999999988</v>
      </c>
    </row>
    <row r="48" spans="2:7" x14ac:dyDescent="0.25">
      <c r="B48" s="13">
        <v>28.12</v>
      </c>
      <c r="C48" s="10">
        <v>0.60535969093999997</v>
      </c>
      <c r="D48" s="10">
        <f t="shared" si="0"/>
        <v>0.37630000000000008</v>
      </c>
      <c r="E48" s="10">
        <v>0.62369999999999992</v>
      </c>
      <c r="F48" s="10">
        <f t="shared" si="1"/>
        <v>0.24900000000000011</v>
      </c>
      <c r="G48" s="10">
        <v>0.75099999999999989</v>
      </c>
    </row>
    <row r="49" spans="2:7" x14ac:dyDescent="0.25">
      <c r="B49" s="13">
        <v>29</v>
      </c>
      <c r="C49" s="10">
        <v>0.25993235021000005</v>
      </c>
      <c r="D49" s="10">
        <f t="shared" si="0"/>
        <v>0.99009999999999998</v>
      </c>
      <c r="E49" s="10">
        <v>9.8999999999999991E-3</v>
      </c>
      <c r="F49" s="10">
        <f t="shared" si="1"/>
        <v>0.67749999999999999</v>
      </c>
      <c r="G49" s="10">
        <v>0.32250000000000001</v>
      </c>
    </row>
    <row r="50" spans="2:7" x14ac:dyDescent="0.25">
      <c r="B50" s="13">
        <v>29</v>
      </c>
      <c r="C50" s="10">
        <v>0.33853258343000003</v>
      </c>
      <c r="D50" s="10">
        <f t="shared" si="0"/>
        <v>0.97970000000000002</v>
      </c>
      <c r="E50" s="10">
        <v>2.0299999999999999E-2</v>
      </c>
      <c r="F50" s="10">
        <f t="shared" si="1"/>
        <v>0.53320000000000001</v>
      </c>
      <c r="G50" s="10">
        <v>0.46679999999999999</v>
      </c>
    </row>
    <row r="51" spans="2:7" x14ac:dyDescent="0.25">
      <c r="B51" s="13">
        <v>29</v>
      </c>
      <c r="C51" s="10">
        <v>0.46056978764000001</v>
      </c>
      <c r="D51" s="10">
        <f t="shared" si="0"/>
        <v>0.9597</v>
      </c>
      <c r="E51" s="10">
        <v>4.0300000000000002E-2</v>
      </c>
      <c r="F51" s="10">
        <f t="shared" si="1"/>
        <v>0.40539999999999998</v>
      </c>
      <c r="G51" s="10">
        <v>0.59460000000000002</v>
      </c>
    </row>
    <row r="52" spans="2:7" x14ac:dyDescent="0.25">
      <c r="B52" s="13">
        <v>29</v>
      </c>
      <c r="C52" s="10">
        <v>0.58674384622999998</v>
      </c>
      <c r="D52" s="10">
        <f t="shared" si="0"/>
        <v>0.92280000000000006</v>
      </c>
      <c r="E52" s="10">
        <v>7.7199999999999991E-2</v>
      </c>
      <c r="F52" s="10">
        <f t="shared" si="1"/>
        <v>0.32739999999999991</v>
      </c>
      <c r="G52" s="10">
        <v>0.67260000000000009</v>
      </c>
    </row>
    <row r="53" spans="2:7" x14ac:dyDescent="0.25">
      <c r="B53" s="13">
        <v>29</v>
      </c>
      <c r="C53" s="10">
        <v>0.66120722507000007</v>
      </c>
      <c r="D53" s="10">
        <f t="shared" si="0"/>
        <v>0.86780000000000002</v>
      </c>
      <c r="E53" s="10">
        <v>0.13220000000000001</v>
      </c>
      <c r="F53" s="10">
        <f t="shared" si="1"/>
        <v>0.29510000000000003</v>
      </c>
      <c r="G53" s="10">
        <v>0.70489999999999997</v>
      </c>
    </row>
    <row r="54" spans="2:7" x14ac:dyDescent="0.25">
      <c r="B54" s="13">
        <v>29</v>
      </c>
      <c r="C54" s="10">
        <v>0.66741250663999996</v>
      </c>
      <c r="D54" s="10">
        <f t="shared" si="0"/>
        <v>0.85430000000000006</v>
      </c>
      <c r="E54" s="10">
        <v>0.1457</v>
      </c>
      <c r="F54" s="10">
        <f t="shared" si="1"/>
        <v>0.29220000000000002</v>
      </c>
      <c r="G54" s="10">
        <v>0.70779999999999998</v>
      </c>
    </row>
    <row r="55" spans="2:7" x14ac:dyDescent="0.25">
      <c r="B55" s="13">
        <v>29</v>
      </c>
      <c r="C55" s="10">
        <v>0.67223883675000007</v>
      </c>
      <c r="D55" s="10">
        <f t="shared" si="0"/>
        <v>0.83600000000000008</v>
      </c>
      <c r="E55" s="10">
        <v>0.16399999999999998</v>
      </c>
      <c r="F55" s="10">
        <f t="shared" si="1"/>
        <v>0.28700000000000003</v>
      </c>
      <c r="G55" s="10">
        <v>0.71299999999999997</v>
      </c>
    </row>
    <row r="56" spans="2:7" x14ac:dyDescent="0.25">
      <c r="B56" s="13">
        <v>29</v>
      </c>
      <c r="C56" s="10">
        <v>0.67568621540000007</v>
      </c>
      <c r="D56" s="10">
        <f t="shared" si="0"/>
        <v>0.82709999999999995</v>
      </c>
      <c r="E56" s="10">
        <v>0.1729</v>
      </c>
      <c r="F56" s="10">
        <f t="shared" si="1"/>
        <v>0.28670000000000007</v>
      </c>
      <c r="G56" s="10">
        <v>0.71329999999999993</v>
      </c>
    </row>
    <row r="57" spans="2:7" x14ac:dyDescent="0.25">
      <c r="B57" s="13">
        <v>29</v>
      </c>
      <c r="C57" s="10">
        <v>0.67706516686000007</v>
      </c>
      <c r="D57" s="10">
        <f t="shared" si="0"/>
        <v>0.77539999999999998</v>
      </c>
      <c r="E57" s="10">
        <v>0.22460000000000002</v>
      </c>
      <c r="F57" s="10">
        <f t="shared" si="1"/>
        <v>0.29000000000000004</v>
      </c>
      <c r="G57" s="10">
        <v>0.71</v>
      </c>
    </row>
    <row r="58" spans="2:7" x14ac:dyDescent="0.25">
      <c r="B58" s="13">
        <v>29</v>
      </c>
      <c r="C58" s="10">
        <v>0.67775464258999996</v>
      </c>
      <c r="D58" s="10">
        <f t="shared" ref="D58:D96" si="2">1-E58</f>
        <v>0.67520000000000002</v>
      </c>
      <c r="E58" s="10">
        <v>0.32479999999999998</v>
      </c>
      <c r="F58" s="10">
        <f t="shared" ref="F58:F114" si="3">1-G58</f>
        <v>0.28650000000000009</v>
      </c>
      <c r="G58" s="10">
        <v>0.71349999999999991</v>
      </c>
    </row>
    <row r="59" spans="2:7" x14ac:dyDescent="0.25">
      <c r="B59" s="13">
        <v>29</v>
      </c>
      <c r="C59" s="10">
        <v>0.67844411832000007</v>
      </c>
      <c r="D59" s="10">
        <f t="shared" si="2"/>
        <v>0.5907</v>
      </c>
      <c r="E59" s="10">
        <v>0.4093</v>
      </c>
      <c r="F59" s="10">
        <f t="shared" si="3"/>
        <v>0.28459999999999996</v>
      </c>
      <c r="G59" s="10">
        <v>0.71540000000000004</v>
      </c>
    </row>
    <row r="60" spans="2:7" x14ac:dyDescent="0.25">
      <c r="B60" s="13">
        <v>29</v>
      </c>
      <c r="C60" s="10">
        <v>0.68258097270000007</v>
      </c>
      <c r="D60" s="10">
        <f t="shared" si="2"/>
        <v>0.49819999999999998</v>
      </c>
      <c r="E60" s="10">
        <v>0.50180000000000002</v>
      </c>
      <c r="F60" s="10">
        <f t="shared" si="3"/>
        <v>0.27890000000000004</v>
      </c>
      <c r="G60" s="10">
        <v>0.72109999999999996</v>
      </c>
    </row>
    <row r="61" spans="2:7" x14ac:dyDescent="0.25">
      <c r="B61" s="13">
        <v>29</v>
      </c>
      <c r="C61" s="10">
        <v>0.68809677853999995</v>
      </c>
      <c r="D61" s="10">
        <f t="shared" si="2"/>
        <v>0.44479999999999997</v>
      </c>
      <c r="E61" s="10">
        <v>0.55520000000000003</v>
      </c>
      <c r="F61" s="10">
        <f t="shared" si="3"/>
        <v>0.27450000000000008</v>
      </c>
      <c r="G61" s="10">
        <v>0.72549999999999992</v>
      </c>
    </row>
    <row r="62" spans="2:7" x14ac:dyDescent="0.25">
      <c r="B62" s="13">
        <v>29</v>
      </c>
      <c r="C62" s="10">
        <v>0.69430206011000006</v>
      </c>
      <c r="D62" s="10">
        <f t="shared" si="2"/>
        <v>0.4</v>
      </c>
      <c r="E62" s="10">
        <v>0.6</v>
      </c>
      <c r="F62" s="10">
        <f t="shared" si="3"/>
        <v>0.2681</v>
      </c>
      <c r="G62" s="10">
        <v>0.7319</v>
      </c>
    </row>
    <row r="63" spans="2:7" x14ac:dyDescent="0.25">
      <c r="B63" s="13">
        <v>29</v>
      </c>
      <c r="C63" s="10">
        <v>0.69843891448999995</v>
      </c>
      <c r="D63" s="10">
        <f t="shared" si="2"/>
        <v>0.36250000000000004</v>
      </c>
      <c r="E63" s="10">
        <v>0.63749999999999996</v>
      </c>
      <c r="F63" s="10">
        <f t="shared" si="3"/>
        <v>0.25980000000000003</v>
      </c>
      <c r="G63" s="10">
        <v>0.74019999999999997</v>
      </c>
    </row>
    <row r="64" spans="2:7" x14ac:dyDescent="0.25">
      <c r="B64" s="13">
        <v>29</v>
      </c>
      <c r="C64" s="10">
        <v>0.70602314752000006</v>
      </c>
      <c r="D64" s="10">
        <f t="shared" si="2"/>
        <v>0.30599999999999994</v>
      </c>
      <c r="E64" s="10">
        <v>0.69400000000000006</v>
      </c>
      <c r="F64" s="10">
        <f t="shared" si="3"/>
        <v>0.24140000000000006</v>
      </c>
      <c r="G64" s="10">
        <v>0.75859999999999994</v>
      </c>
    </row>
    <row r="65" spans="2:7" x14ac:dyDescent="0.25">
      <c r="B65" s="13">
        <v>29</v>
      </c>
      <c r="C65" s="10">
        <v>0.71016000190000006</v>
      </c>
      <c r="D65" s="10">
        <f t="shared" si="2"/>
        <v>0.26819999999999988</v>
      </c>
      <c r="E65" s="10">
        <v>0.73180000000000012</v>
      </c>
      <c r="F65" s="10">
        <f t="shared" si="3"/>
        <v>0.22670000000000001</v>
      </c>
      <c r="G65" s="10">
        <v>0.77329999999999999</v>
      </c>
    </row>
    <row r="66" spans="2:7" x14ac:dyDescent="0.25">
      <c r="B66" s="13">
        <v>29</v>
      </c>
      <c r="C66" s="10">
        <v>0.71360738055000006</v>
      </c>
      <c r="D66" s="10">
        <f t="shared" si="2"/>
        <v>0.23599999999999999</v>
      </c>
      <c r="E66" s="10">
        <v>0.76400000000000001</v>
      </c>
      <c r="F66" s="10">
        <f t="shared" si="3"/>
        <v>0.2127</v>
      </c>
      <c r="G66" s="10">
        <v>0.7873</v>
      </c>
    </row>
    <row r="67" spans="2:7" x14ac:dyDescent="0.25">
      <c r="B67" s="13">
        <v>29</v>
      </c>
      <c r="C67" s="10">
        <v>0.71498633201000006</v>
      </c>
      <c r="D67" s="10">
        <f t="shared" si="2"/>
        <v>0.20669999999999999</v>
      </c>
      <c r="E67" s="10">
        <v>0.79330000000000001</v>
      </c>
      <c r="F67" s="10">
        <f t="shared" si="3"/>
        <v>0.19730000000000003</v>
      </c>
      <c r="G67" s="10">
        <v>0.80269999999999997</v>
      </c>
    </row>
    <row r="68" spans="2:7" x14ac:dyDescent="0.25">
      <c r="B68" s="13">
        <v>29</v>
      </c>
      <c r="C68" s="10">
        <v>0.71567580773999995</v>
      </c>
      <c r="D68" s="10">
        <f t="shared" si="2"/>
        <v>0.18319999999999992</v>
      </c>
      <c r="E68" s="10">
        <v>0.81680000000000008</v>
      </c>
      <c r="F68" s="10">
        <f t="shared" si="3"/>
        <v>0.18159999999999998</v>
      </c>
      <c r="G68" s="10">
        <v>0.81840000000000002</v>
      </c>
    </row>
    <row r="69" spans="2:7" x14ac:dyDescent="0.25">
      <c r="B69" s="13">
        <v>29</v>
      </c>
      <c r="C69" s="10">
        <v>0.71222842908999995</v>
      </c>
      <c r="D69" s="10">
        <f t="shared" si="2"/>
        <v>0.14910000000000001</v>
      </c>
      <c r="E69" s="10">
        <v>0.85089999999999999</v>
      </c>
      <c r="F69" s="10">
        <f t="shared" si="3"/>
        <v>0.15769999999999995</v>
      </c>
      <c r="G69" s="10">
        <v>0.84230000000000005</v>
      </c>
    </row>
    <row r="70" spans="2:7" x14ac:dyDescent="0.25">
      <c r="B70" s="13">
        <v>29</v>
      </c>
      <c r="C70" s="10">
        <v>0.70602314752000006</v>
      </c>
      <c r="D70" s="10">
        <f t="shared" si="2"/>
        <v>8.1699999999999995E-2</v>
      </c>
      <c r="E70" s="10">
        <v>0.91830000000000001</v>
      </c>
      <c r="F70" s="10">
        <f t="shared" si="3"/>
        <v>9.9200000000000066E-2</v>
      </c>
      <c r="G70" s="10">
        <v>0.90079999999999993</v>
      </c>
    </row>
    <row r="71" spans="2:7" x14ac:dyDescent="0.25">
      <c r="B71" s="13">
        <v>29</v>
      </c>
      <c r="C71" s="10">
        <v>0.69223363292000006</v>
      </c>
      <c r="D71" s="10">
        <f t="shared" si="2"/>
        <v>3.7999999999999923E-2</v>
      </c>
      <c r="E71" s="10">
        <v>0.96200000000000008</v>
      </c>
      <c r="F71" s="10">
        <f t="shared" si="3"/>
        <v>5.0499999999999989E-2</v>
      </c>
      <c r="G71" s="10">
        <v>0.94950000000000001</v>
      </c>
    </row>
    <row r="72" spans="2:7" x14ac:dyDescent="0.25">
      <c r="B72" s="13">
        <v>31.51</v>
      </c>
      <c r="C72" s="10">
        <v>0.41368543800000002</v>
      </c>
      <c r="D72" s="10">
        <f t="shared" si="2"/>
        <v>0.99009999999999998</v>
      </c>
      <c r="E72" s="10">
        <v>9.8999999999999991E-3</v>
      </c>
      <c r="F72" s="10">
        <f t="shared" si="3"/>
        <v>0.80920000000000003</v>
      </c>
      <c r="G72" s="10">
        <v>0.19079999999999997</v>
      </c>
    </row>
    <row r="73" spans="2:7" x14ac:dyDescent="0.25">
      <c r="B73" s="13">
        <v>31.51</v>
      </c>
      <c r="C73" s="10">
        <v>0.54813320534999999</v>
      </c>
      <c r="D73" s="10">
        <f t="shared" si="2"/>
        <v>0.97089999999999999</v>
      </c>
      <c r="E73" s="10">
        <v>2.9100000000000001E-2</v>
      </c>
      <c r="F73" s="10">
        <f t="shared" si="3"/>
        <v>0.62159999999999993</v>
      </c>
      <c r="G73" s="10">
        <v>0.37840000000000001</v>
      </c>
    </row>
    <row r="74" spans="2:7" x14ac:dyDescent="0.25">
      <c r="B74" s="13">
        <v>31.51</v>
      </c>
      <c r="C74" s="10">
        <v>0.77497072052000004</v>
      </c>
      <c r="D74" s="10">
        <f t="shared" si="2"/>
        <v>0.91969999999999996</v>
      </c>
      <c r="E74" s="10">
        <v>8.0299999999999996E-2</v>
      </c>
      <c r="F74" s="10">
        <f t="shared" si="3"/>
        <v>0.45719999999999994</v>
      </c>
      <c r="G74" s="10">
        <v>0.54280000000000006</v>
      </c>
    </row>
    <row r="75" spans="2:7" x14ac:dyDescent="0.25">
      <c r="B75" s="13">
        <v>31.51</v>
      </c>
      <c r="C75" s="10">
        <v>0.92045009955000001</v>
      </c>
      <c r="D75" s="10">
        <f t="shared" si="2"/>
        <v>0.81859999999999999</v>
      </c>
      <c r="E75" s="10">
        <v>0.18140000000000001</v>
      </c>
      <c r="F75" s="10">
        <f t="shared" si="3"/>
        <v>0.39460000000000006</v>
      </c>
      <c r="G75" s="10">
        <v>0.60539999999999994</v>
      </c>
    </row>
    <row r="76" spans="2:7" x14ac:dyDescent="0.25">
      <c r="B76" s="13">
        <v>31.51</v>
      </c>
      <c r="C76" s="10">
        <v>0.98250291525</v>
      </c>
      <c r="D76" s="10">
        <f t="shared" si="2"/>
        <v>0.67460000000000009</v>
      </c>
      <c r="E76" s="10">
        <v>0.32539999999999997</v>
      </c>
      <c r="F76" s="10">
        <f t="shared" si="3"/>
        <v>0.37049999999999994</v>
      </c>
      <c r="G76" s="10">
        <v>0.62950000000000006</v>
      </c>
    </row>
    <row r="77" spans="2:7" x14ac:dyDescent="0.25">
      <c r="B77" s="13">
        <v>31.51</v>
      </c>
      <c r="C77" s="10">
        <v>1.0204240804</v>
      </c>
      <c r="D77" s="10">
        <f t="shared" si="2"/>
        <v>0.53069999999999995</v>
      </c>
      <c r="E77" s="10">
        <v>0.46929999999999999</v>
      </c>
      <c r="F77" s="10">
        <f t="shared" si="3"/>
        <v>0.34959999999999991</v>
      </c>
      <c r="G77" s="10">
        <v>0.65040000000000009</v>
      </c>
    </row>
    <row r="78" spans="2:7" x14ac:dyDescent="0.25">
      <c r="B78" s="13">
        <v>31.51</v>
      </c>
      <c r="C78" s="10">
        <v>1.02387145905</v>
      </c>
      <c r="D78" s="10">
        <f t="shared" si="2"/>
        <v>0.51729999999999998</v>
      </c>
      <c r="E78" s="10">
        <v>0.48270000000000002</v>
      </c>
      <c r="F78" s="10">
        <f t="shared" si="3"/>
        <v>0.34400000000000008</v>
      </c>
      <c r="G78" s="10">
        <v>0.65599999999999992</v>
      </c>
    </row>
    <row r="79" spans="2:7" x14ac:dyDescent="0.25">
      <c r="B79" s="13">
        <v>31.51</v>
      </c>
      <c r="C79" s="10">
        <v>1.0480031096</v>
      </c>
      <c r="D79" s="10">
        <f t="shared" si="2"/>
        <v>0.4395</v>
      </c>
      <c r="E79" s="10">
        <v>0.5605</v>
      </c>
      <c r="F79" s="10">
        <f t="shared" si="3"/>
        <v>0.32790000000000008</v>
      </c>
      <c r="G79" s="10">
        <v>0.67209999999999992</v>
      </c>
    </row>
    <row r="80" spans="2:7" x14ac:dyDescent="0.25">
      <c r="B80" s="13">
        <v>31.51</v>
      </c>
      <c r="C80" s="10">
        <v>1.05834524555</v>
      </c>
      <c r="D80" s="10">
        <f t="shared" si="2"/>
        <v>0.40300000000000002</v>
      </c>
      <c r="E80" s="10">
        <v>0.59699999999999998</v>
      </c>
      <c r="F80" s="10">
        <f t="shared" si="3"/>
        <v>0.31530000000000002</v>
      </c>
      <c r="G80" s="10">
        <v>0.68469999999999998</v>
      </c>
    </row>
    <row r="81" spans="1:7" x14ac:dyDescent="0.25">
      <c r="B81" s="13">
        <v>31.51</v>
      </c>
      <c r="C81" s="10">
        <v>1.07006633296</v>
      </c>
      <c r="D81" s="10">
        <f t="shared" si="2"/>
        <v>0.36960000000000004</v>
      </c>
      <c r="E81" s="10">
        <v>0.63039999999999996</v>
      </c>
      <c r="F81" s="10">
        <f t="shared" si="3"/>
        <v>0.3024</v>
      </c>
      <c r="G81" s="10">
        <v>0.6976</v>
      </c>
    </row>
    <row r="82" spans="1:7" x14ac:dyDescent="0.25">
      <c r="B82" s="13">
        <v>31.51</v>
      </c>
      <c r="C82" s="10">
        <v>1.08730322621</v>
      </c>
      <c r="D82" s="10">
        <f t="shared" si="2"/>
        <v>0.30290000000000006</v>
      </c>
      <c r="E82" s="10">
        <v>0.69709999999999994</v>
      </c>
      <c r="F82" s="10">
        <f t="shared" si="3"/>
        <v>0.26930000000000009</v>
      </c>
      <c r="G82" s="10">
        <v>0.73069999999999991</v>
      </c>
    </row>
    <row r="83" spans="1:7" x14ac:dyDescent="0.25">
      <c r="B83" s="13">
        <v>31.51</v>
      </c>
      <c r="C83" s="10">
        <v>1.0983348378900002</v>
      </c>
      <c r="D83" s="10">
        <f t="shared" si="2"/>
        <v>0.2319</v>
      </c>
      <c r="E83" s="10">
        <v>0.7681</v>
      </c>
      <c r="F83" s="10">
        <f t="shared" si="3"/>
        <v>0.22599999999999998</v>
      </c>
      <c r="G83" s="10">
        <v>0.77400000000000002</v>
      </c>
    </row>
    <row r="84" spans="1:7" x14ac:dyDescent="0.25">
      <c r="B84" s="13">
        <v>31.51</v>
      </c>
      <c r="C84" s="10">
        <v>1.0983348378900002</v>
      </c>
      <c r="D84" s="10">
        <f t="shared" si="2"/>
        <v>0.14950000000000008</v>
      </c>
      <c r="E84" s="10">
        <v>0.85049999999999992</v>
      </c>
      <c r="F84" s="10">
        <f t="shared" si="3"/>
        <v>0.1604000000000001</v>
      </c>
      <c r="G84" s="10">
        <v>0.8395999999999999</v>
      </c>
    </row>
    <row r="85" spans="1:7" x14ac:dyDescent="0.25">
      <c r="B85" s="13">
        <v>31.51</v>
      </c>
      <c r="C85" s="10">
        <v>1.0638610513900002</v>
      </c>
      <c r="D85" s="10">
        <f t="shared" si="2"/>
        <v>5.5900000000000061E-2</v>
      </c>
      <c r="E85" s="10">
        <v>0.94409999999999994</v>
      </c>
      <c r="F85" s="10">
        <f t="shared" si="3"/>
        <v>6.6599999999999993E-2</v>
      </c>
      <c r="G85" s="10">
        <v>0.93340000000000001</v>
      </c>
    </row>
    <row r="86" spans="1:7" x14ac:dyDescent="0.25">
      <c r="B86" s="13">
        <v>31.51</v>
      </c>
      <c r="C86" s="10">
        <v>1.06524000285</v>
      </c>
      <c r="D86" s="10">
        <f t="shared" si="2"/>
        <v>5.6400000000000006E-2</v>
      </c>
      <c r="E86" s="10">
        <v>0.94359999999999999</v>
      </c>
      <c r="F86" s="10">
        <f t="shared" si="3"/>
        <v>6.7500000000000004E-2</v>
      </c>
      <c r="G86" s="10">
        <v>0.9325</v>
      </c>
    </row>
    <row r="87" spans="1:7" x14ac:dyDescent="0.25">
      <c r="B87" s="13">
        <v>31.51</v>
      </c>
      <c r="C87" s="10">
        <v>1.0431767794900002</v>
      </c>
      <c r="D87" s="10">
        <f t="shared" si="2"/>
        <v>2.8100000000000014E-2</v>
      </c>
      <c r="E87" s="10">
        <v>0.97189999999999999</v>
      </c>
      <c r="F87" s="10">
        <f t="shared" si="3"/>
        <v>3.5499999999999976E-2</v>
      </c>
      <c r="G87" s="10">
        <v>0.96450000000000002</v>
      </c>
    </row>
    <row r="88" spans="1:7" x14ac:dyDescent="0.25">
      <c r="B88" s="13">
        <v>33.729999999999997</v>
      </c>
      <c r="C88" s="10">
        <v>0.72739689515000006</v>
      </c>
      <c r="D88" s="10">
        <f t="shared" si="2"/>
        <v>0.96919999999999995</v>
      </c>
      <c r="E88" s="10">
        <v>3.0800000000000001E-2</v>
      </c>
      <c r="F88" s="10">
        <f t="shared" si="3"/>
        <v>0.72070000000000001</v>
      </c>
      <c r="G88" s="10">
        <v>0.27929999999999999</v>
      </c>
    </row>
    <row r="89" spans="1:7" x14ac:dyDescent="0.25">
      <c r="B89" s="13">
        <v>33.729999999999997</v>
      </c>
      <c r="C89" s="10">
        <v>0.93423961415000001</v>
      </c>
      <c r="D89" s="10">
        <f t="shared" si="2"/>
        <v>0.92769999999999997</v>
      </c>
      <c r="E89" s="10">
        <v>7.2300000000000003E-2</v>
      </c>
      <c r="F89" s="10">
        <f t="shared" si="3"/>
        <v>0.58909999999999996</v>
      </c>
      <c r="G89" s="10">
        <v>0.41090000000000004</v>
      </c>
    </row>
    <row r="90" spans="1:7" x14ac:dyDescent="0.25">
      <c r="B90" s="13">
        <v>33.729999999999997</v>
      </c>
      <c r="C90" s="10">
        <v>1.103161168</v>
      </c>
      <c r="D90" s="10">
        <f t="shared" si="2"/>
        <v>0.87460000000000004</v>
      </c>
      <c r="E90" s="10">
        <v>0.12539999999999998</v>
      </c>
      <c r="F90" s="10">
        <f t="shared" si="3"/>
        <v>0.51700000000000002</v>
      </c>
      <c r="G90" s="10">
        <v>0.48299999999999998</v>
      </c>
    </row>
    <row r="91" spans="1:7" x14ac:dyDescent="0.25">
      <c r="B91" s="13">
        <v>33.729999999999997</v>
      </c>
      <c r="C91" s="10">
        <v>1.2582932072499999</v>
      </c>
      <c r="D91" s="10">
        <f t="shared" si="2"/>
        <v>0.75140000000000007</v>
      </c>
      <c r="E91" s="10">
        <v>0.24859999999999999</v>
      </c>
      <c r="F91" s="10">
        <f t="shared" si="3"/>
        <v>0.46299999999999997</v>
      </c>
      <c r="G91" s="10">
        <v>0.53700000000000003</v>
      </c>
    </row>
    <row r="92" spans="1:7" x14ac:dyDescent="0.25">
      <c r="B92" s="13">
        <v>33.729999999999997</v>
      </c>
      <c r="C92" s="10">
        <v>1.3651619454000001</v>
      </c>
      <c r="D92" s="10">
        <f t="shared" si="2"/>
        <v>0.57969999999999999</v>
      </c>
      <c r="E92" s="10">
        <v>0.42030000000000001</v>
      </c>
      <c r="F92" s="10">
        <f t="shared" si="3"/>
        <v>0.42179999999999995</v>
      </c>
      <c r="G92" s="10">
        <v>0.57820000000000005</v>
      </c>
    </row>
    <row r="93" spans="1:7" x14ac:dyDescent="0.25">
      <c r="B93" s="13">
        <v>33.729999999999997</v>
      </c>
      <c r="C93" s="10">
        <v>1.3823988386500001</v>
      </c>
      <c r="D93" s="10">
        <f t="shared" si="2"/>
        <v>0.52649999999999997</v>
      </c>
      <c r="E93" s="10">
        <v>0.47350000000000003</v>
      </c>
      <c r="F93" s="10">
        <f t="shared" si="3"/>
        <v>0.41010000000000002</v>
      </c>
      <c r="G93" s="10">
        <v>0.58989999999999998</v>
      </c>
    </row>
    <row r="94" spans="1:7" x14ac:dyDescent="0.25">
      <c r="B94" s="13">
        <v>33.729999999999997</v>
      </c>
      <c r="C94" s="10">
        <v>1.3844672658400001</v>
      </c>
      <c r="D94" s="10">
        <f t="shared" si="2"/>
        <v>0.52340000000000009</v>
      </c>
      <c r="E94" s="10">
        <v>0.47659999999999997</v>
      </c>
      <c r="F94" s="10">
        <f t="shared" si="3"/>
        <v>0.40859999999999996</v>
      </c>
      <c r="G94" s="10">
        <v>0.59140000000000004</v>
      </c>
    </row>
    <row r="95" spans="1:7" x14ac:dyDescent="0.25">
      <c r="B95" s="13">
        <v>33.729999999999997</v>
      </c>
      <c r="C95" s="10">
        <v>1.3892935959500001</v>
      </c>
      <c r="D95" s="10">
        <f t="shared" si="2"/>
        <v>0.51530000000000009</v>
      </c>
      <c r="E95" s="10">
        <v>0.48469999999999996</v>
      </c>
      <c r="F95" s="10">
        <f t="shared" si="3"/>
        <v>0.40620000000000001</v>
      </c>
      <c r="G95" s="10">
        <v>0.59379999999999999</v>
      </c>
    </row>
    <row r="96" spans="1:7" ht="15.75" thickBot="1" x14ac:dyDescent="0.3">
      <c r="A96" s="9"/>
      <c r="B96" s="17">
        <v>33.729999999999997</v>
      </c>
      <c r="C96" s="11">
        <v>1.3879146444900001</v>
      </c>
      <c r="D96" s="11">
        <f t="shared" si="2"/>
        <v>0.51400000000000001</v>
      </c>
      <c r="E96" s="11">
        <v>0.48599999999999999</v>
      </c>
      <c r="F96" s="11">
        <f t="shared" si="3"/>
        <v>0.40590000000000004</v>
      </c>
      <c r="G96" s="11">
        <v>0.59409999999999996</v>
      </c>
    </row>
    <row r="97" spans="1:7" x14ac:dyDescent="0.25">
      <c r="A97" s="18" t="s">
        <v>94</v>
      </c>
      <c r="B97" s="13">
        <v>26</v>
      </c>
      <c r="C97" s="10">
        <v>0.214809</v>
      </c>
      <c r="F97" s="10">
        <f t="shared" si="3"/>
        <v>0.36299999999999999</v>
      </c>
      <c r="G97" s="10">
        <v>0.63700000000000001</v>
      </c>
    </row>
    <row r="98" spans="1:7" x14ac:dyDescent="0.25">
      <c r="B98" s="13">
        <v>26</v>
      </c>
      <c r="C98" s="10">
        <v>0.22798125</v>
      </c>
      <c r="F98" s="10">
        <f t="shared" si="3"/>
        <v>0.34200000000000008</v>
      </c>
      <c r="G98" s="10">
        <v>0.65799999999999992</v>
      </c>
    </row>
    <row r="99" spans="1:7" x14ac:dyDescent="0.25">
      <c r="B99" s="13">
        <v>26</v>
      </c>
      <c r="C99" s="10">
        <v>0.28674975000000003</v>
      </c>
      <c r="F99" s="10">
        <f t="shared" si="3"/>
        <v>0.28099999999999992</v>
      </c>
      <c r="G99" s="10">
        <v>0.71900000000000008</v>
      </c>
    </row>
    <row r="100" spans="1:7" x14ac:dyDescent="0.25">
      <c r="B100" s="13">
        <v>26</v>
      </c>
      <c r="C100" s="10">
        <v>0.30701475</v>
      </c>
      <c r="D100" s="10">
        <f t="shared" ref="D100:D135" si="4">1-E100</f>
        <v>0.97760000000000002</v>
      </c>
      <c r="E100" s="10">
        <v>2.2400000000000003E-2</v>
      </c>
    </row>
    <row r="101" spans="1:7" x14ac:dyDescent="0.25">
      <c r="B101" s="13">
        <v>26</v>
      </c>
      <c r="C101" s="10">
        <v>0.34146525</v>
      </c>
      <c r="F101" s="10">
        <f t="shared" si="3"/>
        <v>0.24199999999999999</v>
      </c>
      <c r="G101" s="10">
        <v>0.75800000000000001</v>
      </c>
    </row>
    <row r="102" spans="1:7" x14ac:dyDescent="0.25">
      <c r="B102" s="13">
        <v>26</v>
      </c>
      <c r="C102" s="10">
        <v>0.36780974999999999</v>
      </c>
      <c r="D102" s="10">
        <f t="shared" si="4"/>
        <v>0.95909999999999995</v>
      </c>
      <c r="E102" s="10">
        <v>4.0899999999999999E-2</v>
      </c>
    </row>
    <row r="103" spans="1:7" x14ac:dyDescent="0.25">
      <c r="B103" s="13">
        <v>26</v>
      </c>
      <c r="C103" s="10">
        <v>0.38402175</v>
      </c>
      <c r="D103" s="10">
        <f t="shared" si="4"/>
        <v>0.9587</v>
      </c>
      <c r="E103" s="10">
        <v>4.1299999999999996E-2</v>
      </c>
    </row>
    <row r="104" spans="1:7" x14ac:dyDescent="0.25">
      <c r="B104" s="13">
        <v>26</v>
      </c>
      <c r="C104" s="10">
        <v>0.38807475000000002</v>
      </c>
      <c r="D104" s="10">
        <f t="shared" si="4"/>
        <v>0.95879999999999999</v>
      </c>
      <c r="E104" s="10">
        <v>4.1200000000000001E-2</v>
      </c>
    </row>
    <row r="105" spans="1:7" x14ac:dyDescent="0.25">
      <c r="B105" s="13">
        <v>26</v>
      </c>
      <c r="C105" s="10">
        <v>0.39212775</v>
      </c>
      <c r="D105" s="10">
        <f t="shared" si="4"/>
        <v>0.95309999999999995</v>
      </c>
      <c r="E105" s="10">
        <v>4.6900000000000004E-2</v>
      </c>
    </row>
    <row r="106" spans="1:7" x14ac:dyDescent="0.25">
      <c r="B106" s="13">
        <v>26</v>
      </c>
      <c r="C106" s="10">
        <v>0.40327350000000001</v>
      </c>
      <c r="F106" s="10">
        <f t="shared" si="3"/>
        <v>0.20499999999999996</v>
      </c>
      <c r="G106" s="10">
        <v>0.79500000000000004</v>
      </c>
    </row>
    <row r="107" spans="1:7" x14ac:dyDescent="0.25">
      <c r="B107" s="13">
        <v>26</v>
      </c>
      <c r="C107" s="10">
        <v>0.40529999999999999</v>
      </c>
      <c r="D107" s="10">
        <f t="shared" si="4"/>
        <v>0.23199999999999998</v>
      </c>
      <c r="E107" s="10">
        <v>0.76800000000000002</v>
      </c>
      <c r="F107" s="10">
        <f t="shared" si="3"/>
        <v>0.19900000000000007</v>
      </c>
      <c r="G107" s="10">
        <v>0.80099999999999993</v>
      </c>
    </row>
    <row r="108" spans="1:7" x14ac:dyDescent="0.25">
      <c r="B108" s="13">
        <v>26</v>
      </c>
      <c r="C108" s="10">
        <v>0.41137949999999995</v>
      </c>
      <c r="D108" s="10">
        <f t="shared" si="4"/>
        <v>0.18799999999999994</v>
      </c>
      <c r="E108" s="10">
        <v>0.81200000000000006</v>
      </c>
      <c r="F108" s="10">
        <f t="shared" si="3"/>
        <v>0.17299999999999993</v>
      </c>
      <c r="G108" s="10">
        <v>0.82700000000000007</v>
      </c>
    </row>
    <row r="109" spans="1:7" x14ac:dyDescent="0.25">
      <c r="B109" s="13">
        <v>26</v>
      </c>
      <c r="C109" s="10">
        <v>0.413406</v>
      </c>
      <c r="D109" s="10">
        <f t="shared" si="4"/>
        <v>0.17799999999999994</v>
      </c>
      <c r="E109" s="10">
        <v>0.82200000000000006</v>
      </c>
      <c r="F109" s="10">
        <f t="shared" si="3"/>
        <v>0.17900000000000005</v>
      </c>
      <c r="G109" s="10">
        <v>0.82099999999999995</v>
      </c>
    </row>
    <row r="110" spans="1:7" x14ac:dyDescent="0.25">
      <c r="B110" s="13">
        <v>26</v>
      </c>
      <c r="C110" s="10">
        <v>0.41137949999999995</v>
      </c>
      <c r="D110" s="10">
        <f t="shared" si="4"/>
        <v>0.15799999999999992</v>
      </c>
      <c r="E110" s="10">
        <v>0.84200000000000008</v>
      </c>
      <c r="F110" s="10">
        <f t="shared" si="3"/>
        <v>0.16000000000000003</v>
      </c>
      <c r="G110" s="10">
        <v>0.84</v>
      </c>
    </row>
    <row r="111" spans="1:7" x14ac:dyDescent="0.25">
      <c r="B111" s="13">
        <v>26</v>
      </c>
      <c r="C111" s="10">
        <v>0.41137949999999995</v>
      </c>
      <c r="D111" s="10">
        <f t="shared" si="4"/>
        <v>0.13700000000000001</v>
      </c>
      <c r="E111" s="10">
        <v>0.86299999999999999</v>
      </c>
      <c r="F111" s="10">
        <f t="shared" si="3"/>
        <v>0.14500000000000002</v>
      </c>
      <c r="G111" s="10">
        <v>0.85499999999999998</v>
      </c>
    </row>
    <row r="112" spans="1:7" x14ac:dyDescent="0.25">
      <c r="B112" s="13">
        <v>26</v>
      </c>
      <c r="C112" s="10">
        <v>0.40935300000000002</v>
      </c>
      <c r="D112" s="10">
        <f t="shared" si="4"/>
        <v>8.8499999999999912E-2</v>
      </c>
      <c r="E112" s="10">
        <v>0.91150000000000009</v>
      </c>
      <c r="F112" s="10">
        <f t="shared" si="3"/>
        <v>9.650000000000003E-2</v>
      </c>
      <c r="G112" s="10">
        <v>0.90349999999999997</v>
      </c>
    </row>
    <row r="113" spans="2:7" x14ac:dyDescent="0.25">
      <c r="B113" s="13">
        <v>28</v>
      </c>
      <c r="C113" s="10">
        <v>0.28877625000000001</v>
      </c>
      <c r="F113" s="10">
        <f t="shared" si="3"/>
        <v>0.497</v>
      </c>
      <c r="G113" s="10">
        <v>0.503</v>
      </c>
    </row>
    <row r="114" spans="2:7" x14ac:dyDescent="0.25">
      <c r="B114" s="13">
        <v>28</v>
      </c>
      <c r="C114" s="10">
        <v>0.35666399999999998</v>
      </c>
      <c r="F114" s="10">
        <f t="shared" si="3"/>
        <v>0.40900000000000003</v>
      </c>
      <c r="G114" s="10">
        <v>0.59099999999999997</v>
      </c>
    </row>
    <row r="115" spans="2:7" x14ac:dyDescent="0.25">
      <c r="B115" s="13">
        <v>28</v>
      </c>
      <c r="C115" s="10">
        <v>0.37794224999999998</v>
      </c>
      <c r="D115" s="10">
        <f t="shared" si="4"/>
        <v>0.98629999999999995</v>
      </c>
      <c r="E115" s="10">
        <v>1.37E-2</v>
      </c>
    </row>
    <row r="116" spans="2:7" x14ac:dyDescent="0.25">
      <c r="B116" s="13">
        <v>28</v>
      </c>
      <c r="C116" s="10">
        <v>0.44380349999999996</v>
      </c>
      <c r="F116" s="10">
        <f t="shared" ref="F116:F172" si="5">1-G116</f>
        <v>0.33499999999999996</v>
      </c>
      <c r="G116" s="10">
        <v>0.66500000000000004</v>
      </c>
    </row>
    <row r="117" spans="2:7" x14ac:dyDescent="0.25">
      <c r="B117" s="13">
        <v>28</v>
      </c>
      <c r="C117" s="10">
        <v>0.45697574999999996</v>
      </c>
      <c r="D117" s="10">
        <f t="shared" si="4"/>
        <v>0.96889999999999998</v>
      </c>
      <c r="E117" s="10">
        <v>3.1099999999999999E-2</v>
      </c>
    </row>
    <row r="118" spans="2:7" x14ac:dyDescent="0.25">
      <c r="B118" s="13">
        <v>28</v>
      </c>
      <c r="C118" s="10">
        <v>0.54310199999999997</v>
      </c>
      <c r="D118" s="10">
        <f t="shared" si="4"/>
        <v>0.93090000000000006</v>
      </c>
      <c r="E118" s="10">
        <v>6.9099999999999995E-2</v>
      </c>
    </row>
    <row r="119" spans="2:7" x14ac:dyDescent="0.25">
      <c r="B119" s="13">
        <v>28</v>
      </c>
      <c r="C119" s="10">
        <v>0.58363199999999993</v>
      </c>
      <c r="F119" s="10">
        <f t="shared" si="5"/>
        <v>0.28200000000000003</v>
      </c>
      <c r="G119" s="10">
        <v>0.71799999999999997</v>
      </c>
    </row>
    <row r="120" spans="2:7" x14ac:dyDescent="0.25">
      <c r="B120" s="13">
        <v>28</v>
      </c>
      <c r="C120" s="10">
        <v>0.58869824999999998</v>
      </c>
      <c r="D120" s="10">
        <f t="shared" si="4"/>
        <v>0.39900000000000002</v>
      </c>
      <c r="E120" s="10">
        <v>0.60099999999999998</v>
      </c>
      <c r="F120" s="10">
        <f t="shared" si="5"/>
        <v>0.26500000000000001</v>
      </c>
      <c r="G120" s="10">
        <v>0.73499999999999999</v>
      </c>
    </row>
    <row r="121" spans="2:7" x14ac:dyDescent="0.25">
      <c r="B121" s="13">
        <v>28</v>
      </c>
      <c r="C121" s="10">
        <v>0.59275124999999995</v>
      </c>
      <c r="D121" s="10">
        <f t="shared" si="4"/>
        <v>0.34900000000000009</v>
      </c>
      <c r="E121" s="10">
        <v>0.65099999999999991</v>
      </c>
      <c r="F121" s="10">
        <f t="shared" si="5"/>
        <v>0.26</v>
      </c>
      <c r="G121" s="10">
        <v>0.74</v>
      </c>
    </row>
    <row r="122" spans="2:7" x14ac:dyDescent="0.25">
      <c r="B122" s="13">
        <v>28</v>
      </c>
      <c r="C122" s="10">
        <v>0.59579099999999996</v>
      </c>
      <c r="D122" s="10">
        <f t="shared" si="4"/>
        <v>0.32599999999999996</v>
      </c>
      <c r="E122" s="10">
        <v>0.67400000000000004</v>
      </c>
      <c r="F122" s="10">
        <f t="shared" si="5"/>
        <v>0.25099999999999989</v>
      </c>
      <c r="G122" s="10">
        <v>0.74900000000000011</v>
      </c>
    </row>
    <row r="123" spans="2:7" x14ac:dyDescent="0.25">
      <c r="B123" s="13">
        <v>28</v>
      </c>
      <c r="C123" s="10">
        <v>0.60085725000000001</v>
      </c>
      <c r="D123" s="10">
        <f t="shared" si="4"/>
        <v>0.20200000000000007</v>
      </c>
      <c r="E123" s="10">
        <v>0.79799999999999993</v>
      </c>
      <c r="F123" s="10">
        <f t="shared" si="5"/>
        <v>0.19499999999999995</v>
      </c>
      <c r="G123" s="10">
        <v>0.80500000000000005</v>
      </c>
    </row>
    <row r="124" spans="2:7" x14ac:dyDescent="0.25">
      <c r="B124" s="13">
        <v>28</v>
      </c>
      <c r="C124" s="10">
        <v>0.60288375000000005</v>
      </c>
      <c r="D124" s="10">
        <f t="shared" si="4"/>
        <v>0.16000000000000003</v>
      </c>
      <c r="E124" s="10">
        <v>0.84</v>
      </c>
      <c r="F124" s="10">
        <f t="shared" si="5"/>
        <v>0.16599999999999993</v>
      </c>
      <c r="G124" s="10">
        <v>0.83400000000000007</v>
      </c>
    </row>
    <row r="125" spans="2:7" x14ac:dyDescent="0.25">
      <c r="B125" s="13">
        <v>28</v>
      </c>
      <c r="C125" s="10">
        <v>0.58768500000000001</v>
      </c>
      <c r="F125" s="10">
        <f t="shared" si="5"/>
        <v>7.2599999999999998E-2</v>
      </c>
      <c r="G125" s="10">
        <v>0.9274</v>
      </c>
    </row>
    <row r="126" spans="2:7" x14ac:dyDescent="0.25">
      <c r="B126" s="13">
        <v>28</v>
      </c>
      <c r="C126" s="10">
        <v>0.58059225000000003</v>
      </c>
      <c r="D126" s="10">
        <f t="shared" si="4"/>
        <v>4.2200000000000015E-2</v>
      </c>
      <c r="E126" s="10">
        <v>0.95779999999999998</v>
      </c>
      <c r="F126" s="10">
        <f t="shared" si="5"/>
        <v>5.7200000000000029E-2</v>
      </c>
      <c r="G126" s="10">
        <v>0.94279999999999997</v>
      </c>
    </row>
    <row r="127" spans="2:7" x14ac:dyDescent="0.25">
      <c r="B127" s="13">
        <v>30</v>
      </c>
      <c r="C127" s="10">
        <v>0.22595474999999998</v>
      </c>
      <c r="F127" s="10">
        <f t="shared" si="5"/>
        <v>0.96930000000000005</v>
      </c>
      <c r="G127" s="10">
        <v>3.0699999999999998E-2</v>
      </c>
    </row>
    <row r="128" spans="2:7" x14ac:dyDescent="0.25">
      <c r="B128" s="13">
        <v>30</v>
      </c>
      <c r="C128" s="10">
        <v>0.32626650000000001</v>
      </c>
      <c r="F128" s="10">
        <f t="shared" si="5"/>
        <v>0.68399999999999994</v>
      </c>
      <c r="G128" s="10">
        <v>0.316</v>
      </c>
    </row>
    <row r="129" spans="2:7" x14ac:dyDescent="0.25">
      <c r="B129" s="13">
        <v>30</v>
      </c>
      <c r="C129" s="10">
        <v>0.41239275000000003</v>
      </c>
      <c r="F129" s="10">
        <f t="shared" si="5"/>
        <v>0.58499999999999996</v>
      </c>
      <c r="G129" s="10">
        <v>0.41499999999999998</v>
      </c>
    </row>
    <row r="130" spans="2:7" x14ac:dyDescent="0.25">
      <c r="B130" s="13">
        <v>30</v>
      </c>
      <c r="C130" s="10">
        <v>0.51169124999999993</v>
      </c>
      <c r="D130" s="10">
        <f t="shared" si="4"/>
        <v>0.97170000000000001</v>
      </c>
      <c r="E130" s="10">
        <v>2.8300000000000002E-2</v>
      </c>
      <c r="F130" s="10">
        <f t="shared" si="5"/>
        <v>0.49299999999999999</v>
      </c>
      <c r="G130" s="10">
        <v>0.50700000000000001</v>
      </c>
    </row>
    <row r="131" spans="2:7" x14ac:dyDescent="0.25">
      <c r="B131" s="13">
        <v>30</v>
      </c>
      <c r="C131" s="10">
        <v>0.60896324999999996</v>
      </c>
      <c r="D131" s="10">
        <f t="shared" si="4"/>
        <v>0.94499999999999995</v>
      </c>
      <c r="E131" s="10">
        <v>5.5E-2</v>
      </c>
      <c r="F131" s="10">
        <f t="shared" si="5"/>
        <v>0.41200000000000003</v>
      </c>
      <c r="G131" s="10">
        <v>0.58799999999999997</v>
      </c>
    </row>
    <row r="132" spans="2:7" x14ac:dyDescent="0.25">
      <c r="B132" s="13">
        <v>30</v>
      </c>
      <c r="C132" s="10">
        <v>0.67887750000000002</v>
      </c>
      <c r="F132" s="10">
        <f t="shared" si="5"/>
        <v>0.38600000000000001</v>
      </c>
      <c r="G132" s="10">
        <v>0.61399999999999999</v>
      </c>
    </row>
    <row r="133" spans="2:7" x14ac:dyDescent="0.25">
      <c r="B133" s="13">
        <v>30</v>
      </c>
      <c r="C133" s="10">
        <v>0.69306299999999998</v>
      </c>
      <c r="D133" s="10">
        <f t="shared" si="4"/>
        <v>0.91070000000000007</v>
      </c>
      <c r="E133" s="10">
        <v>8.929999999999999E-2</v>
      </c>
    </row>
    <row r="134" spans="2:7" x14ac:dyDescent="0.25">
      <c r="B134" s="13">
        <v>30</v>
      </c>
      <c r="C134" s="10">
        <v>0.6991425</v>
      </c>
      <c r="F134" s="10">
        <f t="shared" si="5"/>
        <v>0.36899999999999999</v>
      </c>
      <c r="G134" s="10">
        <v>0.63100000000000001</v>
      </c>
    </row>
    <row r="135" spans="2:7" x14ac:dyDescent="0.25">
      <c r="B135" s="13">
        <v>30</v>
      </c>
      <c r="C135" s="10">
        <v>0.70218225000000001</v>
      </c>
      <c r="D135" s="10">
        <f t="shared" si="4"/>
        <v>0.90629999999999999</v>
      </c>
      <c r="E135" s="10">
        <v>9.3699999999999992E-2</v>
      </c>
    </row>
    <row r="136" spans="2:7" x14ac:dyDescent="0.25">
      <c r="B136" s="13">
        <v>30</v>
      </c>
      <c r="C136" s="10">
        <v>0.76804349999999999</v>
      </c>
      <c r="F136" s="10">
        <f t="shared" si="5"/>
        <v>0.33700000000000008</v>
      </c>
      <c r="G136" s="10">
        <v>0.66299999999999992</v>
      </c>
    </row>
    <row r="137" spans="2:7" x14ac:dyDescent="0.25">
      <c r="B137" s="13">
        <v>30</v>
      </c>
      <c r="C137" s="10">
        <v>0.78020250000000002</v>
      </c>
      <c r="D137" s="10">
        <f t="shared" ref="D137:D178" si="6">1-E137</f>
        <v>0.76400000000000001</v>
      </c>
      <c r="E137" s="10">
        <v>0.23600000000000002</v>
      </c>
    </row>
    <row r="138" spans="2:7" x14ac:dyDescent="0.25">
      <c r="B138" s="13">
        <v>30</v>
      </c>
      <c r="C138" s="10">
        <v>0.78425549999999999</v>
      </c>
      <c r="F138" s="10">
        <f t="shared" si="5"/>
        <v>0.32599999999999996</v>
      </c>
      <c r="G138" s="10">
        <v>0.67400000000000004</v>
      </c>
    </row>
    <row r="139" spans="2:7" x14ac:dyDescent="0.25">
      <c r="B139" s="13">
        <v>30</v>
      </c>
      <c r="C139" s="10">
        <v>0.79844099999999996</v>
      </c>
      <c r="D139" s="10">
        <f t="shared" si="6"/>
        <v>0.56000000000000005</v>
      </c>
      <c r="E139" s="10">
        <v>0.44</v>
      </c>
    </row>
    <row r="140" spans="2:7" x14ac:dyDescent="0.25">
      <c r="B140" s="13">
        <v>30</v>
      </c>
      <c r="C140" s="10">
        <v>0.82377225000000009</v>
      </c>
      <c r="D140" s="10">
        <f t="shared" si="6"/>
        <v>0.373</v>
      </c>
      <c r="E140" s="10">
        <v>0.627</v>
      </c>
      <c r="F140" s="10">
        <f t="shared" si="5"/>
        <v>0.30400000000000005</v>
      </c>
      <c r="G140" s="10">
        <v>0.69599999999999995</v>
      </c>
    </row>
    <row r="141" spans="2:7" x14ac:dyDescent="0.25">
      <c r="B141" s="13">
        <v>30</v>
      </c>
      <c r="C141" s="10">
        <v>0.84910350000000001</v>
      </c>
      <c r="D141" s="10">
        <f t="shared" si="6"/>
        <v>0.28400000000000003</v>
      </c>
      <c r="E141" s="10">
        <v>0.71599999999999997</v>
      </c>
      <c r="F141" s="10">
        <f t="shared" si="5"/>
        <v>0.25700000000000001</v>
      </c>
      <c r="G141" s="10">
        <v>0.74299999999999999</v>
      </c>
    </row>
    <row r="142" spans="2:7" x14ac:dyDescent="0.25">
      <c r="B142" s="13">
        <v>30</v>
      </c>
      <c r="C142" s="10">
        <v>0.85518299999999992</v>
      </c>
      <c r="D142" s="10">
        <f t="shared" si="6"/>
        <v>0.21099999999999997</v>
      </c>
      <c r="E142" s="10">
        <v>0.78900000000000003</v>
      </c>
      <c r="F142" s="10">
        <f t="shared" si="5"/>
        <v>0.21200000000000008</v>
      </c>
      <c r="G142" s="10">
        <v>0.78799999999999992</v>
      </c>
    </row>
    <row r="143" spans="2:7" x14ac:dyDescent="0.25">
      <c r="B143" s="13">
        <v>30</v>
      </c>
      <c r="C143" s="10">
        <v>0.85619624999999988</v>
      </c>
      <c r="D143" s="10">
        <f t="shared" si="6"/>
        <v>0.16900000000000004</v>
      </c>
      <c r="E143" s="10">
        <v>0.83099999999999996</v>
      </c>
      <c r="F143" s="10">
        <f t="shared" si="5"/>
        <v>0.18000000000000005</v>
      </c>
      <c r="G143" s="10">
        <v>0.82</v>
      </c>
    </row>
    <row r="144" spans="2:7" x14ac:dyDescent="0.25">
      <c r="B144" s="13">
        <v>30</v>
      </c>
      <c r="C144" s="10">
        <v>0.85416974999999995</v>
      </c>
      <c r="D144" s="10">
        <f t="shared" si="6"/>
        <v>0.14599999999999991</v>
      </c>
      <c r="E144" s="10">
        <v>0.85400000000000009</v>
      </c>
      <c r="F144" s="10">
        <f t="shared" si="5"/>
        <v>0.16000000000000003</v>
      </c>
      <c r="G144" s="10">
        <v>0.84</v>
      </c>
    </row>
    <row r="145" spans="2:7" x14ac:dyDescent="0.25">
      <c r="B145" s="13">
        <v>30</v>
      </c>
      <c r="C145" s="10">
        <v>0.85011675000000009</v>
      </c>
      <c r="D145" s="10">
        <f t="shared" si="6"/>
        <v>0.128</v>
      </c>
      <c r="E145" s="10">
        <v>0.872</v>
      </c>
      <c r="F145" s="10">
        <f t="shared" si="5"/>
        <v>0.14500000000000002</v>
      </c>
      <c r="G145" s="10">
        <v>0.85499999999999998</v>
      </c>
    </row>
    <row r="146" spans="2:7" x14ac:dyDescent="0.25">
      <c r="B146" s="13">
        <v>30</v>
      </c>
      <c r="C146" s="10">
        <v>0.83795774999999995</v>
      </c>
      <c r="D146" s="10">
        <f t="shared" si="6"/>
        <v>8.6299999999999932E-2</v>
      </c>
      <c r="E146" s="10">
        <v>0.91370000000000007</v>
      </c>
    </row>
    <row r="147" spans="2:7" x14ac:dyDescent="0.25">
      <c r="B147" s="13">
        <v>30</v>
      </c>
      <c r="C147" s="10">
        <v>0.83593125000000001</v>
      </c>
      <c r="F147" s="10">
        <f t="shared" si="5"/>
        <v>0.10199999999999998</v>
      </c>
      <c r="G147" s="10">
        <v>0.89800000000000002</v>
      </c>
    </row>
    <row r="148" spans="2:7" x14ac:dyDescent="0.25">
      <c r="B148" s="13">
        <v>30</v>
      </c>
      <c r="C148" s="10">
        <v>0.83086499999999996</v>
      </c>
      <c r="D148" s="10">
        <f t="shared" si="6"/>
        <v>6.2799999999999967E-2</v>
      </c>
      <c r="E148" s="10">
        <v>0.93720000000000003</v>
      </c>
    </row>
    <row r="149" spans="2:7" x14ac:dyDescent="0.25">
      <c r="B149" s="13">
        <v>30</v>
      </c>
      <c r="C149" s="10">
        <v>0.82883849999999992</v>
      </c>
      <c r="F149" s="10">
        <f t="shared" si="5"/>
        <v>7.8199999999999936E-2</v>
      </c>
      <c r="G149" s="10">
        <v>0.92180000000000006</v>
      </c>
    </row>
    <row r="150" spans="2:7" x14ac:dyDescent="0.25">
      <c r="B150" s="13">
        <v>34.659999999999997</v>
      </c>
      <c r="C150" s="10">
        <v>0.74473875</v>
      </c>
      <c r="D150" s="10">
        <f t="shared" si="6"/>
        <v>0.98219999999999996</v>
      </c>
      <c r="E150" s="10">
        <v>1.78E-2</v>
      </c>
      <c r="F150" s="10">
        <f t="shared" si="5"/>
        <v>0.82199999999999995</v>
      </c>
      <c r="G150" s="10">
        <v>0.17800000000000002</v>
      </c>
    </row>
    <row r="151" spans="2:7" x14ac:dyDescent="0.25">
      <c r="B151" s="13">
        <v>34.659999999999997</v>
      </c>
      <c r="C151" s="10">
        <v>0.8004675</v>
      </c>
      <c r="D151" s="10">
        <f t="shared" si="6"/>
        <v>0.97570000000000001</v>
      </c>
      <c r="E151" s="10">
        <v>2.4300000000000002E-2</v>
      </c>
      <c r="F151" s="10">
        <f t="shared" si="5"/>
        <v>0.78800000000000003</v>
      </c>
      <c r="G151" s="10">
        <v>0.21199999999999999</v>
      </c>
    </row>
    <row r="152" spans="2:7" x14ac:dyDescent="0.25">
      <c r="B152" s="13">
        <v>34.659999999999997</v>
      </c>
      <c r="C152" s="10">
        <v>0.98386575000000009</v>
      </c>
      <c r="F152" s="10">
        <f t="shared" si="5"/>
        <v>0.65900000000000003</v>
      </c>
      <c r="G152" s="10">
        <v>0.34100000000000003</v>
      </c>
    </row>
    <row r="153" spans="2:7" x14ac:dyDescent="0.25">
      <c r="B153" s="13">
        <v>34.659999999999997</v>
      </c>
      <c r="C153" s="10">
        <v>0.98386575000000009</v>
      </c>
      <c r="D153" s="10">
        <f t="shared" si="6"/>
        <v>0.94399999999999995</v>
      </c>
      <c r="E153" s="10">
        <v>5.5999999999999994E-2</v>
      </c>
      <c r="F153" s="10">
        <f t="shared" si="5"/>
        <v>0.65200000000000002</v>
      </c>
      <c r="G153" s="10">
        <v>0.34799999999999998</v>
      </c>
    </row>
    <row r="154" spans="2:7" x14ac:dyDescent="0.25">
      <c r="B154" s="13">
        <v>34.659999999999997</v>
      </c>
      <c r="C154" s="10">
        <v>1.0233824999999999</v>
      </c>
      <c r="F154" s="10">
        <f t="shared" si="5"/>
        <v>0.63700000000000001</v>
      </c>
      <c r="G154" s="10">
        <v>0.36299999999999999</v>
      </c>
    </row>
    <row r="155" spans="2:7" x14ac:dyDescent="0.25">
      <c r="B155" s="13">
        <v>34.659999999999997</v>
      </c>
      <c r="C155" s="10">
        <v>1.17537</v>
      </c>
      <c r="D155" s="10">
        <f t="shared" si="6"/>
        <v>0.89</v>
      </c>
      <c r="E155" s="10">
        <v>0.11</v>
      </c>
      <c r="F155" s="10">
        <f t="shared" si="5"/>
        <v>0.58200000000000007</v>
      </c>
      <c r="G155" s="10">
        <v>0.41799999999999998</v>
      </c>
    </row>
    <row r="156" spans="2:7" x14ac:dyDescent="0.25">
      <c r="B156" s="13">
        <v>34.659999999999997</v>
      </c>
      <c r="C156" s="10">
        <v>1.3070925</v>
      </c>
      <c r="D156" s="10">
        <f t="shared" si="6"/>
        <v>0.80200000000000005</v>
      </c>
      <c r="E156" s="10">
        <v>0.19800000000000001</v>
      </c>
      <c r="F156" s="10">
        <f t="shared" si="5"/>
        <v>0.54</v>
      </c>
      <c r="G156" s="10">
        <v>0.46</v>
      </c>
    </row>
    <row r="157" spans="2:7" x14ac:dyDescent="0.25">
      <c r="B157" s="13">
        <v>34.659999999999997</v>
      </c>
      <c r="C157" s="10">
        <v>1.4489475000000001</v>
      </c>
      <c r="D157" s="10">
        <f t="shared" si="6"/>
        <v>0.69300000000000006</v>
      </c>
      <c r="E157" s="10">
        <v>0.307</v>
      </c>
      <c r="F157" s="10">
        <f t="shared" si="5"/>
        <v>0.49299999999999999</v>
      </c>
      <c r="G157" s="10">
        <v>0.50700000000000001</v>
      </c>
    </row>
    <row r="158" spans="2:7" x14ac:dyDescent="0.25">
      <c r="B158" s="13">
        <v>34.659999999999997</v>
      </c>
      <c r="C158" s="10">
        <v>1.4894775</v>
      </c>
      <c r="F158" s="10">
        <f t="shared" si="5"/>
        <v>0.48399999999999999</v>
      </c>
      <c r="G158" s="10">
        <v>0.51600000000000001</v>
      </c>
    </row>
    <row r="159" spans="2:7" x14ac:dyDescent="0.25">
      <c r="B159" s="13">
        <v>34.659999999999997</v>
      </c>
      <c r="C159" s="10">
        <v>1.560405</v>
      </c>
      <c r="D159" s="10">
        <f t="shared" si="6"/>
        <v>0.56699999999999995</v>
      </c>
      <c r="E159" s="10">
        <v>0.433</v>
      </c>
      <c r="F159" s="10">
        <f t="shared" si="5"/>
        <v>0.45899999999999996</v>
      </c>
      <c r="G159" s="10">
        <v>0.54100000000000004</v>
      </c>
    </row>
    <row r="160" spans="2:7" x14ac:dyDescent="0.25">
      <c r="B160" s="13">
        <v>34.659999999999997</v>
      </c>
      <c r="C160" s="10">
        <v>1.600935</v>
      </c>
      <c r="D160" s="10">
        <f t="shared" si="6"/>
        <v>0.47799999999999998</v>
      </c>
      <c r="E160" s="10">
        <v>0.52200000000000002</v>
      </c>
      <c r="F160" s="10">
        <f t="shared" si="5"/>
        <v>0.43999999999999995</v>
      </c>
      <c r="G160" s="10">
        <v>0.56000000000000005</v>
      </c>
    </row>
    <row r="161" spans="2:7" x14ac:dyDescent="0.25">
      <c r="B161" s="13">
        <v>37.64</v>
      </c>
      <c r="C161" s="10">
        <v>1.155105</v>
      </c>
      <c r="D161" s="10">
        <f t="shared" si="6"/>
        <v>0.98180000000000001</v>
      </c>
      <c r="E161" s="10">
        <v>1.8200000000000001E-2</v>
      </c>
      <c r="F161" s="10">
        <f t="shared" si="5"/>
        <v>0.89400000000000002</v>
      </c>
      <c r="G161" s="10">
        <v>0.106</v>
      </c>
    </row>
    <row r="162" spans="2:7" x14ac:dyDescent="0.25">
      <c r="B162" s="13">
        <v>37.64</v>
      </c>
      <c r="C162" s="10">
        <v>1.3273575</v>
      </c>
      <c r="D162" s="10">
        <f t="shared" si="6"/>
        <v>0.95609999999999995</v>
      </c>
      <c r="E162" s="10">
        <v>4.3899999999999995E-2</v>
      </c>
      <c r="F162" s="10">
        <f t="shared" si="5"/>
        <v>0.81</v>
      </c>
      <c r="G162" s="10">
        <v>0.19</v>
      </c>
    </row>
    <row r="163" spans="2:7" x14ac:dyDescent="0.25">
      <c r="B163" s="13">
        <v>37.64</v>
      </c>
      <c r="C163" s="10">
        <v>1.398285</v>
      </c>
      <c r="F163" s="10">
        <f t="shared" si="5"/>
        <v>0.77700000000000002</v>
      </c>
      <c r="G163" s="10">
        <v>0.223</v>
      </c>
    </row>
    <row r="164" spans="2:7" x14ac:dyDescent="0.25">
      <c r="B164" s="13">
        <v>37.64</v>
      </c>
      <c r="C164" s="10">
        <v>1.5401399999999998</v>
      </c>
      <c r="F164" s="10">
        <f t="shared" si="5"/>
        <v>0.72599999999999998</v>
      </c>
      <c r="G164" s="10">
        <v>0.27399999999999997</v>
      </c>
    </row>
    <row r="165" spans="2:7" x14ac:dyDescent="0.25">
      <c r="B165" s="13">
        <v>37.64</v>
      </c>
      <c r="C165" s="10">
        <v>1.6212</v>
      </c>
      <c r="D165" s="10">
        <f t="shared" si="6"/>
        <v>0.88900000000000001</v>
      </c>
      <c r="E165" s="10">
        <v>0.111</v>
      </c>
      <c r="F165" s="10">
        <f t="shared" si="5"/>
        <v>0.69399999999999995</v>
      </c>
      <c r="G165" s="10">
        <v>0.30599999999999999</v>
      </c>
    </row>
    <row r="166" spans="2:7" x14ac:dyDescent="0.25">
      <c r="B166" s="13">
        <v>37.64</v>
      </c>
      <c r="C166" s="10">
        <v>1.803585</v>
      </c>
      <c r="D166" s="10">
        <f t="shared" si="6"/>
        <v>0.82199999999999995</v>
      </c>
      <c r="E166" s="10">
        <v>0.17800000000000002</v>
      </c>
      <c r="F166" s="10">
        <f t="shared" si="5"/>
        <v>0.65</v>
      </c>
      <c r="G166" s="10">
        <v>0.35</v>
      </c>
    </row>
    <row r="167" spans="2:7" x14ac:dyDescent="0.25">
      <c r="B167" s="13">
        <v>37.64</v>
      </c>
      <c r="C167" s="10">
        <v>1.9049100000000001</v>
      </c>
      <c r="D167" s="10">
        <f t="shared" si="6"/>
        <v>0.79100000000000004</v>
      </c>
      <c r="E167" s="10">
        <v>0.20899999999999999</v>
      </c>
      <c r="F167" s="10">
        <f t="shared" si="5"/>
        <v>0.63600000000000001</v>
      </c>
      <c r="G167" s="10">
        <v>0.36399999999999999</v>
      </c>
    </row>
    <row r="168" spans="2:7" x14ac:dyDescent="0.25">
      <c r="B168" s="13">
        <v>37.64</v>
      </c>
      <c r="C168" s="10">
        <v>2.1075599999999999</v>
      </c>
      <c r="D168" s="10">
        <f t="shared" si="6"/>
        <v>0.65</v>
      </c>
      <c r="E168" s="10">
        <v>0.35</v>
      </c>
      <c r="F168" s="10">
        <f t="shared" si="5"/>
        <v>0.60200000000000009</v>
      </c>
      <c r="G168" s="10">
        <v>0.39799999999999996</v>
      </c>
    </row>
    <row r="169" spans="2:7" x14ac:dyDescent="0.25">
      <c r="B169" s="13">
        <v>39.57</v>
      </c>
      <c r="C169" s="10">
        <v>1.6515975000000001</v>
      </c>
      <c r="D169" s="10">
        <f t="shared" si="6"/>
        <v>0.95720000000000005</v>
      </c>
      <c r="E169" s="10">
        <v>4.2800000000000005E-2</v>
      </c>
      <c r="F169" s="10">
        <f t="shared" si="5"/>
        <v>0.86099999999999999</v>
      </c>
      <c r="G169" s="10">
        <v>0.13900000000000001</v>
      </c>
    </row>
    <row r="170" spans="2:7" x14ac:dyDescent="0.25">
      <c r="B170" s="13">
        <v>39.57</v>
      </c>
      <c r="C170" s="10">
        <v>1.7022600000000001</v>
      </c>
      <c r="D170" s="10">
        <f t="shared" si="6"/>
        <v>0.94969999999999999</v>
      </c>
      <c r="E170" s="10">
        <v>5.0300000000000004E-2</v>
      </c>
      <c r="F170" s="10">
        <f t="shared" si="5"/>
        <v>0.84899999999999998</v>
      </c>
      <c r="G170" s="10">
        <v>0.151</v>
      </c>
    </row>
    <row r="171" spans="2:7" x14ac:dyDescent="0.25">
      <c r="B171" s="13">
        <v>39.57</v>
      </c>
      <c r="C171" s="10">
        <v>1.9049100000000001</v>
      </c>
      <c r="D171" s="10">
        <f t="shared" si="6"/>
        <v>0.91039999999999999</v>
      </c>
      <c r="E171" s="10">
        <v>8.9600000000000013E-2</v>
      </c>
      <c r="F171" s="10">
        <f t="shared" si="5"/>
        <v>0.79</v>
      </c>
      <c r="G171" s="10">
        <v>0.21</v>
      </c>
    </row>
    <row r="172" spans="2:7" x14ac:dyDescent="0.25">
      <c r="B172" s="13">
        <v>39.57</v>
      </c>
      <c r="C172" s="10">
        <v>2.1278250000000001</v>
      </c>
      <c r="D172" s="10">
        <f t="shared" si="6"/>
        <v>0.84099999999999997</v>
      </c>
      <c r="E172" s="10">
        <v>0.159</v>
      </c>
      <c r="F172" s="10">
        <f t="shared" si="5"/>
        <v>0.745</v>
      </c>
      <c r="G172" s="10">
        <v>0.255</v>
      </c>
    </row>
    <row r="173" spans="2:7" x14ac:dyDescent="0.25">
      <c r="B173" s="13">
        <v>39.57</v>
      </c>
      <c r="C173" s="10">
        <v>2.168355</v>
      </c>
      <c r="D173" s="10">
        <f t="shared" si="6"/>
        <v>0.83099999999999996</v>
      </c>
      <c r="E173" s="10">
        <v>0.16899999999999998</v>
      </c>
      <c r="F173" s="10">
        <f t="shared" ref="F173:F178" si="7">1-G173</f>
        <v>0.73799999999999999</v>
      </c>
      <c r="G173" s="10">
        <v>0.26200000000000001</v>
      </c>
    </row>
    <row r="174" spans="2:7" x14ac:dyDescent="0.25">
      <c r="B174" s="13">
        <v>42.5</v>
      </c>
      <c r="C174" s="10">
        <v>2.1886200000000002</v>
      </c>
      <c r="D174" s="10">
        <f t="shared" si="6"/>
        <v>0.98240000000000005</v>
      </c>
      <c r="E174" s="10">
        <v>1.7600000000000001E-2</v>
      </c>
      <c r="F174" s="10">
        <f t="shared" si="7"/>
        <v>0.96309999999999996</v>
      </c>
      <c r="G174" s="10">
        <v>3.6900000000000002E-2</v>
      </c>
    </row>
    <row r="175" spans="2:7" x14ac:dyDescent="0.25">
      <c r="B175" s="13">
        <v>42.5</v>
      </c>
      <c r="C175" s="10">
        <v>2.39127</v>
      </c>
      <c r="F175" s="10">
        <f t="shared" si="7"/>
        <v>0.91830000000000001</v>
      </c>
      <c r="G175" s="10">
        <v>8.1699999999999995E-2</v>
      </c>
    </row>
    <row r="176" spans="2:7" x14ac:dyDescent="0.25">
      <c r="B176" s="13">
        <v>42.5</v>
      </c>
      <c r="C176" s="10">
        <v>2.4115350000000002</v>
      </c>
      <c r="D176" s="10">
        <f t="shared" si="6"/>
        <v>0.94889999999999997</v>
      </c>
      <c r="E176" s="10">
        <v>5.1100000000000007E-2</v>
      </c>
    </row>
    <row r="177" spans="1:7" x14ac:dyDescent="0.25">
      <c r="B177" s="13">
        <v>42.5</v>
      </c>
      <c r="C177" s="10">
        <v>2.4621974999999998</v>
      </c>
      <c r="D177" s="10">
        <f t="shared" si="6"/>
        <v>0.93730000000000002</v>
      </c>
      <c r="E177" s="10">
        <v>6.2699999999999992E-2</v>
      </c>
      <c r="F177" s="10">
        <f t="shared" si="7"/>
        <v>0.90800000000000003</v>
      </c>
      <c r="G177" s="10">
        <v>9.1999999999999998E-2</v>
      </c>
    </row>
    <row r="178" spans="1:7" ht="15.75" thickBot="1" x14ac:dyDescent="0.3">
      <c r="A178" s="9"/>
      <c r="B178" s="17">
        <v>42.5</v>
      </c>
      <c r="C178" s="11">
        <v>2.5128599999999999</v>
      </c>
      <c r="D178" s="11">
        <f t="shared" si="6"/>
        <v>0.93069999999999997</v>
      </c>
      <c r="E178" s="11">
        <v>6.93E-2</v>
      </c>
      <c r="F178" s="11">
        <f t="shared" si="7"/>
        <v>0.90670000000000006</v>
      </c>
      <c r="G178" s="11">
        <v>9.3299999999999994E-2</v>
      </c>
    </row>
    <row r="179" spans="1:7" x14ac:dyDescent="0.25">
      <c r="A179" s="18" t="s">
        <v>95</v>
      </c>
      <c r="B179" s="13">
        <v>25.94</v>
      </c>
      <c r="C179" s="10">
        <v>6.8794342094399996E-2</v>
      </c>
      <c r="D179" s="10">
        <f t="shared" ref="D179:D259" si="8">1-E179</f>
        <v>0.999</v>
      </c>
      <c r="E179" s="10">
        <v>1E-3</v>
      </c>
    </row>
    <row r="180" spans="1:7" x14ac:dyDescent="0.25">
      <c r="B180" s="13">
        <v>25.67</v>
      </c>
      <c r="C180" s="10">
        <v>7.2127401304399999E-2</v>
      </c>
      <c r="D180" s="10">
        <f t="shared" si="8"/>
        <v>0.999</v>
      </c>
      <c r="E180" s="10">
        <v>1E-3</v>
      </c>
    </row>
    <row r="181" spans="1:7" x14ac:dyDescent="0.25">
      <c r="B181" s="13">
        <v>25.26</v>
      </c>
      <c r="C181" s="10">
        <v>6.3194802621600002E-2</v>
      </c>
      <c r="D181" s="10">
        <f t="shared" si="8"/>
        <v>0.999</v>
      </c>
      <c r="E181" s="10">
        <v>1E-3</v>
      </c>
    </row>
    <row r="182" spans="1:7" x14ac:dyDescent="0.25">
      <c r="B182" s="13">
        <v>25.19</v>
      </c>
      <c r="C182" s="10">
        <v>6.1994901305999994E-2</v>
      </c>
      <c r="D182" s="10">
        <f t="shared" si="8"/>
        <v>0.999</v>
      </c>
      <c r="E182" s="10">
        <v>1E-3</v>
      </c>
    </row>
    <row r="183" spans="1:7" x14ac:dyDescent="0.25">
      <c r="B183" s="13">
        <v>25.18</v>
      </c>
      <c r="C183" s="10">
        <v>6.1861578937599998E-2</v>
      </c>
      <c r="D183" s="10">
        <f t="shared" si="8"/>
        <v>0.999</v>
      </c>
      <c r="E183" s="10">
        <v>1E-3</v>
      </c>
    </row>
    <row r="184" spans="1:7" x14ac:dyDescent="0.25">
      <c r="B184" s="13">
        <v>25</v>
      </c>
      <c r="C184" s="10">
        <v>5.8395197359199999E-2</v>
      </c>
      <c r="D184" s="10">
        <f t="shared" si="8"/>
        <v>0.999</v>
      </c>
      <c r="E184" s="10">
        <v>1E-3</v>
      </c>
    </row>
    <row r="185" spans="1:7" x14ac:dyDescent="0.25">
      <c r="B185" s="13">
        <v>25</v>
      </c>
      <c r="C185" s="10">
        <v>5.78619078856E-2</v>
      </c>
      <c r="D185" s="10">
        <f t="shared" si="8"/>
        <v>0.999</v>
      </c>
      <c r="E185" s="10">
        <v>1E-3</v>
      </c>
    </row>
    <row r="186" spans="1:7" x14ac:dyDescent="0.25">
      <c r="B186" s="13">
        <v>24.88</v>
      </c>
      <c r="C186" s="10">
        <v>5.6128717096400001E-2</v>
      </c>
      <c r="D186" s="10">
        <f t="shared" si="8"/>
        <v>0.999</v>
      </c>
      <c r="E186" s="10">
        <v>1E-3</v>
      </c>
    </row>
    <row r="187" spans="1:7" x14ac:dyDescent="0.25">
      <c r="B187" s="13">
        <v>24.54</v>
      </c>
      <c r="C187" s="10">
        <v>5.2262368412799999E-2</v>
      </c>
      <c r="D187" s="10">
        <f t="shared" si="8"/>
        <v>0.999</v>
      </c>
      <c r="E187" s="10">
        <v>1E-3</v>
      </c>
    </row>
    <row r="188" spans="1:7" x14ac:dyDescent="0.25">
      <c r="B188" s="13">
        <v>24.59</v>
      </c>
      <c r="C188" s="10">
        <v>5.17290789392E-2</v>
      </c>
      <c r="D188" s="10">
        <f t="shared" si="8"/>
        <v>0.999</v>
      </c>
      <c r="E188" s="10">
        <v>1E-3</v>
      </c>
    </row>
    <row r="189" spans="1:7" x14ac:dyDescent="0.25">
      <c r="B189" s="13">
        <v>24.6</v>
      </c>
      <c r="C189" s="10">
        <v>5.1195789465599995E-2</v>
      </c>
      <c r="D189" s="10">
        <f t="shared" si="8"/>
        <v>0.999</v>
      </c>
      <c r="E189" s="10">
        <v>1E-3</v>
      </c>
    </row>
    <row r="190" spans="1:7" x14ac:dyDescent="0.25">
      <c r="B190" s="13">
        <v>24.37</v>
      </c>
      <c r="C190" s="10">
        <v>4.9062631571199999E-2</v>
      </c>
      <c r="D190" s="10">
        <f t="shared" si="8"/>
        <v>0.999</v>
      </c>
      <c r="E190" s="10">
        <v>1E-3</v>
      </c>
    </row>
    <row r="191" spans="1:7" x14ac:dyDescent="0.25">
      <c r="B191" s="13">
        <v>24.1</v>
      </c>
      <c r="C191" s="10">
        <v>4.4796315782399995E-2</v>
      </c>
      <c r="D191" s="10">
        <f t="shared" si="8"/>
        <v>0.999</v>
      </c>
      <c r="E191" s="10">
        <v>1E-3</v>
      </c>
    </row>
    <row r="192" spans="1:7" x14ac:dyDescent="0.25">
      <c r="B192" s="13">
        <v>23.83</v>
      </c>
      <c r="C192" s="10">
        <v>4.0663322362000001E-2</v>
      </c>
      <c r="D192" s="10">
        <f t="shared" si="8"/>
        <v>0.999</v>
      </c>
      <c r="E192" s="10">
        <v>1E-3</v>
      </c>
    </row>
    <row r="193" spans="2:5" x14ac:dyDescent="0.25">
      <c r="B193" s="13">
        <v>26.55</v>
      </c>
      <c r="C193" s="10">
        <v>9.4925526300799992E-2</v>
      </c>
      <c r="D193" s="10">
        <f t="shared" si="8"/>
        <v>0.998</v>
      </c>
      <c r="E193" s="10">
        <v>2E-3</v>
      </c>
    </row>
    <row r="194" spans="2:5" x14ac:dyDescent="0.25">
      <c r="B194" s="13">
        <v>25.86</v>
      </c>
      <c r="C194" s="10">
        <v>7.7460296040400001E-2</v>
      </c>
      <c r="D194" s="10">
        <f t="shared" si="8"/>
        <v>0.998</v>
      </c>
      <c r="E194" s="10">
        <v>2E-3</v>
      </c>
    </row>
    <row r="195" spans="2:5" x14ac:dyDescent="0.25">
      <c r="B195" s="13">
        <v>25.42</v>
      </c>
      <c r="C195" s="10">
        <v>6.8394374989199994E-2</v>
      </c>
      <c r="D195" s="10">
        <f t="shared" si="8"/>
        <v>0.998</v>
      </c>
      <c r="E195" s="10">
        <v>2E-3</v>
      </c>
    </row>
    <row r="196" spans="2:5" x14ac:dyDescent="0.25">
      <c r="B196" s="13">
        <v>25.07</v>
      </c>
      <c r="C196" s="10">
        <v>6.1594934200799999E-2</v>
      </c>
      <c r="D196" s="10">
        <f t="shared" si="8"/>
        <v>0.998</v>
      </c>
      <c r="E196" s="10">
        <v>2E-3</v>
      </c>
    </row>
    <row r="197" spans="2:5" x14ac:dyDescent="0.25">
      <c r="B197" s="13">
        <v>24.96</v>
      </c>
      <c r="C197" s="10">
        <v>5.9461776306399997E-2</v>
      </c>
      <c r="D197" s="10">
        <f t="shared" si="8"/>
        <v>0.998</v>
      </c>
      <c r="E197" s="10">
        <v>2E-3</v>
      </c>
    </row>
    <row r="198" spans="2:5" x14ac:dyDescent="0.25">
      <c r="B198" s="13">
        <v>24.94</v>
      </c>
      <c r="C198" s="10">
        <v>5.9328453938E-2</v>
      </c>
      <c r="D198" s="10">
        <f t="shared" si="8"/>
        <v>0.998</v>
      </c>
      <c r="E198" s="10">
        <v>2E-3</v>
      </c>
    </row>
    <row r="199" spans="2:5" x14ac:dyDescent="0.25">
      <c r="B199" s="13">
        <v>24.81</v>
      </c>
      <c r="C199" s="10">
        <v>5.5995394727999998E-2</v>
      </c>
      <c r="D199" s="10">
        <f t="shared" si="8"/>
        <v>0.998</v>
      </c>
      <c r="E199" s="10">
        <v>2E-3</v>
      </c>
    </row>
    <row r="200" spans="2:5" x14ac:dyDescent="0.25">
      <c r="B200" s="13">
        <v>24.56</v>
      </c>
      <c r="C200" s="10">
        <v>5.4662171044000001E-2</v>
      </c>
      <c r="D200" s="10">
        <f t="shared" si="8"/>
        <v>0.998</v>
      </c>
      <c r="E200" s="10">
        <v>2E-3</v>
      </c>
    </row>
    <row r="201" spans="2:5" x14ac:dyDescent="0.25">
      <c r="B201" s="13">
        <v>23.84</v>
      </c>
      <c r="C201" s="10">
        <v>4.4662993413999999E-2</v>
      </c>
      <c r="D201" s="10">
        <f t="shared" si="8"/>
        <v>0.998</v>
      </c>
      <c r="E201" s="10">
        <v>2E-3</v>
      </c>
    </row>
    <row r="202" spans="2:5" x14ac:dyDescent="0.25">
      <c r="B202" s="13">
        <v>23.06</v>
      </c>
      <c r="C202" s="10">
        <v>3.3863881573599999E-2</v>
      </c>
      <c r="D202" s="10">
        <f t="shared" si="8"/>
        <v>0.998</v>
      </c>
      <c r="E202" s="10">
        <v>2E-3</v>
      </c>
    </row>
    <row r="203" spans="2:5" x14ac:dyDescent="0.25">
      <c r="B203" s="13">
        <v>22.23</v>
      </c>
      <c r="C203" s="10">
        <v>2.5464572364399998E-2</v>
      </c>
      <c r="D203" s="10">
        <f t="shared" si="8"/>
        <v>0.998</v>
      </c>
      <c r="E203" s="10">
        <v>2E-3</v>
      </c>
    </row>
    <row r="204" spans="2:5" x14ac:dyDescent="0.25">
      <c r="B204" s="13">
        <v>21.49</v>
      </c>
      <c r="C204" s="10">
        <v>1.98650328916E-2</v>
      </c>
      <c r="D204" s="10">
        <f t="shared" si="8"/>
        <v>0.998</v>
      </c>
      <c r="E204" s="10">
        <v>2E-3</v>
      </c>
    </row>
    <row r="205" spans="2:5" x14ac:dyDescent="0.25">
      <c r="B205" s="13">
        <v>20.41</v>
      </c>
      <c r="C205" s="10">
        <v>1.4132171050399999E-2</v>
      </c>
      <c r="D205" s="10">
        <f t="shared" si="8"/>
        <v>0.998</v>
      </c>
      <c r="E205" s="10">
        <v>2E-3</v>
      </c>
    </row>
    <row r="206" spans="2:5" x14ac:dyDescent="0.25">
      <c r="B206" s="13">
        <v>25.96</v>
      </c>
      <c r="C206" s="10">
        <v>9.4658881564E-2</v>
      </c>
      <c r="D206" s="10">
        <f t="shared" si="8"/>
        <v>0.99570000000000003</v>
      </c>
      <c r="E206" s="10">
        <v>4.3E-3</v>
      </c>
    </row>
    <row r="207" spans="2:5" x14ac:dyDescent="0.25">
      <c r="B207" s="13">
        <v>25.88</v>
      </c>
      <c r="C207" s="10">
        <v>9.1725789459199999E-2</v>
      </c>
      <c r="D207" s="10">
        <f t="shared" ref="D207:D238" si="9">1-E207</f>
        <v>0.99570000000000003</v>
      </c>
      <c r="E207" s="10">
        <v>4.3E-3</v>
      </c>
    </row>
    <row r="208" spans="2:5" x14ac:dyDescent="0.25">
      <c r="B208" s="13">
        <v>25.85</v>
      </c>
      <c r="C208" s="10">
        <v>9.2792368406399997E-2</v>
      </c>
      <c r="D208" s="10">
        <f t="shared" si="9"/>
        <v>0.99570000000000003</v>
      </c>
      <c r="E208" s="10">
        <v>4.3E-3</v>
      </c>
    </row>
    <row r="209" spans="2:5" x14ac:dyDescent="0.25">
      <c r="B209" s="13">
        <v>25.85</v>
      </c>
      <c r="C209" s="10">
        <v>9.2525723669599991E-2</v>
      </c>
      <c r="D209" s="10">
        <f t="shared" si="9"/>
        <v>0.99570000000000003</v>
      </c>
      <c r="E209" s="10">
        <v>4.3E-3</v>
      </c>
    </row>
    <row r="210" spans="2:5" x14ac:dyDescent="0.25">
      <c r="B210" s="13">
        <v>25.66</v>
      </c>
      <c r="C210" s="10">
        <v>8.7192828933600003E-2</v>
      </c>
      <c r="D210" s="10">
        <f t="shared" si="9"/>
        <v>0.99570000000000003</v>
      </c>
      <c r="E210" s="10">
        <v>4.3E-3</v>
      </c>
    </row>
    <row r="211" spans="2:5" x14ac:dyDescent="0.25">
      <c r="B211" s="13">
        <v>25.66</v>
      </c>
      <c r="C211" s="10">
        <v>8.6926184196799997E-2</v>
      </c>
      <c r="D211" s="10">
        <f t="shared" si="9"/>
        <v>0.99570000000000003</v>
      </c>
      <c r="E211" s="10">
        <v>4.3E-3</v>
      </c>
    </row>
    <row r="212" spans="2:5" x14ac:dyDescent="0.25">
      <c r="B212" s="13">
        <v>25.53</v>
      </c>
      <c r="C212" s="10">
        <v>8.6392894723199998E-2</v>
      </c>
      <c r="D212" s="10">
        <f t="shared" si="9"/>
        <v>0.99570000000000003</v>
      </c>
      <c r="E212" s="10">
        <v>4.3E-3</v>
      </c>
    </row>
    <row r="213" spans="2:5" x14ac:dyDescent="0.25">
      <c r="B213" s="13">
        <v>25.07</v>
      </c>
      <c r="C213" s="10">
        <v>7.5993749988000001E-2</v>
      </c>
      <c r="D213" s="10">
        <f t="shared" si="9"/>
        <v>0.99570000000000003</v>
      </c>
      <c r="E213" s="10">
        <v>4.3E-3</v>
      </c>
    </row>
    <row r="214" spans="2:5" x14ac:dyDescent="0.25">
      <c r="B214" s="13">
        <v>25.02</v>
      </c>
      <c r="C214" s="10">
        <v>7.5593782882799998E-2</v>
      </c>
      <c r="D214" s="10">
        <f t="shared" si="9"/>
        <v>0.99570000000000003</v>
      </c>
      <c r="E214" s="10">
        <v>4.3E-3</v>
      </c>
    </row>
    <row r="215" spans="2:5" x14ac:dyDescent="0.25">
      <c r="B215" s="13">
        <v>24.88</v>
      </c>
      <c r="C215" s="10">
        <v>7.3460624988400003E-2</v>
      </c>
      <c r="D215" s="10">
        <f t="shared" si="9"/>
        <v>0.99570000000000003</v>
      </c>
      <c r="E215" s="10">
        <v>4.3E-3</v>
      </c>
    </row>
    <row r="216" spans="2:5" x14ac:dyDescent="0.25">
      <c r="B216" s="13">
        <v>24.86</v>
      </c>
      <c r="C216" s="10">
        <v>7.1994078936000003E-2</v>
      </c>
      <c r="D216" s="10">
        <f t="shared" si="9"/>
        <v>0.99570000000000003</v>
      </c>
      <c r="E216" s="10">
        <v>4.3E-3</v>
      </c>
    </row>
    <row r="217" spans="2:5" x14ac:dyDescent="0.25">
      <c r="B217" s="13">
        <v>24.69</v>
      </c>
      <c r="C217" s="10">
        <v>7.01275657784E-2</v>
      </c>
      <c r="D217" s="10">
        <f t="shared" si="9"/>
        <v>0.99570000000000003</v>
      </c>
      <c r="E217" s="10">
        <v>4.3E-3</v>
      </c>
    </row>
    <row r="218" spans="2:5" x14ac:dyDescent="0.25">
      <c r="B218" s="13">
        <v>24.67</v>
      </c>
      <c r="C218" s="10">
        <v>6.8527697357600004E-2</v>
      </c>
      <c r="D218" s="10">
        <f t="shared" si="9"/>
        <v>0.99570000000000003</v>
      </c>
      <c r="E218" s="10">
        <v>4.3E-3</v>
      </c>
    </row>
    <row r="219" spans="2:5" x14ac:dyDescent="0.25">
      <c r="B219" s="13">
        <v>24.545000000000002</v>
      </c>
      <c r="C219" s="10">
        <v>6.7461118410399992E-2</v>
      </c>
      <c r="D219" s="10">
        <f t="shared" si="9"/>
        <v>0.99570000000000003</v>
      </c>
      <c r="E219" s="10">
        <v>4.3E-3</v>
      </c>
    </row>
    <row r="220" spans="2:5" x14ac:dyDescent="0.25">
      <c r="B220" s="13">
        <v>24.545000000000002</v>
      </c>
      <c r="C220" s="10">
        <v>6.7727763147199999E-2</v>
      </c>
      <c r="D220" s="10">
        <f t="shared" si="9"/>
        <v>0.99570000000000003</v>
      </c>
      <c r="E220" s="10">
        <v>4.3E-3</v>
      </c>
    </row>
    <row r="221" spans="2:5" x14ac:dyDescent="0.25">
      <c r="B221" s="13">
        <v>24.545000000000002</v>
      </c>
      <c r="C221" s="10">
        <v>6.8661019726E-2</v>
      </c>
      <c r="D221" s="10">
        <f t="shared" si="9"/>
        <v>0.99570000000000003</v>
      </c>
      <c r="E221" s="10">
        <v>4.3E-3</v>
      </c>
    </row>
    <row r="222" spans="2:5" x14ac:dyDescent="0.25">
      <c r="B222" s="13">
        <v>24.545000000000002</v>
      </c>
      <c r="C222" s="10">
        <v>6.9060986831200002E-2</v>
      </c>
      <c r="D222" s="10">
        <f t="shared" si="9"/>
        <v>0.99570000000000003</v>
      </c>
      <c r="E222" s="10">
        <v>4.3E-3</v>
      </c>
    </row>
    <row r="223" spans="2:5" x14ac:dyDescent="0.25">
      <c r="B223" s="13">
        <v>24.545000000000002</v>
      </c>
      <c r="C223" s="10">
        <v>6.9594276304800001E-2</v>
      </c>
      <c r="D223" s="10">
        <f t="shared" si="9"/>
        <v>0.99570000000000003</v>
      </c>
      <c r="E223" s="10">
        <v>4.3E-3</v>
      </c>
    </row>
    <row r="224" spans="2:5" x14ac:dyDescent="0.25">
      <c r="B224" s="13">
        <v>24.54</v>
      </c>
      <c r="C224" s="10">
        <v>6.9994243410000004E-2</v>
      </c>
      <c r="D224" s="10">
        <f t="shared" si="9"/>
        <v>0.99570000000000003</v>
      </c>
      <c r="E224" s="10">
        <v>4.3E-3</v>
      </c>
    </row>
    <row r="225" spans="2:5" x14ac:dyDescent="0.25">
      <c r="B225" s="13">
        <v>24.54</v>
      </c>
      <c r="C225" s="10">
        <v>7.0260888146799996E-2</v>
      </c>
      <c r="D225" s="10">
        <f t="shared" si="9"/>
        <v>0.99570000000000003</v>
      </c>
      <c r="E225" s="10">
        <v>4.3E-3</v>
      </c>
    </row>
    <row r="226" spans="2:5" x14ac:dyDescent="0.25">
      <c r="B226" s="13">
        <v>24.54</v>
      </c>
      <c r="C226" s="10">
        <v>7.0660855251999999E-2</v>
      </c>
      <c r="D226" s="10">
        <f t="shared" si="9"/>
        <v>0.99570000000000003</v>
      </c>
      <c r="E226" s="10">
        <v>4.3E-3</v>
      </c>
    </row>
    <row r="227" spans="2:5" x14ac:dyDescent="0.25">
      <c r="B227" s="13">
        <v>24.54</v>
      </c>
      <c r="C227" s="10">
        <v>7.1460789462400004E-2</v>
      </c>
      <c r="D227" s="10">
        <f t="shared" si="9"/>
        <v>0.99570000000000003</v>
      </c>
      <c r="E227" s="10">
        <v>4.3E-3</v>
      </c>
    </row>
    <row r="228" spans="2:5" x14ac:dyDescent="0.25">
      <c r="B228" s="13">
        <v>24.53</v>
      </c>
      <c r="C228" s="10">
        <v>7.2927335514800004E-2</v>
      </c>
      <c r="D228" s="10">
        <f t="shared" si="9"/>
        <v>0.99570000000000003</v>
      </c>
      <c r="E228" s="10">
        <v>4.3E-3</v>
      </c>
    </row>
    <row r="229" spans="2:5" x14ac:dyDescent="0.25">
      <c r="B229" s="13">
        <v>24.53</v>
      </c>
      <c r="C229" s="10">
        <v>7.3593947356799999E-2</v>
      </c>
      <c r="D229" s="10">
        <f t="shared" si="9"/>
        <v>0.99570000000000003</v>
      </c>
      <c r="E229" s="10">
        <v>4.3E-3</v>
      </c>
    </row>
    <row r="230" spans="2:5" x14ac:dyDescent="0.25">
      <c r="B230" s="13">
        <v>24.53</v>
      </c>
      <c r="C230" s="10">
        <v>7.3993914462000002E-2</v>
      </c>
      <c r="D230" s="10">
        <f t="shared" si="9"/>
        <v>0.99570000000000003</v>
      </c>
      <c r="E230" s="10">
        <v>4.3E-3</v>
      </c>
    </row>
    <row r="231" spans="2:5" x14ac:dyDescent="0.25">
      <c r="B231" s="13">
        <v>24.53</v>
      </c>
      <c r="C231" s="10">
        <v>7.4127236830399998E-2</v>
      </c>
      <c r="D231" s="10">
        <f t="shared" si="9"/>
        <v>0.99570000000000003</v>
      </c>
      <c r="E231" s="10">
        <v>4.3E-3</v>
      </c>
    </row>
    <row r="232" spans="2:5" x14ac:dyDescent="0.25">
      <c r="B232" s="13">
        <v>24.51</v>
      </c>
      <c r="C232" s="10">
        <v>7.4260559198799994E-2</v>
      </c>
      <c r="D232" s="10">
        <f t="shared" si="9"/>
        <v>0.99570000000000003</v>
      </c>
      <c r="E232" s="10">
        <v>4.3E-3</v>
      </c>
    </row>
    <row r="233" spans="2:5" x14ac:dyDescent="0.25">
      <c r="B233" s="13">
        <v>24.46</v>
      </c>
      <c r="C233" s="10">
        <v>6.9860921041599994E-2</v>
      </c>
      <c r="D233" s="10">
        <f t="shared" si="9"/>
        <v>0.99570000000000003</v>
      </c>
      <c r="E233" s="10">
        <v>4.3E-3</v>
      </c>
    </row>
    <row r="234" spans="2:5" x14ac:dyDescent="0.25">
      <c r="B234" s="13">
        <v>24.39</v>
      </c>
      <c r="C234" s="10">
        <v>7.3460624988400003E-2</v>
      </c>
      <c r="D234" s="10">
        <f t="shared" si="9"/>
        <v>0.99570000000000003</v>
      </c>
      <c r="E234" s="10">
        <v>4.3E-3</v>
      </c>
    </row>
    <row r="235" spans="2:5" x14ac:dyDescent="0.25">
      <c r="B235" s="13">
        <v>23.77</v>
      </c>
      <c r="C235" s="10">
        <v>6.2928157884799996E-2</v>
      </c>
      <c r="D235" s="10">
        <f t="shared" si="9"/>
        <v>0.99570000000000003</v>
      </c>
      <c r="E235" s="10">
        <v>4.3E-3</v>
      </c>
    </row>
    <row r="236" spans="2:5" x14ac:dyDescent="0.25">
      <c r="B236" s="13">
        <v>23.06</v>
      </c>
      <c r="C236" s="10">
        <v>5.2129046044399996E-2</v>
      </c>
      <c r="D236" s="10">
        <f t="shared" si="9"/>
        <v>0.99570000000000003</v>
      </c>
      <c r="E236" s="10">
        <v>4.3E-3</v>
      </c>
    </row>
    <row r="237" spans="2:5" x14ac:dyDescent="0.25">
      <c r="B237" s="13">
        <v>23</v>
      </c>
      <c r="C237" s="10">
        <v>5.34622697284E-2</v>
      </c>
      <c r="D237" s="10">
        <f t="shared" si="9"/>
        <v>0.99570000000000003</v>
      </c>
      <c r="E237" s="10">
        <v>4.3E-3</v>
      </c>
    </row>
    <row r="238" spans="2:5" x14ac:dyDescent="0.25">
      <c r="B238" s="13">
        <v>22.33</v>
      </c>
      <c r="C238" s="10">
        <v>4.41297039404E-2</v>
      </c>
      <c r="D238" s="10">
        <f t="shared" si="9"/>
        <v>0.99570000000000003</v>
      </c>
      <c r="E238" s="10">
        <v>4.3E-3</v>
      </c>
    </row>
    <row r="239" spans="2:5" x14ac:dyDescent="0.25">
      <c r="B239" s="13">
        <v>22.3</v>
      </c>
      <c r="C239" s="10">
        <v>4.5062960519200002E-2</v>
      </c>
      <c r="D239" s="10">
        <f t="shared" ref="D239:D254" si="10">1-E239</f>
        <v>0.99570000000000003</v>
      </c>
      <c r="E239" s="10">
        <v>4.3E-3</v>
      </c>
    </row>
    <row r="240" spans="2:5" x14ac:dyDescent="0.25">
      <c r="B240" s="13">
        <v>21.62</v>
      </c>
      <c r="C240" s="10">
        <v>3.7730230257200001E-2</v>
      </c>
      <c r="D240" s="10">
        <f t="shared" si="10"/>
        <v>0.99570000000000003</v>
      </c>
      <c r="E240" s="10">
        <v>4.3E-3</v>
      </c>
    </row>
    <row r="241" spans="2:5" x14ac:dyDescent="0.25">
      <c r="B241" s="13">
        <v>20.98</v>
      </c>
      <c r="C241" s="10">
        <v>3.4797138152400001E-2</v>
      </c>
      <c r="D241" s="10">
        <f t="shared" si="10"/>
        <v>0.99570000000000003</v>
      </c>
      <c r="E241" s="10">
        <v>4.3E-3</v>
      </c>
    </row>
    <row r="242" spans="2:5" x14ac:dyDescent="0.25">
      <c r="B242" s="13">
        <v>20.86</v>
      </c>
      <c r="C242" s="10">
        <v>3.3197269731599997E-2</v>
      </c>
      <c r="D242" s="10">
        <f t="shared" si="10"/>
        <v>0.99570000000000003</v>
      </c>
      <c r="E242" s="10">
        <v>4.3E-3</v>
      </c>
    </row>
    <row r="243" spans="2:5" x14ac:dyDescent="0.25">
      <c r="B243" s="13">
        <v>20.420000000000002</v>
      </c>
      <c r="C243" s="10">
        <v>3.3197269731599997E-2</v>
      </c>
      <c r="D243" s="10">
        <f t="shared" si="10"/>
        <v>0.99570000000000003</v>
      </c>
      <c r="E243" s="10">
        <v>4.3E-3</v>
      </c>
    </row>
    <row r="244" spans="2:5" x14ac:dyDescent="0.25">
      <c r="B244" s="13">
        <v>20.420000000000002</v>
      </c>
      <c r="C244" s="10">
        <v>3.03974999952E-2</v>
      </c>
      <c r="D244" s="10">
        <f t="shared" si="10"/>
        <v>0.99570000000000003</v>
      </c>
      <c r="E244" s="10">
        <v>4.3E-3</v>
      </c>
    </row>
    <row r="245" spans="2:5" x14ac:dyDescent="0.25">
      <c r="B245" s="13">
        <v>20.38</v>
      </c>
      <c r="C245" s="10">
        <v>2.9997532889999998E-2</v>
      </c>
      <c r="D245" s="10">
        <f t="shared" si="10"/>
        <v>0.99570000000000003</v>
      </c>
      <c r="E245" s="10">
        <v>4.3E-3</v>
      </c>
    </row>
    <row r="246" spans="2:5" x14ac:dyDescent="0.25">
      <c r="B246" s="13">
        <v>25.83</v>
      </c>
      <c r="C246" s="10">
        <v>9.7325328931999994E-2</v>
      </c>
      <c r="D246" s="10">
        <f t="shared" si="10"/>
        <v>0.99260000000000004</v>
      </c>
      <c r="E246" s="10">
        <v>7.4000000000000003E-3</v>
      </c>
    </row>
    <row r="247" spans="2:5" x14ac:dyDescent="0.25">
      <c r="B247" s="13">
        <v>25.56</v>
      </c>
      <c r="C247" s="10">
        <v>9.3592302616800002E-2</v>
      </c>
      <c r="D247" s="10">
        <f t="shared" si="10"/>
        <v>0.99260000000000004</v>
      </c>
      <c r="E247" s="10">
        <v>7.4000000000000003E-3</v>
      </c>
    </row>
    <row r="248" spans="2:5" x14ac:dyDescent="0.25">
      <c r="B248" s="13">
        <v>25.36</v>
      </c>
      <c r="C248" s="10">
        <v>9.1459144722399993E-2</v>
      </c>
      <c r="D248" s="10">
        <f t="shared" si="10"/>
        <v>0.99260000000000004</v>
      </c>
      <c r="E248" s="10">
        <v>7.4000000000000003E-3</v>
      </c>
    </row>
    <row r="249" spans="2:5" x14ac:dyDescent="0.25">
      <c r="B249" s="13">
        <v>25.15</v>
      </c>
      <c r="C249" s="10">
        <v>8.5326315776E-2</v>
      </c>
      <c r="D249" s="10">
        <f t="shared" si="10"/>
        <v>0.99260000000000004</v>
      </c>
      <c r="E249" s="10">
        <v>7.4000000000000003E-3</v>
      </c>
    </row>
    <row r="250" spans="2:5" x14ac:dyDescent="0.25">
      <c r="B250" s="13">
        <v>24.55</v>
      </c>
      <c r="C250" s="10">
        <v>7.5593782882799998E-2</v>
      </c>
      <c r="D250" s="10">
        <f t="shared" si="10"/>
        <v>0.99260000000000004</v>
      </c>
      <c r="E250" s="10">
        <v>7.4000000000000003E-3</v>
      </c>
    </row>
    <row r="251" spans="2:5" x14ac:dyDescent="0.25">
      <c r="B251" s="13">
        <v>24.55</v>
      </c>
      <c r="C251" s="10">
        <v>7.4793848672399993E-2</v>
      </c>
      <c r="D251" s="10">
        <f t="shared" si="10"/>
        <v>0.99260000000000004</v>
      </c>
      <c r="E251" s="10">
        <v>7.4000000000000003E-3</v>
      </c>
    </row>
    <row r="252" spans="2:5" x14ac:dyDescent="0.25">
      <c r="B252" s="13">
        <v>24.32</v>
      </c>
      <c r="C252" s="10">
        <v>8.3193157881599991E-2</v>
      </c>
      <c r="D252" s="10">
        <f t="shared" si="10"/>
        <v>0.99260000000000004</v>
      </c>
      <c r="E252" s="10">
        <v>7.4000000000000003E-3</v>
      </c>
    </row>
    <row r="253" spans="2:5" x14ac:dyDescent="0.25">
      <c r="B253" s="13">
        <v>23.71</v>
      </c>
      <c r="C253" s="10">
        <v>6.3194802621600002E-2</v>
      </c>
      <c r="D253" s="10">
        <f t="shared" si="10"/>
        <v>0.99260000000000004</v>
      </c>
      <c r="E253" s="10">
        <v>7.4000000000000003E-3</v>
      </c>
    </row>
    <row r="254" spans="2:5" x14ac:dyDescent="0.25">
      <c r="B254" s="13">
        <v>23.71</v>
      </c>
      <c r="C254" s="10">
        <v>6.2261546042800001E-2</v>
      </c>
      <c r="D254" s="10">
        <f t="shared" si="10"/>
        <v>0.99260000000000004</v>
      </c>
      <c r="E254" s="10">
        <v>7.4000000000000003E-3</v>
      </c>
    </row>
    <row r="255" spans="2:5" x14ac:dyDescent="0.25">
      <c r="B255" s="13">
        <v>23.23</v>
      </c>
      <c r="C255" s="10">
        <v>6.1194967095599996E-2</v>
      </c>
      <c r="D255" s="10">
        <f t="shared" si="8"/>
        <v>0.99260000000000004</v>
      </c>
      <c r="E255" s="10">
        <v>7.4000000000000003E-3</v>
      </c>
    </row>
    <row r="256" spans="2:5" x14ac:dyDescent="0.25">
      <c r="B256" s="13">
        <v>22.3</v>
      </c>
      <c r="C256" s="10">
        <v>5.2262368412799999E-2</v>
      </c>
      <c r="D256" s="10">
        <f t="shared" si="8"/>
        <v>0.99260000000000004</v>
      </c>
      <c r="E256" s="10">
        <v>7.4000000000000003E-3</v>
      </c>
    </row>
    <row r="257" spans="2:5" x14ac:dyDescent="0.25">
      <c r="B257" s="13">
        <v>21.61</v>
      </c>
      <c r="C257" s="10">
        <v>4.6662828939999998E-2</v>
      </c>
      <c r="D257" s="10">
        <f t="shared" si="8"/>
        <v>0.99260000000000004</v>
      </c>
      <c r="E257" s="10">
        <v>7.4000000000000003E-3</v>
      </c>
    </row>
    <row r="258" spans="2:5" x14ac:dyDescent="0.25">
      <c r="B258" s="13">
        <v>20.46</v>
      </c>
      <c r="C258" s="10">
        <v>3.8530164467599999E-2</v>
      </c>
      <c r="D258" s="10">
        <f t="shared" si="8"/>
        <v>0.99260000000000004</v>
      </c>
      <c r="E258" s="10">
        <v>7.4000000000000003E-3</v>
      </c>
    </row>
    <row r="259" spans="2:5" x14ac:dyDescent="0.25">
      <c r="B259" s="13">
        <v>25.84</v>
      </c>
      <c r="C259" s="10">
        <v>0.111324177614</v>
      </c>
      <c r="D259" s="10">
        <f t="shared" si="8"/>
        <v>0.99129999999999996</v>
      </c>
      <c r="E259" s="10">
        <v>8.6999999999999994E-3</v>
      </c>
    </row>
    <row r="260" spans="2:5" x14ac:dyDescent="0.25">
      <c r="B260" s="13">
        <v>25.31</v>
      </c>
      <c r="C260" s="10">
        <v>0.105991282878</v>
      </c>
      <c r="D260" s="10">
        <f t="shared" ref="D260:D277" si="11">1-E260</f>
        <v>0.99129999999999996</v>
      </c>
      <c r="E260" s="10">
        <v>8.6999999999999994E-3</v>
      </c>
    </row>
    <row r="261" spans="2:5" x14ac:dyDescent="0.25">
      <c r="B261" s="13">
        <v>25.04</v>
      </c>
      <c r="C261" s="10">
        <v>0.1011916776156</v>
      </c>
      <c r="D261" s="10">
        <f t="shared" si="11"/>
        <v>0.99129999999999996</v>
      </c>
      <c r="E261" s="10">
        <v>8.6999999999999994E-3</v>
      </c>
    </row>
    <row r="262" spans="2:5" x14ac:dyDescent="0.25">
      <c r="B262" s="13">
        <v>25.01</v>
      </c>
      <c r="C262" s="10">
        <v>0.1001250986684</v>
      </c>
      <c r="D262" s="10">
        <f t="shared" si="11"/>
        <v>0.99129999999999996</v>
      </c>
      <c r="E262" s="10">
        <v>8.6999999999999994E-3</v>
      </c>
    </row>
    <row r="263" spans="2:5" x14ac:dyDescent="0.25">
      <c r="B263" s="13">
        <v>25</v>
      </c>
      <c r="C263" s="10">
        <v>9.892519735279999E-2</v>
      </c>
      <c r="D263" s="10">
        <f t="shared" si="11"/>
        <v>0.99129999999999996</v>
      </c>
      <c r="E263" s="10">
        <v>8.6999999999999994E-3</v>
      </c>
    </row>
    <row r="264" spans="2:5" x14ac:dyDescent="0.25">
      <c r="B264" s="13">
        <v>24.17</v>
      </c>
      <c r="C264" s="10">
        <v>9.3592302616800002E-2</v>
      </c>
      <c r="D264" s="10">
        <f t="shared" si="11"/>
        <v>0.99129999999999996</v>
      </c>
      <c r="E264" s="10">
        <v>8.6999999999999994E-3</v>
      </c>
    </row>
    <row r="265" spans="2:5" x14ac:dyDescent="0.25">
      <c r="B265" s="13">
        <v>24.74</v>
      </c>
      <c r="C265" s="10">
        <v>9.2125756564400002E-2</v>
      </c>
      <c r="D265" s="10">
        <f t="shared" ref="D265:D270" si="12">1-E265</f>
        <v>0.99129999999999996</v>
      </c>
      <c r="E265" s="10">
        <v>8.6999999999999994E-3</v>
      </c>
    </row>
    <row r="266" spans="2:5" x14ac:dyDescent="0.25">
      <c r="B266" s="13">
        <v>24.48</v>
      </c>
      <c r="C266" s="10">
        <v>0.1005250657736</v>
      </c>
      <c r="D266" s="10">
        <f t="shared" si="12"/>
        <v>0.99129999999999996</v>
      </c>
      <c r="E266" s="10">
        <v>8.6999999999999994E-3</v>
      </c>
    </row>
    <row r="267" spans="2:5" x14ac:dyDescent="0.25">
      <c r="B267" s="13">
        <v>24.48</v>
      </c>
      <c r="C267" s="10">
        <v>0.1014583223524</v>
      </c>
      <c r="D267" s="10">
        <f t="shared" si="12"/>
        <v>0.99129999999999996</v>
      </c>
      <c r="E267" s="10">
        <v>8.6999999999999994E-3</v>
      </c>
    </row>
    <row r="268" spans="2:5" x14ac:dyDescent="0.25">
      <c r="B268" s="13">
        <v>24.48</v>
      </c>
      <c r="C268" s="10">
        <v>0.10332483550999999</v>
      </c>
      <c r="D268" s="10">
        <f t="shared" si="12"/>
        <v>0.99129999999999996</v>
      </c>
      <c r="E268" s="10">
        <v>8.6999999999999994E-3</v>
      </c>
    </row>
    <row r="269" spans="2:5" x14ac:dyDescent="0.25">
      <c r="B269" s="13">
        <v>24.48</v>
      </c>
      <c r="C269" s="10">
        <v>0.10385812498359999</v>
      </c>
      <c r="D269" s="10">
        <f t="shared" si="12"/>
        <v>0.99129999999999996</v>
      </c>
      <c r="E269" s="10">
        <v>8.6999999999999994E-3</v>
      </c>
    </row>
    <row r="270" spans="2:5" x14ac:dyDescent="0.25">
      <c r="B270" s="13">
        <v>24.46</v>
      </c>
      <c r="C270" s="10">
        <v>8.3193157881599991E-2</v>
      </c>
      <c r="D270" s="10">
        <f t="shared" si="12"/>
        <v>0.99129999999999996</v>
      </c>
      <c r="E270" s="10">
        <v>8.6999999999999994E-3</v>
      </c>
    </row>
    <row r="271" spans="2:5" x14ac:dyDescent="0.25">
      <c r="B271" s="13">
        <v>24.42</v>
      </c>
      <c r="C271" s="10">
        <v>0.10319151314159999</v>
      </c>
      <c r="D271" s="10">
        <f t="shared" si="11"/>
        <v>0.99129999999999996</v>
      </c>
      <c r="E271" s="10">
        <v>8.6999999999999994E-3</v>
      </c>
    </row>
    <row r="272" spans="2:5" x14ac:dyDescent="0.25">
      <c r="B272" s="13">
        <v>24.29</v>
      </c>
      <c r="C272" s="10">
        <v>0.10079171051039999</v>
      </c>
      <c r="D272" s="10">
        <f t="shared" si="11"/>
        <v>0.99129999999999996</v>
      </c>
      <c r="E272" s="10">
        <v>8.6999999999999994E-3</v>
      </c>
    </row>
    <row r="273" spans="1:7" x14ac:dyDescent="0.25">
      <c r="B273" s="13">
        <v>23.92</v>
      </c>
      <c r="C273" s="10">
        <v>9.6658717089999999E-2</v>
      </c>
      <c r="D273" s="10">
        <f t="shared" si="11"/>
        <v>0.99129999999999996</v>
      </c>
      <c r="E273" s="10">
        <v>8.6999999999999994E-3</v>
      </c>
    </row>
    <row r="274" spans="1:7" x14ac:dyDescent="0.25">
      <c r="B274" s="13">
        <v>23.03</v>
      </c>
      <c r="C274" s="10">
        <v>8.2126578934399994E-2</v>
      </c>
      <c r="D274" s="10">
        <f t="shared" si="11"/>
        <v>0.99129999999999996</v>
      </c>
      <c r="E274" s="10">
        <v>8.6999999999999994E-3</v>
      </c>
    </row>
    <row r="275" spans="1:7" x14ac:dyDescent="0.25">
      <c r="B275" s="13">
        <v>22.32</v>
      </c>
      <c r="C275" s="10">
        <v>7.2927335514800004E-2</v>
      </c>
      <c r="D275" s="10">
        <f t="shared" si="11"/>
        <v>0.99129999999999996</v>
      </c>
      <c r="E275" s="10">
        <v>8.6999999999999994E-3</v>
      </c>
    </row>
    <row r="276" spans="1:7" x14ac:dyDescent="0.25">
      <c r="B276" s="13">
        <v>21.67</v>
      </c>
      <c r="C276" s="10">
        <v>6.2794835516399999E-2</v>
      </c>
      <c r="D276" s="10">
        <f t="shared" si="11"/>
        <v>0.99129999999999996</v>
      </c>
      <c r="E276" s="10">
        <v>8.6999999999999994E-3</v>
      </c>
    </row>
    <row r="277" spans="1:7" ht="15.75" thickBot="1" x14ac:dyDescent="0.3">
      <c r="A277" s="9"/>
      <c r="B277" s="17">
        <v>20.58</v>
      </c>
      <c r="C277" s="11">
        <v>4.6929473676799997E-2</v>
      </c>
      <c r="D277" s="11">
        <f t="shared" si="11"/>
        <v>0.99129999999999996</v>
      </c>
      <c r="E277" s="11">
        <v>8.6999999999999994E-3</v>
      </c>
      <c r="F277" s="11"/>
      <c r="G277" s="11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78D1-14C2-4B0D-A03B-6FE3C7871E5C}">
  <dimension ref="A1:I200"/>
  <sheetViews>
    <sheetView workbookViewId="0">
      <pane ySplit="1" topLeftCell="A2" activePane="bottomLeft" state="frozen"/>
      <selection pane="bottomLeft" activeCell="I1" sqref="I1"/>
    </sheetView>
  </sheetViews>
  <sheetFormatPr defaultColWidth="9.140625" defaultRowHeight="15" x14ac:dyDescent="0.25"/>
  <cols>
    <col min="1" max="1" width="17.28515625" style="8" bestFit="1" customWidth="1"/>
    <col min="2" max="2" width="6.5703125" style="13" bestFit="1" customWidth="1"/>
    <col min="3" max="3" width="7.7109375" style="10" bestFit="1" customWidth="1"/>
    <col min="4" max="4" width="9.28515625" style="10" bestFit="1" customWidth="1"/>
    <col min="5" max="5" width="9.42578125" style="10" bestFit="1" customWidth="1"/>
    <col min="6" max="6" width="9.28515625" style="10" bestFit="1" customWidth="1"/>
    <col min="7" max="7" width="9.42578125" style="10" bestFit="1" customWidth="1"/>
    <col min="8" max="8" width="9.140625" style="1"/>
    <col min="9" max="9" width="17.28515625" style="1" bestFit="1" customWidth="1"/>
    <col min="10" max="16384" width="9.140625" style="1"/>
  </cols>
  <sheetData>
    <row r="1" spans="1:9" ht="18" x14ac:dyDescent="0.25">
      <c r="A1" s="8" t="s">
        <v>0</v>
      </c>
      <c r="B1" s="13" t="s">
        <v>3</v>
      </c>
      <c r="C1" s="10" t="s">
        <v>4</v>
      </c>
      <c r="D1" s="10" t="s">
        <v>96</v>
      </c>
      <c r="E1" s="10" t="s">
        <v>2</v>
      </c>
      <c r="F1" s="10" t="s">
        <v>97</v>
      </c>
      <c r="G1" s="10" t="s">
        <v>7</v>
      </c>
      <c r="I1" s="1" t="s">
        <v>0</v>
      </c>
    </row>
    <row r="2" spans="1:9" x14ac:dyDescent="0.25">
      <c r="A2" s="18" t="s">
        <v>86</v>
      </c>
      <c r="B2" s="13">
        <f>25+273.15</f>
        <v>298.14999999999998</v>
      </c>
      <c r="C2" s="10">
        <v>5.0662500000000001</v>
      </c>
      <c r="D2" s="10">
        <f t="shared" ref="D2:D65" si="0">1-E2</f>
        <v>0.99656430549955743</v>
      </c>
      <c r="E2" s="10">
        <v>3.4356945004426088E-3</v>
      </c>
      <c r="I2" s="1" t="s">
        <v>86</v>
      </c>
    </row>
    <row r="3" spans="1:9" x14ac:dyDescent="0.25">
      <c r="B3" s="13">
        <f t="shared" ref="B3:B19" si="1">25+273.15</f>
        <v>298.14999999999998</v>
      </c>
      <c r="C3" s="10">
        <v>5.0662500000000001</v>
      </c>
      <c r="D3" s="10">
        <f t="shared" si="0"/>
        <v>0.99654733148675489</v>
      </c>
      <c r="E3" s="10">
        <v>3.4526685132451546E-3</v>
      </c>
      <c r="I3" s="1" t="s">
        <v>98</v>
      </c>
    </row>
    <row r="4" spans="1:9" x14ac:dyDescent="0.25">
      <c r="B4" s="13">
        <f t="shared" si="1"/>
        <v>298.14999999999998</v>
      </c>
      <c r="C4" s="10">
        <v>5.0662500000000001</v>
      </c>
      <c r="D4" s="10">
        <f t="shared" si="0"/>
        <v>0.99653884448035357</v>
      </c>
      <c r="E4" s="10">
        <v>3.4611555196464275E-3</v>
      </c>
      <c r="I4" s="1" t="s">
        <v>99</v>
      </c>
    </row>
    <row r="5" spans="1:9" x14ac:dyDescent="0.25">
      <c r="B5" s="13">
        <f t="shared" si="1"/>
        <v>298.14999999999998</v>
      </c>
      <c r="C5" s="10">
        <v>10.1325</v>
      </c>
      <c r="D5" s="10">
        <f t="shared" si="0"/>
        <v>0.99238098288976628</v>
      </c>
      <c r="E5" s="10">
        <v>7.6190171102337211E-3</v>
      </c>
      <c r="I5" s="1" t="s">
        <v>100</v>
      </c>
    </row>
    <row r="6" spans="1:9" x14ac:dyDescent="0.25">
      <c r="B6" s="13">
        <f t="shared" si="1"/>
        <v>298.14999999999998</v>
      </c>
      <c r="C6" s="10">
        <v>10.1325</v>
      </c>
      <c r="D6" s="10">
        <f t="shared" si="0"/>
        <v>0.99238098288976628</v>
      </c>
      <c r="E6" s="10">
        <v>7.6190171102337211E-3</v>
      </c>
    </row>
    <row r="7" spans="1:9" x14ac:dyDescent="0.25">
      <c r="B7" s="13">
        <f t="shared" si="1"/>
        <v>298.14999999999998</v>
      </c>
      <c r="C7" s="10">
        <v>20.265000000000001</v>
      </c>
      <c r="D7" s="10">
        <f t="shared" si="0"/>
        <v>0.98447957993018109</v>
      </c>
      <c r="E7" s="10">
        <v>1.5520420069818889E-2</v>
      </c>
    </row>
    <row r="8" spans="1:9" x14ac:dyDescent="0.25">
      <c r="B8" s="13">
        <f t="shared" si="1"/>
        <v>298.14999999999998</v>
      </c>
      <c r="C8" s="10">
        <v>20.265000000000001</v>
      </c>
      <c r="D8" s="10">
        <f t="shared" si="0"/>
        <v>0.98457833782285042</v>
      </c>
      <c r="E8" s="10">
        <v>1.542166217714953E-2</v>
      </c>
    </row>
    <row r="9" spans="1:9" x14ac:dyDescent="0.25">
      <c r="B9" s="13">
        <f t="shared" si="1"/>
        <v>298.14999999999998</v>
      </c>
      <c r="C9" s="10">
        <v>20.265000000000001</v>
      </c>
      <c r="D9" s="10">
        <f t="shared" si="0"/>
        <v>0.98445720509512324</v>
      </c>
      <c r="E9" s="10">
        <v>1.554279490487679E-2</v>
      </c>
    </row>
    <row r="10" spans="1:9" x14ac:dyDescent="0.25">
      <c r="B10" s="13">
        <f t="shared" si="1"/>
        <v>298.14999999999998</v>
      </c>
      <c r="C10" s="10">
        <v>20.265000000000001</v>
      </c>
      <c r="D10" s="10">
        <f t="shared" si="0"/>
        <v>0.984522786508224</v>
      </c>
      <c r="E10" s="10">
        <v>1.5477213491776045E-2</v>
      </c>
    </row>
    <row r="11" spans="1:9" x14ac:dyDescent="0.25">
      <c r="B11" s="13">
        <f t="shared" si="1"/>
        <v>298.14999999999998</v>
      </c>
      <c r="C11" s="10">
        <v>40.53</v>
      </c>
      <c r="D11" s="10">
        <f t="shared" si="0"/>
        <v>0.97061412610861042</v>
      </c>
      <c r="E11" s="10">
        <v>2.9385873891389545E-2</v>
      </c>
    </row>
    <row r="12" spans="1:9" x14ac:dyDescent="0.25">
      <c r="B12" s="13">
        <f t="shared" si="1"/>
        <v>298.14999999999998</v>
      </c>
      <c r="C12" s="10">
        <v>40.53</v>
      </c>
      <c r="D12" s="10">
        <f t="shared" si="0"/>
        <v>0.97054237232721785</v>
      </c>
      <c r="E12" s="10">
        <v>2.9457627672782125E-2</v>
      </c>
    </row>
    <row r="13" spans="1:9" x14ac:dyDescent="0.25">
      <c r="B13" s="13">
        <f t="shared" si="1"/>
        <v>298.14999999999998</v>
      </c>
      <c r="C13" s="10">
        <v>60.795000000000002</v>
      </c>
      <c r="D13" s="10">
        <f t="shared" si="0"/>
        <v>0.95855023228221914</v>
      </c>
      <c r="E13" s="10">
        <v>4.1449767717780882E-2</v>
      </c>
    </row>
    <row r="14" spans="1:9" x14ac:dyDescent="0.25">
      <c r="B14" s="13">
        <f t="shared" si="1"/>
        <v>298.14999999999998</v>
      </c>
      <c r="C14" s="10">
        <v>60.795000000000002</v>
      </c>
      <c r="D14" s="10">
        <f t="shared" si="0"/>
        <v>0.95856874938709458</v>
      </c>
      <c r="E14" s="10">
        <v>4.1431250612905375E-2</v>
      </c>
    </row>
    <row r="15" spans="1:9" x14ac:dyDescent="0.25">
      <c r="B15" s="13">
        <f t="shared" si="1"/>
        <v>298.14999999999998</v>
      </c>
      <c r="C15" s="10">
        <v>81.06</v>
      </c>
      <c r="D15" s="10">
        <f t="shared" si="0"/>
        <v>0.94782034155290062</v>
      </c>
      <c r="E15" s="10">
        <v>5.2179658447099389E-2</v>
      </c>
    </row>
    <row r="16" spans="1:9" x14ac:dyDescent="0.25">
      <c r="B16" s="13">
        <f t="shared" si="1"/>
        <v>298.14999999999998</v>
      </c>
      <c r="C16" s="10">
        <v>81.06</v>
      </c>
      <c r="D16" s="10">
        <f t="shared" si="0"/>
        <v>0.94782034155290062</v>
      </c>
      <c r="E16" s="10">
        <v>5.2179658447099389E-2</v>
      </c>
    </row>
    <row r="17" spans="2:5" x14ac:dyDescent="0.25">
      <c r="B17" s="13">
        <f t="shared" si="1"/>
        <v>298.14999999999998</v>
      </c>
      <c r="C17" s="10">
        <v>101.325</v>
      </c>
      <c r="D17" s="10">
        <f t="shared" si="0"/>
        <v>0.9386852364809849</v>
      </c>
      <c r="E17" s="10">
        <v>6.1314763519015068E-2</v>
      </c>
    </row>
    <row r="18" spans="2:5" x14ac:dyDescent="0.25">
      <c r="B18" s="13">
        <f t="shared" si="1"/>
        <v>298.14999999999998</v>
      </c>
      <c r="C18" s="10">
        <v>101.325</v>
      </c>
      <c r="D18" s="10">
        <f t="shared" si="0"/>
        <v>0.93893213121265828</v>
      </c>
      <c r="E18" s="10">
        <v>6.1067868787341675E-2</v>
      </c>
    </row>
    <row r="19" spans="2:5" x14ac:dyDescent="0.25">
      <c r="B19" s="13">
        <f t="shared" si="1"/>
        <v>298.14999999999998</v>
      </c>
      <c r="C19" s="10">
        <v>101.325</v>
      </c>
      <c r="D19" s="10">
        <f t="shared" si="0"/>
        <v>0.93895527759375275</v>
      </c>
      <c r="E19" s="10">
        <v>6.1044722406247295E-2</v>
      </c>
    </row>
    <row r="20" spans="2:5" x14ac:dyDescent="0.25">
      <c r="B20" s="13">
        <f>50+273.15</f>
        <v>323.14999999999998</v>
      </c>
      <c r="C20" s="10">
        <v>5.0662500000000001</v>
      </c>
      <c r="D20" s="10">
        <f t="shared" si="0"/>
        <v>0.99607205912828356</v>
      </c>
      <c r="E20" s="10">
        <v>3.9279408717164434E-3</v>
      </c>
    </row>
    <row r="21" spans="2:5" x14ac:dyDescent="0.25">
      <c r="B21" s="13">
        <f t="shared" ref="B21:B45" si="2">50+273.15</f>
        <v>323.14999999999998</v>
      </c>
      <c r="C21" s="10">
        <v>5.0662500000000001</v>
      </c>
      <c r="D21" s="10">
        <f t="shared" si="0"/>
        <v>0.99605739975359042</v>
      </c>
      <c r="E21" s="10">
        <v>3.9426002464095508E-3</v>
      </c>
    </row>
    <row r="22" spans="2:5" x14ac:dyDescent="0.25">
      <c r="B22" s="13">
        <f t="shared" si="2"/>
        <v>323.14999999999998</v>
      </c>
      <c r="C22" s="10">
        <v>5.0662500000000001</v>
      </c>
      <c r="D22" s="10">
        <f t="shared" si="0"/>
        <v>0.99607514531242947</v>
      </c>
      <c r="E22" s="10">
        <v>3.924854687570525E-3</v>
      </c>
    </row>
    <row r="23" spans="2:5" x14ac:dyDescent="0.25">
      <c r="B23" s="13">
        <f t="shared" si="2"/>
        <v>323.14999999999998</v>
      </c>
      <c r="C23" s="10">
        <v>5.0662500000000001</v>
      </c>
      <c r="D23" s="10">
        <f t="shared" si="0"/>
        <v>0.99606202902980934</v>
      </c>
      <c r="E23" s="10">
        <v>3.937970970190675E-3</v>
      </c>
    </row>
    <row r="24" spans="2:5" x14ac:dyDescent="0.25">
      <c r="B24" s="13">
        <f t="shared" si="2"/>
        <v>323.14999999999998</v>
      </c>
      <c r="C24" s="10">
        <v>5.0662500000000001</v>
      </c>
      <c r="D24" s="10">
        <f t="shared" si="0"/>
        <v>0.99605739975359042</v>
      </c>
      <c r="E24" s="10">
        <v>3.9426002464095508E-3</v>
      </c>
    </row>
    <row r="25" spans="2:5" x14ac:dyDescent="0.25">
      <c r="B25" s="13">
        <f t="shared" si="2"/>
        <v>323.14999999999998</v>
      </c>
      <c r="C25" s="10">
        <v>10.1325</v>
      </c>
      <c r="D25" s="10">
        <f t="shared" si="0"/>
        <v>0.98959184396789335</v>
      </c>
      <c r="E25" s="10">
        <v>1.0408156032106623E-2</v>
      </c>
    </row>
    <row r="26" spans="2:5" x14ac:dyDescent="0.25">
      <c r="B26" s="13">
        <f t="shared" si="2"/>
        <v>323.14999999999998</v>
      </c>
      <c r="C26" s="10">
        <v>10.1325</v>
      </c>
      <c r="D26" s="10">
        <f t="shared" si="0"/>
        <v>0.98959955942825817</v>
      </c>
      <c r="E26" s="10">
        <v>1.0400440571741828E-2</v>
      </c>
    </row>
    <row r="27" spans="2:5" x14ac:dyDescent="0.25">
      <c r="B27" s="13">
        <f t="shared" si="2"/>
        <v>323.14999999999998</v>
      </c>
      <c r="C27" s="10">
        <v>18.238499999999998</v>
      </c>
      <c r="D27" s="10">
        <f t="shared" si="0"/>
        <v>0.97966976193876876</v>
      </c>
      <c r="E27" s="10">
        <v>2.0330238061231246E-2</v>
      </c>
    </row>
    <row r="28" spans="2:5" x14ac:dyDescent="0.25">
      <c r="B28" s="13">
        <f t="shared" si="2"/>
        <v>323.14999999999998</v>
      </c>
      <c r="C28" s="10">
        <v>18.238499999999998</v>
      </c>
      <c r="D28" s="10">
        <f t="shared" si="0"/>
        <v>0.97960803825585041</v>
      </c>
      <c r="E28" s="10">
        <v>2.0391961744149593E-2</v>
      </c>
    </row>
    <row r="29" spans="2:5" x14ac:dyDescent="0.25">
      <c r="B29" s="13">
        <f t="shared" si="2"/>
        <v>323.14999999999998</v>
      </c>
      <c r="C29" s="10">
        <v>18.238499999999998</v>
      </c>
      <c r="D29" s="10">
        <f t="shared" si="0"/>
        <v>0.9797314856216871</v>
      </c>
      <c r="E29" s="10">
        <v>2.0268514378312896E-2</v>
      </c>
    </row>
    <row r="30" spans="2:5" x14ac:dyDescent="0.25">
      <c r="B30" s="13">
        <f t="shared" si="2"/>
        <v>323.14999999999998</v>
      </c>
      <c r="C30" s="10">
        <v>18.238499999999998</v>
      </c>
      <c r="D30" s="10">
        <f t="shared" si="0"/>
        <v>0.97966976193876876</v>
      </c>
      <c r="E30" s="10">
        <v>2.0330238061231246E-2</v>
      </c>
    </row>
    <row r="31" spans="2:5" x14ac:dyDescent="0.25">
      <c r="B31" s="13">
        <f t="shared" si="2"/>
        <v>323.14999999999998</v>
      </c>
      <c r="C31" s="10">
        <v>20.265000000000001</v>
      </c>
      <c r="D31" s="10">
        <f t="shared" si="0"/>
        <v>0.97732426198787148</v>
      </c>
      <c r="E31" s="10">
        <v>2.2675738012128511E-2</v>
      </c>
    </row>
    <row r="32" spans="2:5" x14ac:dyDescent="0.25">
      <c r="B32" s="13">
        <f t="shared" si="2"/>
        <v>323.14999999999998</v>
      </c>
      <c r="C32" s="10">
        <v>40.53</v>
      </c>
      <c r="D32" s="10">
        <f t="shared" si="0"/>
        <v>0.95491856508851081</v>
      </c>
      <c r="E32" s="10">
        <v>4.5081434911489249E-2</v>
      </c>
    </row>
    <row r="33" spans="2:5" x14ac:dyDescent="0.25">
      <c r="B33" s="13">
        <f t="shared" si="2"/>
        <v>323.14999999999998</v>
      </c>
      <c r="C33" s="10">
        <v>40.53</v>
      </c>
      <c r="D33" s="10">
        <f t="shared" si="0"/>
        <v>0.9551731752805489</v>
      </c>
      <c r="E33" s="10">
        <v>4.4826824719451062E-2</v>
      </c>
    </row>
    <row r="34" spans="2:5" x14ac:dyDescent="0.25">
      <c r="B34" s="13">
        <f t="shared" si="2"/>
        <v>323.14999999999998</v>
      </c>
      <c r="C34" s="10">
        <v>40.53</v>
      </c>
      <c r="D34" s="10">
        <f t="shared" si="0"/>
        <v>0.95495714239033469</v>
      </c>
      <c r="E34" s="10">
        <v>4.5042857609665282E-2</v>
      </c>
    </row>
    <row r="35" spans="2:5" x14ac:dyDescent="0.25">
      <c r="B35" s="13">
        <f t="shared" si="2"/>
        <v>323.14999999999998</v>
      </c>
      <c r="C35" s="10">
        <v>40.53</v>
      </c>
      <c r="D35" s="10">
        <f t="shared" si="0"/>
        <v>0.95501115061288822</v>
      </c>
      <c r="E35" s="10">
        <v>4.4988849387111729E-2</v>
      </c>
    </row>
    <row r="36" spans="2:5" x14ac:dyDescent="0.25">
      <c r="B36" s="13">
        <f t="shared" si="2"/>
        <v>323.14999999999998</v>
      </c>
      <c r="C36" s="10">
        <v>40.53</v>
      </c>
      <c r="D36" s="10">
        <f t="shared" si="0"/>
        <v>0.95492628054887552</v>
      </c>
      <c r="E36" s="10">
        <v>4.5073719451124455E-2</v>
      </c>
    </row>
    <row r="37" spans="2:5" x14ac:dyDescent="0.25">
      <c r="B37" s="13">
        <f t="shared" si="2"/>
        <v>323.14999999999998</v>
      </c>
      <c r="C37" s="10">
        <v>60.795000000000002</v>
      </c>
      <c r="D37" s="10">
        <f t="shared" si="0"/>
        <v>0.93571478424053933</v>
      </c>
      <c r="E37" s="10">
        <v>6.4285215759460612E-2</v>
      </c>
    </row>
    <row r="38" spans="2:5" x14ac:dyDescent="0.25">
      <c r="B38" s="13">
        <f t="shared" si="2"/>
        <v>323.14999999999998</v>
      </c>
      <c r="C38" s="10">
        <v>60.795000000000002</v>
      </c>
      <c r="D38" s="10">
        <f t="shared" si="0"/>
        <v>0.9356144832557971</v>
      </c>
      <c r="E38" s="10">
        <v>6.4385516744202939E-2</v>
      </c>
    </row>
    <row r="39" spans="2:5" x14ac:dyDescent="0.25">
      <c r="B39" s="13">
        <f t="shared" si="2"/>
        <v>323.14999999999998</v>
      </c>
      <c r="C39" s="10">
        <v>60.795000000000002</v>
      </c>
      <c r="D39" s="10">
        <f t="shared" si="0"/>
        <v>0.93544474312777159</v>
      </c>
      <c r="E39" s="10">
        <v>6.4555256872228392E-2</v>
      </c>
    </row>
    <row r="40" spans="2:5" x14ac:dyDescent="0.25">
      <c r="B40" s="13">
        <f t="shared" si="2"/>
        <v>323.14999999999998</v>
      </c>
      <c r="C40" s="10">
        <v>81.06</v>
      </c>
      <c r="D40" s="10">
        <f t="shared" si="0"/>
        <v>0.91837814480084812</v>
      </c>
      <c r="E40" s="10">
        <v>8.1621855199151938E-2</v>
      </c>
    </row>
    <row r="41" spans="2:5" x14ac:dyDescent="0.25">
      <c r="B41" s="13">
        <f t="shared" si="2"/>
        <v>323.14999999999998</v>
      </c>
      <c r="C41" s="10">
        <v>81.06</v>
      </c>
      <c r="D41" s="10">
        <f t="shared" si="0"/>
        <v>0.91897995070930194</v>
      </c>
      <c r="E41" s="10">
        <v>8.1020049290698046E-2</v>
      </c>
    </row>
    <row r="42" spans="2:5" x14ac:dyDescent="0.25">
      <c r="B42" s="13">
        <f t="shared" si="2"/>
        <v>323.14999999999998</v>
      </c>
      <c r="C42" s="10">
        <v>81.06</v>
      </c>
      <c r="D42" s="10">
        <f t="shared" si="0"/>
        <v>0.91869447867580456</v>
      </c>
      <c r="E42" s="10">
        <v>8.1305521324195398E-2</v>
      </c>
    </row>
    <row r="43" spans="2:5" x14ac:dyDescent="0.25">
      <c r="B43" s="13">
        <f t="shared" si="2"/>
        <v>323.14999999999998</v>
      </c>
      <c r="C43" s="10">
        <v>101.325</v>
      </c>
      <c r="D43" s="10">
        <f t="shared" si="0"/>
        <v>0.9038190710924825</v>
      </c>
      <c r="E43" s="10">
        <v>9.6180928907517532E-2</v>
      </c>
    </row>
    <row r="44" spans="2:5" x14ac:dyDescent="0.25">
      <c r="B44" s="13">
        <f t="shared" si="2"/>
        <v>323.14999999999998</v>
      </c>
      <c r="C44" s="10">
        <v>101.325</v>
      </c>
      <c r="D44" s="10">
        <f t="shared" si="0"/>
        <v>0.90330213524804126</v>
      </c>
      <c r="E44" s="10">
        <v>9.6697864751958698E-2</v>
      </c>
    </row>
    <row r="45" spans="2:5" x14ac:dyDescent="0.25">
      <c r="B45" s="13">
        <f t="shared" si="2"/>
        <v>323.14999999999998</v>
      </c>
      <c r="C45" s="10">
        <v>101.325</v>
      </c>
      <c r="D45" s="10">
        <f t="shared" si="0"/>
        <v>0.90375734740956415</v>
      </c>
      <c r="E45" s="10">
        <v>9.6242652590435879E-2</v>
      </c>
    </row>
    <row r="46" spans="2:5" x14ac:dyDescent="0.25">
      <c r="B46" s="13">
        <f>75+273.15</f>
        <v>348.15</v>
      </c>
      <c r="C46" s="10">
        <v>10.1325</v>
      </c>
      <c r="D46" s="10">
        <f t="shared" si="0"/>
        <v>0.9874237996053864</v>
      </c>
      <c r="E46" s="10">
        <v>1.2576200394613636E-2</v>
      </c>
    </row>
    <row r="47" spans="2:5" x14ac:dyDescent="0.25">
      <c r="B47" s="13">
        <f t="shared" ref="B47:B60" si="3">75+273.15</f>
        <v>348.15</v>
      </c>
      <c r="C47" s="10">
        <v>10.1325</v>
      </c>
      <c r="D47" s="10">
        <f t="shared" si="0"/>
        <v>0.98729263677918488</v>
      </c>
      <c r="E47" s="10">
        <v>1.2707363220815128E-2</v>
      </c>
    </row>
    <row r="48" spans="2:5" x14ac:dyDescent="0.25">
      <c r="B48" s="13">
        <f t="shared" si="3"/>
        <v>348.15</v>
      </c>
      <c r="C48" s="10">
        <v>10.1325</v>
      </c>
      <c r="D48" s="10">
        <f t="shared" si="0"/>
        <v>0.98743923052611593</v>
      </c>
      <c r="E48" s="10">
        <v>1.2560769473884049E-2</v>
      </c>
    </row>
    <row r="49" spans="2:5" x14ac:dyDescent="0.25">
      <c r="B49" s="13">
        <f t="shared" si="3"/>
        <v>348.15</v>
      </c>
      <c r="C49" s="10">
        <v>20.265000000000001</v>
      </c>
      <c r="D49" s="10">
        <f t="shared" si="0"/>
        <v>0.96801941678793035</v>
      </c>
      <c r="E49" s="10">
        <v>3.1980583212069646E-2</v>
      </c>
    </row>
    <row r="50" spans="2:5" x14ac:dyDescent="0.25">
      <c r="B50" s="13">
        <f t="shared" si="3"/>
        <v>348.15</v>
      </c>
      <c r="C50" s="10">
        <v>20.265000000000001</v>
      </c>
      <c r="D50" s="10">
        <f t="shared" si="0"/>
        <v>0.9680811404708487</v>
      </c>
      <c r="E50" s="10">
        <v>3.1918859529151293E-2</v>
      </c>
    </row>
    <row r="51" spans="2:5" x14ac:dyDescent="0.25">
      <c r="B51" s="13">
        <f t="shared" si="3"/>
        <v>348.15</v>
      </c>
      <c r="C51" s="10">
        <v>40.53</v>
      </c>
      <c r="D51" s="10">
        <f t="shared" si="0"/>
        <v>0.93194192412215526</v>
      </c>
      <c r="E51" s="10">
        <v>6.8058075877844695E-2</v>
      </c>
    </row>
    <row r="52" spans="2:5" x14ac:dyDescent="0.25">
      <c r="B52" s="13">
        <f t="shared" si="3"/>
        <v>348.15</v>
      </c>
      <c r="C52" s="10">
        <v>40.53</v>
      </c>
      <c r="D52" s="10">
        <f t="shared" si="0"/>
        <v>0.93174903761303551</v>
      </c>
      <c r="E52" s="10">
        <v>6.8250962386964542E-2</v>
      </c>
    </row>
    <row r="53" spans="2:5" x14ac:dyDescent="0.25">
      <c r="B53" s="13">
        <f t="shared" si="3"/>
        <v>348.15</v>
      </c>
      <c r="C53" s="10">
        <v>60.795000000000002</v>
      </c>
      <c r="D53" s="10">
        <f t="shared" si="0"/>
        <v>0.89900462382485125</v>
      </c>
      <c r="E53" s="10">
        <v>0.10099537617514878</v>
      </c>
    </row>
    <row r="54" spans="2:5" x14ac:dyDescent="0.25">
      <c r="B54" s="13">
        <f t="shared" si="3"/>
        <v>348.15</v>
      </c>
      <c r="C54" s="10">
        <v>60.795000000000002</v>
      </c>
      <c r="D54" s="10">
        <f t="shared" si="0"/>
        <v>0.89900462382485125</v>
      </c>
      <c r="E54" s="10">
        <v>0.10099537617514878</v>
      </c>
    </row>
    <row r="55" spans="2:5" x14ac:dyDescent="0.25">
      <c r="B55" s="13">
        <f t="shared" si="3"/>
        <v>348.15</v>
      </c>
      <c r="C55" s="10">
        <v>60.795000000000002</v>
      </c>
      <c r="D55" s="10">
        <f t="shared" si="0"/>
        <v>0.89871143633098904</v>
      </c>
      <c r="E55" s="10">
        <v>0.10128856366901093</v>
      </c>
    </row>
    <row r="56" spans="2:5" x14ac:dyDescent="0.25">
      <c r="B56" s="13">
        <f t="shared" si="3"/>
        <v>348.15</v>
      </c>
      <c r="C56" s="10">
        <v>81.06</v>
      </c>
      <c r="D56" s="10">
        <f t="shared" si="0"/>
        <v>0.86943897970696193</v>
      </c>
      <c r="E56" s="10">
        <v>0.13056102029303801</v>
      </c>
    </row>
    <row r="57" spans="2:5" x14ac:dyDescent="0.25">
      <c r="B57" s="13">
        <f t="shared" si="3"/>
        <v>348.15</v>
      </c>
      <c r="C57" s="10">
        <v>81.06</v>
      </c>
      <c r="D57" s="10">
        <f t="shared" si="0"/>
        <v>0.86944669516732676</v>
      </c>
      <c r="E57" s="10">
        <v>0.13055330483267322</v>
      </c>
    </row>
    <row r="58" spans="2:5" x14ac:dyDescent="0.25">
      <c r="B58" s="13">
        <f t="shared" si="3"/>
        <v>348.15</v>
      </c>
      <c r="C58" s="10">
        <v>101.325</v>
      </c>
      <c r="D58" s="10">
        <f t="shared" si="0"/>
        <v>0.84324499176848766</v>
      </c>
      <c r="E58" s="10">
        <v>0.15675500823151239</v>
      </c>
    </row>
    <row r="59" spans="2:5" x14ac:dyDescent="0.25">
      <c r="B59" s="13">
        <f t="shared" si="3"/>
        <v>348.15</v>
      </c>
      <c r="C59" s="10">
        <v>101.325</v>
      </c>
      <c r="D59" s="10">
        <f t="shared" si="0"/>
        <v>0.84302895887827334</v>
      </c>
      <c r="E59" s="10">
        <v>0.15697104112172661</v>
      </c>
    </row>
    <row r="60" spans="2:5" x14ac:dyDescent="0.25">
      <c r="B60" s="13">
        <f t="shared" si="3"/>
        <v>348.15</v>
      </c>
      <c r="C60" s="10">
        <v>101.325</v>
      </c>
      <c r="D60" s="10">
        <f t="shared" si="0"/>
        <v>0.84319098354593403</v>
      </c>
      <c r="E60" s="10">
        <v>0.15680901645406597</v>
      </c>
    </row>
    <row r="61" spans="2:5" x14ac:dyDescent="0.25">
      <c r="B61" s="13">
        <f>100+273.15</f>
        <v>373.15</v>
      </c>
      <c r="C61" s="10">
        <v>10.1325</v>
      </c>
      <c r="D61" s="10">
        <f t="shared" si="0"/>
        <v>0.98790987360836835</v>
      </c>
      <c r="E61" s="10">
        <v>1.2090126391631636E-2</v>
      </c>
    </row>
    <row r="62" spans="2:5" x14ac:dyDescent="0.25">
      <c r="B62" s="13">
        <f t="shared" ref="B62:B73" si="4">100+273.15</f>
        <v>373.15</v>
      </c>
      <c r="C62" s="10">
        <v>10.1325</v>
      </c>
      <c r="D62" s="10">
        <f t="shared" si="0"/>
        <v>0.98791758906873317</v>
      </c>
      <c r="E62" s="10">
        <v>1.2082410931266843E-2</v>
      </c>
    </row>
    <row r="63" spans="2:5" x14ac:dyDescent="0.25">
      <c r="B63" s="13">
        <f t="shared" si="4"/>
        <v>373.15</v>
      </c>
      <c r="C63" s="10">
        <v>20.265000000000001</v>
      </c>
      <c r="D63" s="10">
        <f t="shared" si="0"/>
        <v>0.95593700585666352</v>
      </c>
      <c r="E63" s="10">
        <v>4.406299414333649E-2</v>
      </c>
    </row>
    <row r="64" spans="2:5" x14ac:dyDescent="0.25">
      <c r="B64" s="13">
        <f t="shared" si="4"/>
        <v>373.15</v>
      </c>
      <c r="C64" s="10">
        <v>20.265000000000001</v>
      </c>
      <c r="D64" s="10">
        <f t="shared" si="0"/>
        <v>0.95596015223775788</v>
      </c>
      <c r="E64" s="10">
        <v>4.4039847762242103E-2</v>
      </c>
    </row>
    <row r="65" spans="1:7" x14ac:dyDescent="0.25">
      <c r="B65" s="13">
        <f t="shared" si="4"/>
        <v>373.15</v>
      </c>
      <c r="C65" s="10">
        <v>40.53</v>
      </c>
      <c r="D65" s="10">
        <f t="shared" si="0"/>
        <v>0.89152062727100145</v>
      </c>
      <c r="E65" s="10">
        <v>0.1084793727289986</v>
      </c>
    </row>
    <row r="66" spans="1:7" x14ac:dyDescent="0.25">
      <c r="B66" s="13">
        <f t="shared" si="4"/>
        <v>373.15</v>
      </c>
      <c r="C66" s="10">
        <v>40.53</v>
      </c>
      <c r="D66" s="10">
        <f t="shared" ref="D66:D84" si="5">1-E66</f>
        <v>0.89152062727100145</v>
      </c>
      <c r="E66" s="10">
        <v>0.1084793727289986</v>
      </c>
    </row>
    <row r="67" spans="1:7" x14ac:dyDescent="0.25">
      <c r="B67" s="13">
        <f t="shared" si="4"/>
        <v>373.15</v>
      </c>
      <c r="C67" s="10">
        <v>60.795000000000002</v>
      </c>
      <c r="D67" s="10">
        <f t="shared" si="5"/>
        <v>0.82694993947804341</v>
      </c>
      <c r="E67" s="10">
        <v>0.17305006052195657</v>
      </c>
    </row>
    <row r="68" spans="1:7" x14ac:dyDescent="0.25">
      <c r="B68" s="13">
        <f t="shared" si="4"/>
        <v>373.15</v>
      </c>
      <c r="C68" s="10">
        <v>60.795000000000002</v>
      </c>
      <c r="D68" s="10">
        <f t="shared" si="5"/>
        <v>0.82738972071883665</v>
      </c>
      <c r="E68" s="10">
        <v>0.17261027928116335</v>
      </c>
    </row>
    <row r="69" spans="1:7" x14ac:dyDescent="0.25">
      <c r="B69" s="13">
        <f t="shared" si="4"/>
        <v>373.15</v>
      </c>
      <c r="C69" s="10">
        <v>60.795000000000002</v>
      </c>
      <c r="D69" s="10">
        <f t="shared" si="5"/>
        <v>0.82717368782862244</v>
      </c>
      <c r="E69" s="10">
        <v>0.17282631217137756</v>
      </c>
    </row>
    <row r="70" spans="1:7" x14ac:dyDescent="0.25">
      <c r="B70" s="13">
        <f t="shared" si="4"/>
        <v>373.15</v>
      </c>
      <c r="C70" s="10">
        <v>81.06</v>
      </c>
      <c r="D70" s="10">
        <f t="shared" si="5"/>
        <v>0.76460130427014605</v>
      </c>
      <c r="E70" s="10">
        <v>0.235398695729854</v>
      </c>
    </row>
    <row r="71" spans="1:7" x14ac:dyDescent="0.25">
      <c r="B71" s="13">
        <f t="shared" si="4"/>
        <v>373.15</v>
      </c>
      <c r="C71" s="10">
        <v>81.06</v>
      </c>
      <c r="D71" s="10">
        <f t="shared" si="5"/>
        <v>0.76444699506285008</v>
      </c>
      <c r="E71" s="10">
        <v>0.2355530049371499</v>
      </c>
    </row>
    <row r="72" spans="1:7" x14ac:dyDescent="0.25">
      <c r="B72" s="13">
        <f t="shared" si="4"/>
        <v>373.15</v>
      </c>
      <c r="C72" s="10">
        <v>101.325</v>
      </c>
      <c r="D72" s="10">
        <f t="shared" si="5"/>
        <v>0.70056298324235877</v>
      </c>
      <c r="E72" s="10">
        <v>0.29943701675764123</v>
      </c>
    </row>
    <row r="73" spans="1:7" ht="15.75" thickBot="1" x14ac:dyDescent="0.3">
      <c r="A73" s="9"/>
      <c r="B73" s="17">
        <f t="shared" si="4"/>
        <v>373.15</v>
      </c>
      <c r="C73" s="11">
        <v>101.325</v>
      </c>
      <c r="D73" s="11">
        <f t="shared" si="5"/>
        <v>0.70048582863871089</v>
      </c>
      <c r="E73" s="11">
        <v>0.29951417136128911</v>
      </c>
      <c r="F73" s="11"/>
      <c r="G73" s="11"/>
    </row>
    <row r="74" spans="1:7" x14ac:dyDescent="0.25">
      <c r="A74" s="18" t="s">
        <v>98</v>
      </c>
      <c r="B74" s="13">
        <f>0+273.15</f>
        <v>273.14999999999998</v>
      </c>
      <c r="C74" s="10">
        <v>5.0662500000000001</v>
      </c>
      <c r="D74" s="10">
        <f t="shared" si="5"/>
        <v>0.99746932900034768</v>
      </c>
      <c r="E74" s="10">
        <v>2.5306709996523145E-3</v>
      </c>
    </row>
    <row r="75" spans="1:7" x14ac:dyDescent="0.25">
      <c r="B75" s="13">
        <f t="shared" ref="B75:B84" si="6">0+273.15</f>
        <v>273.14999999999998</v>
      </c>
      <c r="C75" s="10">
        <v>10.1325</v>
      </c>
      <c r="D75" s="10">
        <f t="shared" si="5"/>
        <v>0.99483064155558831</v>
      </c>
      <c r="E75" s="10">
        <v>5.1693584444117398E-3</v>
      </c>
    </row>
    <row r="76" spans="1:7" x14ac:dyDescent="0.25">
      <c r="B76" s="13">
        <f t="shared" si="6"/>
        <v>273.14999999999998</v>
      </c>
      <c r="C76" s="10">
        <v>20.265000000000001</v>
      </c>
      <c r="D76" s="10">
        <f t="shared" si="5"/>
        <v>0.98988503146175555</v>
      </c>
      <c r="E76" s="10">
        <v>1.0114968538244463E-2</v>
      </c>
    </row>
    <row r="77" spans="1:7" x14ac:dyDescent="0.25">
      <c r="B77" s="13">
        <f t="shared" si="6"/>
        <v>273.14999999999998</v>
      </c>
      <c r="C77" s="10">
        <v>30.397500000000001</v>
      </c>
      <c r="D77" s="10">
        <f t="shared" si="5"/>
        <v>0.98537148714835121</v>
      </c>
      <c r="E77" s="10">
        <v>1.4628512851648744E-2</v>
      </c>
    </row>
    <row r="78" spans="1:7" x14ac:dyDescent="0.25">
      <c r="B78" s="13">
        <f t="shared" si="6"/>
        <v>273.14999999999998</v>
      </c>
      <c r="C78" s="10">
        <v>40.53</v>
      </c>
      <c r="D78" s="10">
        <f t="shared" si="5"/>
        <v>0.98122828493245706</v>
      </c>
      <c r="E78" s="10">
        <v>1.8771715067542927E-2</v>
      </c>
    </row>
    <row r="79" spans="1:7" x14ac:dyDescent="0.25">
      <c r="B79" s="13">
        <f t="shared" si="6"/>
        <v>273.14999999999998</v>
      </c>
      <c r="C79" s="10">
        <v>50.662500000000001</v>
      </c>
      <c r="D79" s="10">
        <f t="shared" si="5"/>
        <v>0.977416847512249</v>
      </c>
      <c r="E79" s="10">
        <v>2.2583152487750991E-2</v>
      </c>
    </row>
    <row r="80" spans="1:7" x14ac:dyDescent="0.25">
      <c r="B80" s="13">
        <f t="shared" si="6"/>
        <v>273.14999999999998</v>
      </c>
      <c r="C80" s="10">
        <v>60.795000000000002</v>
      </c>
      <c r="D80" s="10">
        <f t="shared" si="5"/>
        <v>0.97377515022006644</v>
      </c>
      <c r="E80" s="10">
        <v>2.6224849779933588E-2</v>
      </c>
    </row>
    <row r="81" spans="1:7" x14ac:dyDescent="0.25">
      <c r="B81" s="13">
        <f t="shared" si="6"/>
        <v>273.14999999999998</v>
      </c>
      <c r="C81" s="10">
        <v>70.927499999999995</v>
      </c>
      <c r="D81" s="10">
        <f t="shared" si="5"/>
        <v>0.97048836410466433</v>
      </c>
      <c r="E81" s="10">
        <v>2.9511635895335678E-2</v>
      </c>
    </row>
    <row r="82" spans="1:7" x14ac:dyDescent="0.25">
      <c r="B82" s="13">
        <f t="shared" si="6"/>
        <v>273.14999999999998</v>
      </c>
      <c r="C82" s="10">
        <v>81.06</v>
      </c>
      <c r="D82" s="10">
        <f t="shared" si="5"/>
        <v>0.96734045627582854</v>
      </c>
      <c r="E82" s="10">
        <v>3.2659543724171486E-2</v>
      </c>
    </row>
    <row r="83" spans="1:7" x14ac:dyDescent="0.25">
      <c r="B83" s="13">
        <f t="shared" si="6"/>
        <v>273.14999999999998</v>
      </c>
      <c r="C83" s="10">
        <v>91.192499999999995</v>
      </c>
      <c r="D83" s="10">
        <f t="shared" si="5"/>
        <v>0.96435457311465334</v>
      </c>
      <c r="E83" s="10">
        <v>3.5645426885346623E-2</v>
      </c>
    </row>
    <row r="84" spans="1:7" ht="15.75" thickBot="1" x14ac:dyDescent="0.3">
      <c r="A84" s="9"/>
      <c r="B84" s="17">
        <f t="shared" si="6"/>
        <v>273.14999999999998</v>
      </c>
      <c r="C84" s="11">
        <v>101.325</v>
      </c>
      <c r="D84" s="11">
        <f t="shared" si="5"/>
        <v>0.96160015376442209</v>
      </c>
      <c r="E84" s="11">
        <v>3.8399846235577954E-2</v>
      </c>
      <c r="F84" s="11"/>
      <c r="G84" s="11"/>
    </row>
    <row r="85" spans="1:7" x14ac:dyDescent="0.25">
      <c r="A85" s="18" t="s">
        <v>99</v>
      </c>
      <c r="B85" s="13">
        <v>277.59399999999999</v>
      </c>
      <c r="C85" s="10">
        <v>1.538702986641</v>
      </c>
      <c r="F85" s="10">
        <f>1-G85</f>
        <v>0.33989999999999998</v>
      </c>
      <c r="G85" s="10">
        <v>0.66010000000000002</v>
      </c>
    </row>
    <row r="86" spans="1:7" x14ac:dyDescent="0.25">
      <c r="B86" s="13">
        <v>277.59399999999999</v>
      </c>
      <c r="C86" s="10">
        <v>2.6126993312620002</v>
      </c>
      <c r="F86" s="10">
        <f t="shared" ref="F86:F149" si="7">1-G86</f>
        <v>0.20930000000000004</v>
      </c>
      <c r="G86" s="10">
        <v>0.79069999999999996</v>
      </c>
    </row>
    <row r="87" spans="1:7" x14ac:dyDescent="0.25">
      <c r="B87" s="13">
        <v>277.59399999999999</v>
      </c>
      <c r="C87" s="10">
        <v>3.4415870538680005</v>
      </c>
      <c r="F87" s="10">
        <f t="shared" si="7"/>
        <v>0.16300000000000003</v>
      </c>
      <c r="G87" s="10">
        <v>0.83699999999999997</v>
      </c>
    </row>
    <row r="88" spans="1:7" x14ac:dyDescent="0.25">
      <c r="B88" s="13">
        <v>277.59399999999999</v>
      </c>
      <c r="C88" s="10">
        <v>4.8257785294159996</v>
      </c>
      <c r="F88" s="10">
        <f t="shared" si="7"/>
        <v>0.11960000000000004</v>
      </c>
      <c r="G88" s="10">
        <v>0.88039999999999996</v>
      </c>
    </row>
    <row r="89" spans="1:7" x14ac:dyDescent="0.25">
      <c r="B89" s="13">
        <v>277.59399999999999</v>
      </c>
      <c r="C89" s="10">
        <v>7.8121737063380001</v>
      </c>
      <c r="F89" s="10">
        <f t="shared" si="7"/>
        <v>7.8200000000000047E-2</v>
      </c>
      <c r="G89" s="10">
        <v>0.92179999999999995</v>
      </c>
    </row>
    <row r="90" spans="1:7" x14ac:dyDescent="0.25">
      <c r="B90" s="13">
        <v>277.59399999999999</v>
      </c>
      <c r="C90" s="10">
        <v>10.376196051062001</v>
      </c>
      <c r="F90" s="10">
        <f t="shared" si="7"/>
        <v>5.9899999999999953E-2</v>
      </c>
      <c r="G90" s="10">
        <v>0.94010000000000005</v>
      </c>
    </row>
    <row r="91" spans="1:7" x14ac:dyDescent="0.25">
      <c r="B91" s="13">
        <v>277.59399999999999</v>
      </c>
      <c r="C91" s="10">
        <v>14.421281211399002</v>
      </c>
      <c r="F91" s="10">
        <f t="shared" si="7"/>
        <v>4.6000000000000041E-2</v>
      </c>
      <c r="G91" s="10">
        <v>0.95399999999999996</v>
      </c>
    </row>
    <row r="92" spans="1:7" x14ac:dyDescent="0.25">
      <c r="B92" s="13">
        <v>277.59399999999999</v>
      </c>
      <c r="C92" s="10">
        <v>22.066188105639</v>
      </c>
      <c r="F92" s="10">
        <f t="shared" si="7"/>
        <v>3.620000000000001E-2</v>
      </c>
      <c r="G92" s="10">
        <v>0.96379999999999999</v>
      </c>
    </row>
    <row r="93" spans="1:7" x14ac:dyDescent="0.25">
      <c r="B93" s="13">
        <v>277.59399999999999</v>
      </c>
      <c r="C93" s="10">
        <v>31.719675696515001</v>
      </c>
      <c r="F93" s="10">
        <f t="shared" si="7"/>
        <v>2.9800000000000049E-2</v>
      </c>
      <c r="G93" s="10">
        <v>0.97019999999999995</v>
      </c>
    </row>
    <row r="94" spans="1:7" x14ac:dyDescent="0.25">
      <c r="B94" s="13">
        <v>277.59399999999999</v>
      </c>
      <c r="C94" s="10">
        <v>35.949126667053996</v>
      </c>
      <c r="F94" s="10">
        <f t="shared" si="7"/>
        <v>2.9299999999999993E-2</v>
      </c>
      <c r="G94" s="10">
        <v>0.97070000000000001</v>
      </c>
    </row>
    <row r="95" spans="1:7" x14ac:dyDescent="0.25">
      <c r="B95" s="13">
        <v>310.928</v>
      </c>
      <c r="C95" s="10">
        <v>2.4558436026870001</v>
      </c>
      <c r="F95" s="10">
        <f t="shared" si="7"/>
        <v>0.62569999999999992</v>
      </c>
      <c r="G95" s="10">
        <v>0.37430000000000002</v>
      </c>
    </row>
    <row r="96" spans="1:7" x14ac:dyDescent="0.25">
      <c r="B96" s="13">
        <v>310.928</v>
      </c>
      <c r="C96" s="10">
        <v>3.6088538659659997</v>
      </c>
      <c r="F96" s="10">
        <f t="shared" si="7"/>
        <v>0.44489999999999996</v>
      </c>
      <c r="G96" s="10">
        <v>0.55510000000000004</v>
      </c>
    </row>
    <row r="97" spans="2:7" x14ac:dyDescent="0.25">
      <c r="B97" s="13">
        <v>310.928</v>
      </c>
      <c r="C97" s="10">
        <v>5.2444281926720002</v>
      </c>
      <c r="F97" s="10">
        <f t="shared" si="7"/>
        <v>0.32679999999999998</v>
      </c>
      <c r="G97" s="10">
        <v>0.67320000000000002</v>
      </c>
    </row>
    <row r="98" spans="2:7" x14ac:dyDescent="0.25">
      <c r="B98" s="13">
        <v>310.928</v>
      </c>
      <c r="C98" s="10">
        <v>5.6502536073499998</v>
      </c>
      <c r="F98" s="10">
        <f t="shared" si="7"/>
        <v>0.3044</v>
      </c>
      <c r="G98" s="10">
        <v>0.6956</v>
      </c>
    </row>
    <row r="99" spans="2:7" x14ac:dyDescent="0.25">
      <c r="B99" s="13">
        <v>310.928</v>
      </c>
      <c r="C99" s="10">
        <v>6.203419985529</v>
      </c>
      <c r="F99" s="10">
        <f t="shared" si="7"/>
        <v>0.27210000000000001</v>
      </c>
      <c r="G99" s="10">
        <v>0.72789999999999999</v>
      </c>
    </row>
    <row r="100" spans="2:7" x14ac:dyDescent="0.25">
      <c r="B100" s="13">
        <v>310.928</v>
      </c>
      <c r="C100" s="10">
        <v>6.9641875060110001</v>
      </c>
      <c r="F100" s="10">
        <f t="shared" si="7"/>
        <v>0.25609999999999999</v>
      </c>
      <c r="G100" s="10">
        <v>0.74390000000000001</v>
      </c>
    </row>
    <row r="101" spans="2:7" x14ac:dyDescent="0.25">
      <c r="B101" s="13">
        <v>310.928</v>
      </c>
      <c r="C101" s="10">
        <v>8.3622374437319991</v>
      </c>
      <c r="F101" s="10">
        <f t="shared" si="7"/>
        <v>0.21220000000000006</v>
      </c>
      <c r="G101" s="10">
        <v>0.78779999999999994</v>
      </c>
    </row>
    <row r="102" spans="2:7" x14ac:dyDescent="0.25">
      <c r="B102" s="13">
        <v>310.928</v>
      </c>
      <c r="C102" s="10">
        <v>11.655380372931001</v>
      </c>
      <c r="F102" s="10">
        <f t="shared" si="7"/>
        <v>0.16369999999999996</v>
      </c>
      <c r="G102" s="10">
        <v>0.83630000000000004</v>
      </c>
    </row>
    <row r="103" spans="2:7" x14ac:dyDescent="0.25">
      <c r="B103" s="13">
        <v>310.928</v>
      </c>
      <c r="C103" s="10">
        <v>14.319859331516001</v>
      </c>
      <c r="F103" s="10">
        <f t="shared" si="7"/>
        <v>0.14119999999999999</v>
      </c>
      <c r="G103" s="10">
        <v>0.85880000000000001</v>
      </c>
    </row>
    <row r="104" spans="2:7" x14ac:dyDescent="0.25">
      <c r="B104" s="13">
        <v>310.928</v>
      </c>
      <c r="C104" s="10">
        <v>17.933194789727001</v>
      </c>
      <c r="F104" s="10">
        <f>1-G104</f>
        <v>0.11899999999999999</v>
      </c>
      <c r="G104" s="10">
        <v>0.88100000000000001</v>
      </c>
    </row>
    <row r="105" spans="2:7" x14ac:dyDescent="0.25">
      <c r="B105" s="13">
        <v>310.928</v>
      </c>
      <c r="C105" s="10">
        <v>21.157114355634</v>
      </c>
      <c r="F105" s="10">
        <f t="shared" si="7"/>
        <v>0.10880000000000001</v>
      </c>
      <c r="G105" s="10">
        <v>0.89119999999999999</v>
      </c>
    </row>
    <row r="106" spans="2:7" x14ac:dyDescent="0.25">
      <c r="B106" s="13">
        <v>310.928</v>
      </c>
      <c r="C106" s="10">
        <v>30.634234054776002</v>
      </c>
      <c r="F106" s="10">
        <f t="shared" si="7"/>
        <v>8.340000000000003E-2</v>
      </c>
      <c r="G106" s="10">
        <v>0.91659999999999997</v>
      </c>
    </row>
    <row r="107" spans="2:7" x14ac:dyDescent="0.25">
      <c r="B107" s="13">
        <v>310.928</v>
      </c>
      <c r="C107" s="10">
        <v>40.736846136174002</v>
      </c>
      <c r="F107" s="10">
        <f t="shared" si="7"/>
        <v>7.3799999999999977E-2</v>
      </c>
      <c r="G107" s="10">
        <v>0.92620000000000002</v>
      </c>
    </row>
    <row r="108" spans="2:7" x14ac:dyDescent="0.25">
      <c r="B108" s="13">
        <v>344.26100000000002</v>
      </c>
      <c r="C108" s="10">
        <v>5.4076960455360004</v>
      </c>
      <c r="F108" s="10">
        <f t="shared" si="7"/>
        <v>0.6956</v>
      </c>
      <c r="G108" s="10">
        <v>0.3044</v>
      </c>
    </row>
    <row r="109" spans="2:7" x14ac:dyDescent="0.25">
      <c r="B109" s="13">
        <v>344.26100000000002</v>
      </c>
      <c r="C109" s="10">
        <v>7.2874137282350002</v>
      </c>
      <c r="F109" s="10">
        <f t="shared" si="7"/>
        <v>0.55559999999999998</v>
      </c>
      <c r="G109" s="10">
        <v>0.44440000000000002</v>
      </c>
    </row>
    <row r="110" spans="2:7" x14ac:dyDescent="0.25">
      <c r="B110" s="13">
        <v>344.26100000000002</v>
      </c>
      <c r="C110" s="10">
        <v>9.8612266283249994</v>
      </c>
      <c r="F110" s="10">
        <f t="shared" si="7"/>
        <v>0.43799999999999994</v>
      </c>
      <c r="G110" s="10">
        <v>0.56200000000000006</v>
      </c>
    </row>
    <row r="111" spans="2:7" x14ac:dyDescent="0.25">
      <c r="B111" s="13">
        <v>344.26100000000002</v>
      </c>
      <c r="C111" s="10">
        <v>12.485440204277999</v>
      </c>
      <c r="F111" s="10">
        <f t="shared" si="7"/>
        <v>0.36990000000000001</v>
      </c>
      <c r="G111" s="10">
        <v>0.63009999999999999</v>
      </c>
    </row>
    <row r="112" spans="2:7" x14ac:dyDescent="0.25">
      <c r="B112" s="13">
        <v>344.26100000000002</v>
      </c>
      <c r="C112" s="10">
        <v>16.165241122861001</v>
      </c>
      <c r="F112" s="10">
        <f t="shared" si="7"/>
        <v>0.30879999999999996</v>
      </c>
      <c r="G112" s="10">
        <v>0.69120000000000004</v>
      </c>
    </row>
    <row r="113" spans="2:7" x14ac:dyDescent="0.25">
      <c r="B113" s="13">
        <v>344.26100000000002</v>
      </c>
      <c r="C113" s="10">
        <v>23.442450610291999</v>
      </c>
      <c r="F113" s="10">
        <f t="shared" si="7"/>
        <v>0.24039999999999995</v>
      </c>
      <c r="G113" s="10">
        <v>0.75960000000000005</v>
      </c>
    </row>
    <row r="114" spans="2:7" x14ac:dyDescent="0.25">
      <c r="B114" s="13">
        <v>344.26100000000002</v>
      </c>
      <c r="C114" s="10">
        <v>31.113833372564002</v>
      </c>
      <c r="F114" s="10">
        <f t="shared" si="7"/>
        <v>0.20140000000000002</v>
      </c>
      <c r="G114" s="10">
        <v>0.79859999999999998</v>
      </c>
    </row>
    <row r="115" spans="2:7" x14ac:dyDescent="0.25">
      <c r="B115" s="13">
        <v>344.26100000000002</v>
      </c>
      <c r="C115" s="10">
        <v>37.918131456788004</v>
      </c>
      <c r="F115" s="10">
        <f t="shared" si="7"/>
        <v>0.18149999999999999</v>
      </c>
      <c r="G115" s="10">
        <v>0.81850000000000001</v>
      </c>
    </row>
    <row r="116" spans="2:7" x14ac:dyDescent="0.25">
      <c r="B116" s="13">
        <v>377.59399999999999</v>
      </c>
      <c r="C116" s="10">
        <v>10.729345519968001</v>
      </c>
      <c r="F116" s="10">
        <f t="shared" si="7"/>
        <v>0.76880000000000004</v>
      </c>
      <c r="G116" s="10">
        <v>0.23119999999999999</v>
      </c>
    </row>
    <row r="117" spans="2:7" x14ac:dyDescent="0.25">
      <c r="B117" s="13">
        <v>377.59399999999999</v>
      </c>
      <c r="C117" s="10">
        <v>12.041348886585</v>
      </c>
      <c r="F117" s="10">
        <f t="shared" si="7"/>
        <v>0.7228</v>
      </c>
      <c r="G117" s="10">
        <v>0.2772</v>
      </c>
    </row>
    <row r="118" spans="2:7" x14ac:dyDescent="0.25">
      <c r="B118" s="13">
        <v>377.59399999999999</v>
      </c>
      <c r="C118" s="10">
        <v>13.567779205232</v>
      </c>
      <c r="F118" s="10">
        <f t="shared" si="7"/>
        <v>0.67730000000000001</v>
      </c>
      <c r="G118" s="10">
        <v>0.32269999999999999</v>
      </c>
    </row>
    <row r="119" spans="2:7" x14ac:dyDescent="0.25">
      <c r="B119" s="13">
        <v>377.59399999999999</v>
      </c>
      <c r="C119" s="10">
        <v>15.099587434573001</v>
      </c>
      <c r="F119" s="10">
        <f t="shared" si="7"/>
        <v>0.64329999999999998</v>
      </c>
      <c r="G119" s="10">
        <v>0.35670000000000002</v>
      </c>
    </row>
    <row r="120" spans="2:7" x14ac:dyDescent="0.25">
      <c r="B120" s="13">
        <v>377.59399999999999</v>
      </c>
      <c r="C120" s="10">
        <v>17.250820659746001</v>
      </c>
      <c r="F120" s="10">
        <f t="shared" si="7"/>
        <v>0.59339999999999993</v>
      </c>
      <c r="G120" s="10">
        <v>0.40660000000000002</v>
      </c>
    </row>
    <row r="121" spans="2:7" x14ac:dyDescent="0.25">
      <c r="B121" s="13">
        <v>377.59399999999999</v>
      </c>
      <c r="C121" s="10">
        <v>19.377853286796</v>
      </c>
      <c r="F121" s="10">
        <f t="shared" si="7"/>
        <v>0.55820000000000003</v>
      </c>
      <c r="G121" s="10">
        <v>0.44180000000000003</v>
      </c>
    </row>
    <row r="122" spans="2:7" x14ac:dyDescent="0.25">
      <c r="B122" s="13">
        <v>377.59399999999999</v>
      </c>
      <c r="C122" s="10">
        <v>21.261156243291001</v>
      </c>
      <c r="F122" s="10">
        <f t="shared" si="7"/>
        <v>0.52939999999999998</v>
      </c>
      <c r="G122" s="10">
        <v>0.47060000000000002</v>
      </c>
    </row>
    <row r="123" spans="2:7" x14ac:dyDescent="0.25">
      <c r="B123" s="13">
        <v>377.59399999999999</v>
      </c>
      <c r="C123" s="10">
        <v>23.489334959932002</v>
      </c>
      <c r="F123" s="10">
        <f t="shared" si="7"/>
        <v>0.503</v>
      </c>
      <c r="G123" s="10">
        <v>0.497</v>
      </c>
    </row>
    <row r="124" spans="2:7" x14ac:dyDescent="0.25">
      <c r="B124" s="13">
        <v>377.59399999999999</v>
      </c>
      <c r="C124" s="10">
        <v>25.63608659286</v>
      </c>
      <c r="F124" s="10">
        <f t="shared" si="7"/>
        <v>0.48340000000000005</v>
      </c>
      <c r="G124" s="10">
        <v>0.51659999999999995</v>
      </c>
    </row>
    <row r="125" spans="2:7" x14ac:dyDescent="0.25">
      <c r="B125" s="13">
        <v>377.59399999999999</v>
      </c>
      <c r="C125" s="10">
        <v>27.601781899090003</v>
      </c>
      <c r="F125" s="10">
        <f t="shared" si="7"/>
        <v>0.46889999999999998</v>
      </c>
      <c r="G125" s="10">
        <v>0.53110000000000002</v>
      </c>
    </row>
    <row r="126" spans="2:7" x14ac:dyDescent="0.25">
      <c r="B126" s="13">
        <v>377.59399999999999</v>
      </c>
      <c r="C126" s="10">
        <v>31.008067795582001</v>
      </c>
      <c r="F126" s="10">
        <f t="shared" si="7"/>
        <v>0.43999999999999995</v>
      </c>
      <c r="G126" s="10">
        <v>0.56000000000000005</v>
      </c>
    </row>
    <row r="127" spans="2:7" x14ac:dyDescent="0.25">
      <c r="B127" s="13">
        <v>377.59399999999999</v>
      </c>
      <c r="C127" s="10">
        <v>33.750802249522003</v>
      </c>
      <c r="F127" s="10">
        <f t="shared" si="7"/>
        <v>0.42569999999999997</v>
      </c>
      <c r="G127" s="10">
        <v>0.57430000000000003</v>
      </c>
    </row>
    <row r="128" spans="2:7" x14ac:dyDescent="0.25">
      <c r="B128" s="13">
        <v>377.59399999999999</v>
      </c>
      <c r="C128" s="10">
        <v>38.191508583733004</v>
      </c>
      <c r="F128" s="10">
        <f t="shared" si="7"/>
        <v>0.40300000000000002</v>
      </c>
      <c r="G128" s="10">
        <v>0.59699999999999998</v>
      </c>
    </row>
    <row r="129" spans="2:7" x14ac:dyDescent="0.25">
      <c r="B129" s="13">
        <v>377.59399999999999</v>
      </c>
      <c r="C129" s="10">
        <v>41.686530006676001</v>
      </c>
      <c r="F129" s="10">
        <f t="shared" si="7"/>
        <v>0.39070000000000005</v>
      </c>
      <c r="G129" s="10">
        <v>0.60929999999999995</v>
      </c>
    </row>
    <row r="130" spans="2:7" x14ac:dyDescent="0.25">
      <c r="B130" s="13">
        <v>394.26100000000002</v>
      </c>
      <c r="C130" s="10">
        <v>17.407331650455998</v>
      </c>
      <c r="F130" s="10">
        <f t="shared" si="7"/>
        <v>0.76329999999999998</v>
      </c>
      <c r="G130" s="10">
        <v>0.23669999999999999</v>
      </c>
    </row>
    <row r="131" spans="2:7" x14ac:dyDescent="0.25">
      <c r="B131" s="13">
        <v>394.26100000000002</v>
      </c>
      <c r="C131" s="10">
        <v>21.537015482864</v>
      </c>
      <c r="F131" s="10">
        <f t="shared" si="7"/>
        <v>0.71160000000000001</v>
      </c>
      <c r="G131" s="10">
        <v>0.28839999999999999</v>
      </c>
    </row>
    <row r="132" spans="2:7" x14ac:dyDescent="0.25">
      <c r="B132" s="13">
        <v>394.26100000000002</v>
      </c>
      <c r="C132" s="10">
        <v>28.776096962425999</v>
      </c>
      <c r="F132" s="10">
        <f t="shared" si="7"/>
        <v>0.65700000000000003</v>
      </c>
      <c r="G132" s="10">
        <v>0.34300000000000003</v>
      </c>
    </row>
    <row r="133" spans="2:7" x14ac:dyDescent="0.25">
      <c r="B133" s="13">
        <v>394.26100000000002</v>
      </c>
      <c r="C133" s="10">
        <v>31.748357886882999</v>
      </c>
      <c r="F133" s="10">
        <f t="shared" si="7"/>
        <v>0.64660000000000006</v>
      </c>
      <c r="G133" s="10">
        <v>0.35339999999999999</v>
      </c>
    </row>
    <row r="134" spans="2:7" x14ac:dyDescent="0.25">
      <c r="B134" s="13">
        <v>277.59399999999999</v>
      </c>
      <c r="C134" s="10">
        <v>3.4473786500000001</v>
      </c>
      <c r="D134" s="10">
        <f t="shared" ref="D134:D155" si="8">1-E134</f>
        <v>0.99790000000000001</v>
      </c>
      <c r="E134" s="10">
        <v>2.0999999999999999E-3</v>
      </c>
      <c r="F134" s="10">
        <f t="shared" si="7"/>
        <v>0.16300000000000003</v>
      </c>
      <c r="G134" s="10">
        <v>0.83699999999999997</v>
      </c>
    </row>
    <row r="135" spans="2:7" x14ac:dyDescent="0.25">
      <c r="B135" s="13">
        <v>277.59399999999999</v>
      </c>
      <c r="C135" s="10">
        <v>6.8947573000000002</v>
      </c>
      <c r="D135" s="10">
        <f t="shared" si="8"/>
        <v>0.996</v>
      </c>
      <c r="E135" s="10">
        <v>4.0000000000000001E-3</v>
      </c>
      <c r="F135" s="10">
        <f t="shared" si="7"/>
        <v>8.5600000000000009E-2</v>
      </c>
      <c r="G135" s="10">
        <v>0.91439999999999999</v>
      </c>
    </row>
    <row r="136" spans="2:7" x14ac:dyDescent="0.25">
      <c r="B136" s="13">
        <v>277.59399999999999</v>
      </c>
      <c r="C136" s="10">
        <v>10.342135949999999</v>
      </c>
      <c r="D136" s="10">
        <f t="shared" si="8"/>
        <v>0.99450000000000005</v>
      </c>
      <c r="E136" s="10">
        <v>5.4999999999999997E-3</v>
      </c>
      <c r="F136" s="10">
        <f t="shared" si="7"/>
        <v>5.9899999999999953E-2</v>
      </c>
      <c r="G136" s="10">
        <v>0.94010000000000005</v>
      </c>
    </row>
    <row r="137" spans="2:7" x14ac:dyDescent="0.25">
      <c r="B137" s="13">
        <v>277.59399999999999</v>
      </c>
      <c r="C137" s="10">
        <v>13.7895146</v>
      </c>
      <c r="D137" s="10">
        <f t="shared" si="8"/>
        <v>0.99299999999999999</v>
      </c>
      <c r="E137" s="10">
        <v>7.0000000000000001E-3</v>
      </c>
      <c r="F137" s="10">
        <f t="shared" si="7"/>
        <v>4.7599999999999976E-2</v>
      </c>
      <c r="G137" s="10">
        <v>0.95240000000000002</v>
      </c>
    </row>
    <row r="138" spans="2:7" x14ac:dyDescent="0.25">
      <c r="B138" s="13">
        <v>277.59399999999999</v>
      </c>
      <c r="C138" s="10">
        <v>17.236893250000001</v>
      </c>
      <c r="D138" s="10">
        <f t="shared" si="8"/>
        <v>0.99150000000000005</v>
      </c>
      <c r="E138" s="10">
        <v>8.5000000000000006E-3</v>
      </c>
      <c r="F138" s="10">
        <f t="shared" si="7"/>
        <v>4.049999999999998E-2</v>
      </c>
      <c r="G138" s="10">
        <v>0.95950000000000002</v>
      </c>
    </row>
    <row r="139" spans="2:7" x14ac:dyDescent="0.25">
      <c r="B139" s="13">
        <v>277.59399999999999</v>
      </c>
      <c r="C139" s="10">
        <v>20.684271899999999</v>
      </c>
      <c r="D139" s="10">
        <f t="shared" si="8"/>
        <v>0.98980000000000001</v>
      </c>
      <c r="E139" s="10">
        <v>1.0200000000000001E-2</v>
      </c>
      <c r="F139" s="10">
        <f t="shared" si="7"/>
        <v>3.6000000000000032E-2</v>
      </c>
      <c r="G139" s="10">
        <v>0.96399999999999997</v>
      </c>
    </row>
    <row r="140" spans="2:7" x14ac:dyDescent="0.25">
      <c r="B140" s="13">
        <v>277.59399999999999</v>
      </c>
      <c r="C140" s="10">
        <v>24.13165055</v>
      </c>
      <c r="D140" s="10">
        <f t="shared" si="8"/>
        <v>0.98799999999999999</v>
      </c>
      <c r="E140" s="10">
        <v>1.2E-2</v>
      </c>
      <c r="F140" s="10">
        <f t="shared" si="7"/>
        <v>3.3599999999999963E-2</v>
      </c>
      <c r="G140" s="10">
        <v>0.96640000000000004</v>
      </c>
    </row>
    <row r="141" spans="2:7" x14ac:dyDescent="0.25">
      <c r="B141" s="13">
        <v>277.59399999999999</v>
      </c>
      <c r="C141" s="10">
        <v>27.579029200000001</v>
      </c>
      <c r="D141" s="10">
        <f t="shared" si="8"/>
        <v>0.98599999999999999</v>
      </c>
      <c r="E141" s="10">
        <v>1.4E-2</v>
      </c>
      <c r="F141" s="10">
        <f t="shared" si="7"/>
        <v>3.1000000000000028E-2</v>
      </c>
      <c r="G141" s="10">
        <v>0.96899999999999997</v>
      </c>
    </row>
    <row r="142" spans="2:7" x14ac:dyDescent="0.25">
      <c r="B142" s="13">
        <v>277.59399999999999</v>
      </c>
      <c r="C142" s="10">
        <v>31.026407850000002</v>
      </c>
      <c r="D142" s="10">
        <f t="shared" si="8"/>
        <v>0.98399999999999999</v>
      </c>
      <c r="E142" s="10">
        <v>1.6E-2</v>
      </c>
      <c r="F142" s="10">
        <f t="shared" si="7"/>
        <v>2.9499999999999971E-2</v>
      </c>
      <c r="G142" s="10">
        <v>0.97050000000000003</v>
      </c>
    </row>
    <row r="143" spans="2:7" x14ac:dyDescent="0.25">
      <c r="B143" s="13">
        <v>277.59399999999999</v>
      </c>
      <c r="C143" s="10">
        <v>34.473786500000003</v>
      </c>
      <c r="D143" s="10">
        <f t="shared" si="8"/>
        <v>0.9819</v>
      </c>
      <c r="E143" s="10">
        <v>1.8100000000000002E-2</v>
      </c>
      <c r="F143" s="10">
        <f t="shared" si="7"/>
        <v>2.849999999999997E-2</v>
      </c>
      <c r="G143" s="10">
        <v>0.97150000000000003</v>
      </c>
    </row>
    <row r="144" spans="2:7" x14ac:dyDescent="0.25">
      <c r="B144" s="13">
        <v>277.59399999999999</v>
      </c>
      <c r="C144" s="10">
        <v>37.92116515</v>
      </c>
      <c r="D144" s="10">
        <f t="shared" si="8"/>
        <v>0.97970000000000002</v>
      </c>
      <c r="E144" s="10">
        <v>2.0299999999999999E-2</v>
      </c>
      <c r="F144" s="10">
        <f t="shared" si="7"/>
        <v>2.8200000000000003E-2</v>
      </c>
      <c r="G144" s="10">
        <v>0.9718</v>
      </c>
    </row>
    <row r="145" spans="2:7" x14ac:dyDescent="0.25">
      <c r="B145" s="13">
        <v>277.59399999999999</v>
      </c>
      <c r="C145" s="10">
        <v>41.368543799999998</v>
      </c>
      <c r="D145" s="10">
        <f t="shared" si="8"/>
        <v>0.97750000000000004</v>
      </c>
      <c r="E145" s="10">
        <v>2.2499999999999999E-2</v>
      </c>
      <c r="F145" s="10">
        <f t="shared" si="7"/>
        <v>2.8000000000000025E-2</v>
      </c>
      <c r="G145" s="10">
        <v>0.97199999999999998</v>
      </c>
    </row>
    <row r="146" spans="2:7" x14ac:dyDescent="0.25">
      <c r="B146" s="13">
        <v>310.928</v>
      </c>
      <c r="C146" s="10">
        <v>3.4473786500000001</v>
      </c>
      <c r="D146" s="10">
        <f t="shared" si="8"/>
        <v>0.99750000000000005</v>
      </c>
      <c r="E146" s="10">
        <v>2.5000000000000001E-3</v>
      </c>
      <c r="F146" s="10">
        <f t="shared" si="7"/>
        <v>0.46499999999999997</v>
      </c>
      <c r="G146" s="10">
        <v>0.53500000000000003</v>
      </c>
    </row>
    <row r="147" spans="2:7" x14ac:dyDescent="0.25">
      <c r="B147" s="13">
        <v>310.928</v>
      </c>
      <c r="C147" s="10">
        <v>6.8947573000000002</v>
      </c>
      <c r="D147" s="10">
        <f t="shared" si="8"/>
        <v>0.99439999999999995</v>
      </c>
      <c r="E147" s="10">
        <v>5.5999999999999999E-3</v>
      </c>
      <c r="F147" s="10">
        <f t="shared" si="7"/>
        <v>0.251</v>
      </c>
      <c r="G147" s="10">
        <v>0.749</v>
      </c>
    </row>
    <row r="148" spans="2:7" x14ac:dyDescent="0.25">
      <c r="B148" s="13">
        <v>310.928</v>
      </c>
      <c r="C148" s="10">
        <v>10.342135949999999</v>
      </c>
      <c r="D148" s="10">
        <f t="shared" si="8"/>
        <v>0.99150000000000005</v>
      </c>
      <c r="E148" s="10">
        <v>8.5000000000000006E-3</v>
      </c>
      <c r="F148" s="10">
        <f t="shared" si="7"/>
        <v>0.18169999999999997</v>
      </c>
      <c r="G148" s="10">
        <v>0.81830000000000003</v>
      </c>
    </row>
    <row r="149" spans="2:7" x14ac:dyDescent="0.25">
      <c r="B149" s="13">
        <v>310.928</v>
      </c>
      <c r="C149" s="10">
        <v>13.7895146</v>
      </c>
      <c r="D149" s="10">
        <f t="shared" si="8"/>
        <v>0.98850000000000005</v>
      </c>
      <c r="E149" s="10">
        <v>1.15E-2</v>
      </c>
      <c r="F149" s="10">
        <f t="shared" si="7"/>
        <v>0.14380000000000004</v>
      </c>
      <c r="G149" s="10">
        <v>0.85619999999999996</v>
      </c>
    </row>
    <row r="150" spans="2:7" x14ac:dyDescent="0.25">
      <c r="B150" s="13">
        <v>310.928</v>
      </c>
      <c r="C150" s="10">
        <v>17.236893250000001</v>
      </c>
      <c r="D150" s="10">
        <f t="shared" si="8"/>
        <v>0.98529999999999995</v>
      </c>
      <c r="E150" s="10">
        <v>1.47E-2</v>
      </c>
      <c r="F150" s="10">
        <f t="shared" ref="F150:F188" si="9">1-G150</f>
        <v>0.12209999999999999</v>
      </c>
      <c r="G150" s="10">
        <v>0.87790000000000001</v>
      </c>
    </row>
    <row r="151" spans="2:7" x14ac:dyDescent="0.25">
      <c r="B151" s="13">
        <v>310.928</v>
      </c>
      <c r="C151" s="10">
        <v>20.684271899999999</v>
      </c>
      <c r="D151" s="10">
        <f t="shared" si="8"/>
        <v>0.9819</v>
      </c>
      <c r="E151" s="10">
        <v>1.8100000000000002E-2</v>
      </c>
      <c r="F151" s="10">
        <f t="shared" si="9"/>
        <v>0.10770000000000002</v>
      </c>
      <c r="G151" s="10">
        <v>0.89229999999999998</v>
      </c>
    </row>
    <row r="152" spans="2:7" x14ac:dyDescent="0.25">
      <c r="B152" s="13">
        <v>310.928</v>
      </c>
      <c r="C152" s="10">
        <v>24.13165055</v>
      </c>
      <c r="D152" s="10">
        <f t="shared" si="8"/>
        <v>0.97829999999999995</v>
      </c>
      <c r="E152" s="10">
        <v>2.1700000000000001E-2</v>
      </c>
      <c r="F152" s="10">
        <f t="shared" si="9"/>
        <v>9.6700000000000008E-2</v>
      </c>
      <c r="G152" s="10">
        <v>0.90329999999999999</v>
      </c>
    </row>
    <row r="153" spans="2:7" x14ac:dyDescent="0.25">
      <c r="B153" s="13">
        <v>310.928</v>
      </c>
      <c r="C153" s="10">
        <v>27.579029200000001</v>
      </c>
      <c r="D153" s="10">
        <f t="shared" si="8"/>
        <v>0.97450000000000003</v>
      </c>
      <c r="E153" s="10">
        <v>2.5499999999999998E-2</v>
      </c>
      <c r="F153" s="10">
        <f t="shared" si="9"/>
        <v>8.8999999999999968E-2</v>
      </c>
      <c r="G153" s="10">
        <v>0.91100000000000003</v>
      </c>
    </row>
    <row r="154" spans="2:7" x14ac:dyDescent="0.25">
      <c r="B154" s="13">
        <v>310.928</v>
      </c>
      <c r="C154" s="10">
        <v>31.026407850000002</v>
      </c>
      <c r="D154" s="10">
        <f t="shared" si="8"/>
        <v>0.97050000000000003</v>
      </c>
      <c r="E154" s="10">
        <v>2.9499999999999998E-2</v>
      </c>
      <c r="F154" s="10">
        <f t="shared" si="9"/>
        <v>8.3500000000000019E-2</v>
      </c>
      <c r="G154" s="10">
        <v>0.91649999999999998</v>
      </c>
    </row>
    <row r="155" spans="2:7" x14ac:dyDescent="0.25">
      <c r="B155" s="13">
        <v>310.928</v>
      </c>
      <c r="C155" s="10">
        <v>34.473786500000003</v>
      </c>
      <c r="D155" s="10">
        <f t="shared" si="8"/>
        <v>0.96650000000000003</v>
      </c>
      <c r="E155" s="10">
        <v>3.3500000000000002E-2</v>
      </c>
      <c r="F155" s="10">
        <f t="shared" si="9"/>
        <v>7.8500000000000014E-2</v>
      </c>
      <c r="G155" s="10">
        <v>0.92149999999999999</v>
      </c>
    </row>
    <row r="156" spans="2:7" x14ac:dyDescent="0.25">
      <c r="B156" s="13">
        <v>310.928</v>
      </c>
      <c r="C156" s="10">
        <v>37.92116515</v>
      </c>
      <c r="D156" s="10">
        <f t="shared" ref="D156:D175" si="10">1-E156</f>
        <v>0.96250000000000002</v>
      </c>
      <c r="E156" s="10">
        <v>3.7499999999999999E-2</v>
      </c>
      <c r="F156" s="10">
        <f t="shared" si="9"/>
        <v>7.5400000000000023E-2</v>
      </c>
      <c r="G156" s="10">
        <v>0.92459999999999998</v>
      </c>
    </row>
    <row r="157" spans="2:7" x14ac:dyDescent="0.25">
      <c r="B157" s="13">
        <v>310.928</v>
      </c>
      <c r="C157" s="10">
        <v>41.368543799999998</v>
      </c>
      <c r="D157" s="10">
        <f t="shared" si="10"/>
        <v>0.9587</v>
      </c>
      <c r="E157" s="10">
        <v>4.1300000000000003E-2</v>
      </c>
      <c r="F157" s="10">
        <f t="shared" si="9"/>
        <v>7.2999999999999954E-2</v>
      </c>
      <c r="G157" s="10">
        <v>0.92700000000000005</v>
      </c>
    </row>
    <row r="158" spans="2:7" x14ac:dyDescent="0.25">
      <c r="B158" s="13">
        <v>344.26100000000002</v>
      </c>
      <c r="C158" s="10">
        <v>6.8947573000000002</v>
      </c>
      <c r="D158" s="10">
        <f t="shared" si="10"/>
        <v>0.99350000000000005</v>
      </c>
      <c r="E158" s="10">
        <v>6.4999999999999997E-3</v>
      </c>
      <c r="F158" s="10">
        <f t="shared" si="9"/>
        <v>0.57800000000000007</v>
      </c>
      <c r="G158" s="10">
        <v>0.42199999999999999</v>
      </c>
    </row>
    <row r="159" spans="2:7" x14ac:dyDescent="0.25">
      <c r="B159" s="13">
        <v>344.26100000000002</v>
      </c>
      <c r="C159" s="10">
        <v>10.342135949999999</v>
      </c>
      <c r="D159" s="10">
        <f t="shared" si="10"/>
        <v>0.98850000000000005</v>
      </c>
      <c r="E159" s="10">
        <v>1.15E-2</v>
      </c>
      <c r="F159" s="10">
        <f t="shared" si="9"/>
        <v>0.42349999999999999</v>
      </c>
      <c r="G159" s="10">
        <v>0.57650000000000001</v>
      </c>
    </row>
    <row r="160" spans="2:7" x14ac:dyDescent="0.25">
      <c r="B160" s="13">
        <v>344.26100000000002</v>
      </c>
      <c r="C160" s="10">
        <v>13.7895146</v>
      </c>
      <c r="D160" s="10">
        <f t="shared" si="10"/>
        <v>0.98299999999999998</v>
      </c>
      <c r="E160" s="10">
        <v>1.7000000000000001E-2</v>
      </c>
      <c r="F160" s="10">
        <f t="shared" si="9"/>
        <v>0.34460000000000002</v>
      </c>
      <c r="G160" s="10">
        <v>0.65539999999999998</v>
      </c>
    </row>
    <row r="161" spans="2:7" x14ac:dyDescent="0.25">
      <c r="B161" s="13">
        <v>344.26100000000002</v>
      </c>
      <c r="C161" s="10">
        <v>17.236893250000001</v>
      </c>
      <c r="D161" s="10">
        <f t="shared" si="10"/>
        <v>0.97699999999999998</v>
      </c>
      <c r="E161" s="10">
        <v>2.3E-2</v>
      </c>
      <c r="F161" s="10">
        <f t="shared" si="9"/>
        <v>0.29620000000000002</v>
      </c>
      <c r="G161" s="10">
        <v>0.70379999999999998</v>
      </c>
    </row>
    <row r="162" spans="2:7" x14ac:dyDescent="0.25">
      <c r="B162" s="13">
        <v>344.26100000000002</v>
      </c>
      <c r="C162" s="10">
        <v>20.684271899999999</v>
      </c>
      <c r="D162" s="10">
        <f t="shared" si="10"/>
        <v>0.97099999999999997</v>
      </c>
      <c r="E162" s="10">
        <v>2.9000000000000001E-2</v>
      </c>
      <c r="F162" s="10">
        <f t="shared" si="9"/>
        <v>0.26049999999999995</v>
      </c>
      <c r="G162" s="10">
        <v>0.73950000000000005</v>
      </c>
    </row>
    <row r="163" spans="2:7" x14ac:dyDescent="0.25">
      <c r="B163" s="13">
        <v>344.26100000000002</v>
      </c>
      <c r="C163" s="10">
        <v>24.13165055</v>
      </c>
      <c r="D163" s="10">
        <f t="shared" si="10"/>
        <v>0.96499999999999997</v>
      </c>
      <c r="E163" s="10">
        <v>3.5000000000000003E-2</v>
      </c>
      <c r="F163" s="10">
        <f t="shared" si="9"/>
        <v>0.23599999999999999</v>
      </c>
      <c r="G163" s="10">
        <v>0.76400000000000001</v>
      </c>
    </row>
    <row r="164" spans="2:7" x14ac:dyDescent="0.25">
      <c r="B164" s="13">
        <v>344.26100000000002</v>
      </c>
      <c r="C164" s="10">
        <v>27.579029200000001</v>
      </c>
      <c r="D164" s="10">
        <f t="shared" si="10"/>
        <v>0.95899999999999996</v>
      </c>
      <c r="E164" s="10">
        <v>4.1000000000000002E-2</v>
      </c>
      <c r="F164" s="10">
        <f t="shared" si="9"/>
        <v>0.21689999999999998</v>
      </c>
      <c r="G164" s="10">
        <v>0.78310000000000002</v>
      </c>
    </row>
    <row r="165" spans="2:7" x14ac:dyDescent="0.25">
      <c r="B165" s="13">
        <v>344.26100000000002</v>
      </c>
      <c r="C165" s="10">
        <v>31.026407850000002</v>
      </c>
      <c r="D165" s="10">
        <f t="shared" si="10"/>
        <v>0.95299999999999996</v>
      </c>
      <c r="E165" s="10">
        <v>4.7E-2</v>
      </c>
      <c r="F165" s="10">
        <f t="shared" si="9"/>
        <v>0.20199999999999996</v>
      </c>
      <c r="G165" s="10">
        <v>0.79800000000000004</v>
      </c>
    </row>
    <row r="166" spans="2:7" x14ac:dyDescent="0.25">
      <c r="B166" s="13">
        <v>344.26100000000002</v>
      </c>
      <c r="C166" s="10">
        <v>34.473786500000003</v>
      </c>
      <c r="D166" s="10">
        <f t="shared" si="10"/>
        <v>0.94699999999999995</v>
      </c>
      <c r="E166" s="10">
        <v>5.2999999999999999E-2</v>
      </c>
      <c r="F166" s="10">
        <f t="shared" si="9"/>
        <v>0.19020000000000004</v>
      </c>
      <c r="G166" s="10">
        <v>0.80979999999999996</v>
      </c>
    </row>
    <row r="167" spans="2:7" x14ac:dyDescent="0.25">
      <c r="B167" s="13">
        <v>344.26100000000002</v>
      </c>
      <c r="C167" s="10">
        <v>37.92116515</v>
      </c>
      <c r="D167" s="10">
        <f t="shared" si="10"/>
        <v>0.94100000000000006</v>
      </c>
      <c r="E167" s="10">
        <v>5.8999999999999997E-2</v>
      </c>
      <c r="F167" s="10">
        <f t="shared" si="9"/>
        <v>0.18149999999999999</v>
      </c>
      <c r="G167" s="10">
        <v>0.81850000000000001</v>
      </c>
    </row>
    <row r="168" spans="2:7" x14ac:dyDescent="0.25">
      <c r="B168" s="13">
        <v>344.26100000000002</v>
      </c>
      <c r="C168" s="10">
        <v>41.368543799999998</v>
      </c>
      <c r="D168" s="10">
        <f t="shared" si="10"/>
        <v>0.93500000000000005</v>
      </c>
      <c r="E168" s="10">
        <v>6.5000000000000002E-2</v>
      </c>
      <c r="F168" s="10">
        <f t="shared" si="9"/>
        <v>0.1734</v>
      </c>
      <c r="G168" s="10">
        <v>0.8266</v>
      </c>
    </row>
    <row r="169" spans="2:7" x14ac:dyDescent="0.25">
      <c r="B169" s="13">
        <v>377.59399999999999</v>
      </c>
      <c r="C169" s="10">
        <v>10.342135949999999</v>
      </c>
      <c r="D169" s="10">
        <f t="shared" si="10"/>
        <v>0.98850000000000005</v>
      </c>
      <c r="E169" s="10">
        <v>1.15E-2</v>
      </c>
      <c r="F169" s="10">
        <f t="shared" si="9"/>
        <v>0.78380000000000005</v>
      </c>
      <c r="G169" s="10">
        <v>0.2162</v>
      </c>
    </row>
    <row r="170" spans="2:7" x14ac:dyDescent="0.25">
      <c r="B170" s="13">
        <v>377.59399999999999</v>
      </c>
      <c r="C170" s="10">
        <v>13.7895146</v>
      </c>
      <c r="D170" s="10">
        <f t="shared" si="10"/>
        <v>0.97740000000000005</v>
      </c>
      <c r="E170" s="10">
        <v>2.2599999999999999E-2</v>
      </c>
      <c r="F170" s="10">
        <f t="shared" si="9"/>
        <v>0.66999999999999993</v>
      </c>
      <c r="G170" s="10">
        <v>0.33</v>
      </c>
    </row>
    <row r="171" spans="2:7" x14ac:dyDescent="0.25">
      <c r="B171" s="13">
        <v>377.59399999999999</v>
      </c>
      <c r="C171" s="10">
        <v>17.236893250000001</v>
      </c>
      <c r="D171" s="10">
        <f t="shared" si="10"/>
        <v>0.96640000000000004</v>
      </c>
      <c r="E171" s="10">
        <v>3.3599999999999998E-2</v>
      </c>
      <c r="F171" s="10">
        <f t="shared" si="9"/>
        <v>0.59440000000000004</v>
      </c>
      <c r="G171" s="10">
        <v>0.40560000000000002</v>
      </c>
    </row>
    <row r="172" spans="2:7" x14ac:dyDescent="0.25">
      <c r="B172" s="13">
        <v>377.59399999999999</v>
      </c>
      <c r="C172" s="10">
        <v>20.684271899999999</v>
      </c>
      <c r="D172" s="10">
        <f t="shared" si="10"/>
        <v>0.95499999999999996</v>
      </c>
      <c r="E172" s="10">
        <v>4.4999999999999998E-2</v>
      </c>
      <c r="F172" s="10">
        <f t="shared" si="9"/>
        <v>0.53800000000000003</v>
      </c>
      <c r="G172" s="10">
        <v>0.46200000000000002</v>
      </c>
    </row>
    <row r="173" spans="2:7" x14ac:dyDescent="0.25">
      <c r="B173" s="13">
        <v>377.59399999999999</v>
      </c>
      <c r="C173" s="10">
        <v>24.13165055</v>
      </c>
      <c r="D173" s="10">
        <f t="shared" si="10"/>
        <v>0.94399999999999995</v>
      </c>
      <c r="E173" s="10">
        <v>5.6000000000000001E-2</v>
      </c>
      <c r="F173" s="10">
        <f t="shared" si="9"/>
        <v>0.49760000000000004</v>
      </c>
      <c r="G173" s="10">
        <v>0.50239999999999996</v>
      </c>
    </row>
    <row r="174" spans="2:7" x14ac:dyDescent="0.25">
      <c r="B174" s="13">
        <v>377.59399999999999</v>
      </c>
      <c r="C174" s="10">
        <v>27.579029200000001</v>
      </c>
      <c r="D174" s="10">
        <f t="shared" si="10"/>
        <v>0.93300000000000005</v>
      </c>
      <c r="E174" s="10">
        <v>6.7000000000000004E-2</v>
      </c>
      <c r="F174" s="10">
        <f t="shared" si="9"/>
        <v>0.4657</v>
      </c>
      <c r="G174" s="10">
        <v>0.5343</v>
      </c>
    </row>
    <row r="175" spans="2:7" x14ac:dyDescent="0.25">
      <c r="B175" s="13">
        <v>377.59399999999999</v>
      </c>
      <c r="C175" s="10">
        <v>31.026407850000002</v>
      </c>
      <c r="D175" s="10">
        <f t="shared" si="10"/>
        <v>0.92249999999999999</v>
      </c>
      <c r="E175" s="10">
        <v>7.7499999999999999E-2</v>
      </c>
      <c r="F175" s="10">
        <f t="shared" si="9"/>
        <v>0.44199999999999995</v>
      </c>
      <c r="G175" s="10">
        <v>0.55800000000000005</v>
      </c>
    </row>
    <row r="176" spans="2:7" x14ac:dyDescent="0.25">
      <c r="B176" s="13">
        <v>377.59399999999999</v>
      </c>
      <c r="C176" s="10">
        <v>34.473786500000003</v>
      </c>
      <c r="D176" s="10">
        <f t="shared" ref="D176:D188" si="11">1-E176</f>
        <v>0.91149999999999998</v>
      </c>
      <c r="E176" s="10">
        <v>8.8499999999999995E-2</v>
      </c>
      <c r="F176" s="10">
        <f t="shared" si="9"/>
        <v>0.42120000000000002</v>
      </c>
      <c r="G176" s="10">
        <v>0.57879999999999998</v>
      </c>
    </row>
    <row r="177" spans="1:7" x14ac:dyDescent="0.25">
      <c r="B177" s="13">
        <v>377.59399999999999</v>
      </c>
      <c r="C177" s="10">
        <v>37.92116515</v>
      </c>
      <c r="D177" s="10">
        <f t="shared" si="11"/>
        <v>0.90049999999999997</v>
      </c>
      <c r="E177" s="10">
        <v>9.9500000000000005E-2</v>
      </c>
      <c r="F177" s="10">
        <f t="shared" si="9"/>
        <v>0.40480000000000005</v>
      </c>
      <c r="G177" s="10">
        <v>0.59519999999999995</v>
      </c>
    </row>
    <row r="178" spans="1:7" x14ac:dyDescent="0.25">
      <c r="B178" s="13">
        <v>377.59399999999999</v>
      </c>
      <c r="C178" s="10">
        <v>41.368543799999998</v>
      </c>
      <c r="D178" s="10">
        <f t="shared" si="11"/>
        <v>0.88949999999999996</v>
      </c>
      <c r="E178" s="10">
        <v>0.1105</v>
      </c>
      <c r="F178" s="10">
        <f t="shared" si="9"/>
        <v>0.39039999999999997</v>
      </c>
      <c r="G178" s="10">
        <v>0.60960000000000003</v>
      </c>
    </row>
    <row r="179" spans="1:7" x14ac:dyDescent="0.25">
      <c r="B179" s="13">
        <v>394.26100000000002</v>
      </c>
      <c r="C179" s="10">
        <v>10.342135949999999</v>
      </c>
      <c r="D179" s="10">
        <f t="shared" si="11"/>
        <v>0.98980000000000001</v>
      </c>
      <c r="E179" s="10">
        <v>1.0200000000000001E-2</v>
      </c>
      <c r="F179" s="10">
        <f t="shared" si="9"/>
        <v>0.94699999999999995</v>
      </c>
      <c r="G179" s="10">
        <v>5.2999999999999999E-2</v>
      </c>
    </row>
    <row r="180" spans="1:7" x14ac:dyDescent="0.25">
      <c r="B180" s="13">
        <v>394.26100000000002</v>
      </c>
      <c r="C180" s="10">
        <v>13.7895146</v>
      </c>
      <c r="D180" s="10">
        <f t="shared" si="11"/>
        <v>0.96909999999999996</v>
      </c>
      <c r="E180" s="10">
        <v>3.09E-2</v>
      </c>
      <c r="F180" s="10">
        <f t="shared" si="9"/>
        <v>0.8407</v>
      </c>
      <c r="G180" s="10">
        <v>0.1593</v>
      </c>
    </row>
    <row r="181" spans="1:7" x14ac:dyDescent="0.25">
      <c r="B181" s="13">
        <v>394.26100000000002</v>
      </c>
      <c r="C181" s="10">
        <v>17.236893250000001</v>
      </c>
      <c r="D181" s="10">
        <f t="shared" si="11"/>
        <v>0.95099999999999996</v>
      </c>
      <c r="E181" s="10">
        <v>4.9000000000000002E-2</v>
      </c>
      <c r="F181" s="10">
        <f t="shared" si="9"/>
        <v>0.76680000000000004</v>
      </c>
      <c r="G181" s="10">
        <v>0.23319999999999999</v>
      </c>
    </row>
    <row r="182" spans="1:7" x14ac:dyDescent="0.25">
      <c r="B182" s="13">
        <v>394.26100000000002</v>
      </c>
      <c r="C182" s="10">
        <v>20.684271899999999</v>
      </c>
      <c r="D182" s="10">
        <f t="shared" si="11"/>
        <v>0.93500000000000005</v>
      </c>
      <c r="E182" s="10">
        <v>6.5000000000000002E-2</v>
      </c>
      <c r="F182" s="10">
        <f t="shared" si="9"/>
        <v>0.72049999999999992</v>
      </c>
      <c r="G182" s="10">
        <v>0.27950000000000003</v>
      </c>
    </row>
    <row r="183" spans="1:7" x14ac:dyDescent="0.25">
      <c r="B183" s="13">
        <v>394.26100000000002</v>
      </c>
      <c r="C183" s="10">
        <v>24.13165055</v>
      </c>
      <c r="D183" s="10">
        <f t="shared" si="11"/>
        <v>0.91949999999999998</v>
      </c>
      <c r="E183" s="10">
        <v>8.0500000000000002E-2</v>
      </c>
      <c r="F183" s="10">
        <f t="shared" si="9"/>
        <v>0.68720000000000003</v>
      </c>
      <c r="G183" s="10">
        <v>0.31280000000000002</v>
      </c>
    </row>
    <row r="184" spans="1:7" x14ac:dyDescent="0.25">
      <c r="B184" s="13">
        <v>394.26100000000002</v>
      </c>
      <c r="C184" s="10">
        <v>27.579029200000001</v>
      </c>
      <c r="D184" s="10">
        <f t="shared" si="11"/>
        <v>0.90470000000000006</v>
      </c>
      <c r="E184" s="10">
        <v>9.5299999999999996E-2</v>
      </c>
      <c r="F184" s="10">
        <f t="shared" si="9"/>
        <v>0.66399999999999992</v>
      </c>
      <c r="G184" s="10">
        <v>0.33600000000000002</v>
      </c>
    </row>
    <row r="185" spans="1:7" x14ac:dyDescent="0.25">
      <c r="B185" s="13">
        <v>394.26100000000002</v>
      </c>
      <c r="C185" s="10">
        <v>31.026407850000002</v>
      </c>
      <c r="D185" s="10">
        <f t="shared" si="11"/>
        <v>0.88900000000000001</v>
      </c>
      <c r="E185" s="10">
        <v>0.111</v>
      </c>
      <c r="F185" s="10">
        <f t="shared" si="9"/>
        <v>0.6472</v>
      </c>
      <c r="G185" s="10">
        <v>0.3528</v>
      </c>
    </row>
    <row r="186" spans="1:7" x14ac:dyDescent="0.25">
      <c r="B186" s="13">
        <v>394.26100000000002</v>
      </c>
      <c r="C186" s="10">
        <v>34.473786500000003</v>
      </c>
      <c r="D186" s="10">
        <f t="shared" si="11"/>
        <v>0.87529999999999997</v>
      </c>
      <c r="E186" s="10">
        <v>0.12470000000000001</v>
      </c>
      <c r="F186" s="10">
        <f t="shared" si="9"/>
        <v>0.63850000000000007</v>
      </c>
      <c r="G186" s="10">
        <v>0.36149999999999999</v>
      </c>
    </row>
    <row r="187" spans="1:7" x14ac:dyDescent="0.25">
      <c r="B187" s="13">
        <v>394.26100000000002</v>
      </c>
      <c r="C187" s="10">
        <v>37.92116515</v>
      </c>
      <c r="D187" s="10">
        <f t="shared" si="11"/>
        <v>0.86329999999999996</v>
      </c>
      <c r="E187" s="10">
        <v>0.13669999999999999</v>
      </c>
      <c r="F187" s="10">
        <f t="shared" si="9"/>
        <v>0.6321</v>
      </c>
      <c r="G187" s="10">
        <v>0.3679</v>
      </c>
    </row>
    <row r="188" spans="1:7" ht="15.75" thickBot="1" x14ac:dyDescent="0.3">
      <c r="A188" s="9"/>
      <c r="B188" s="17">
        <v>394.26100000000002</v>
      </c>
      <c r="C188" s="11">
        <v>41.368543799999998</v>
      </c>
      <c r="D188" s="11">
        <f t="shared" si="11"/>
        <v>0.85</v>
      </c>
      <c r="E188" s="11">
        <v>0.15</v>
      </c>
      <c r="F188" s="11">
        <f t="shared" si="9"/>
        <v>0.62990000000000002</v>
      </c>
      <c r="G188" s="11">
        <v>0.37009999999999998</v>
      </c>
    </row>
    <row r="189" spans="1:7" x14ac:dyDescent="0.25">
      <c r="A189" s="18" t="s">
        <v>100</v>
      </c>
      <c r="B189" s="13">
        <f>-70+273.15</f>
        <v>203.14999999999998</v>
      </c>
      <c r="C189" s="10">
        <v>0.101325</v>
      </c>
      <c r="D189" s="20">
        <f>1-E189</f>
        <v>0.99998814999999996</v>
      </c>
      <c r="E189" s="20">
        <v>1.185E-5</v>
      </c>
    </row>
    <row r="190" spans="1:7" x14ac:dyDescent="0.25">
      <c r="B190" s="13">
        <f>-60+273.15</f>
        <v>213.14999999999998</v>
      </c>
      <c r="C190" s="10">
        <v>0.101325</v>
      </c>
      <c r="D190" s="20">
        <f t="shared" ref="D190:D199" si="12">1-E190</f>
        <v>0.99998427000000001</v>
      </c>
      <c r="E190" s="20">
        <v>1.573E-5</v>
      </c>
    </row>
    <row r="191" spans="1:7" x14ac:dyDescent="0.25">
      <c r="B191" s="13">
        <f>-50+273.15</f>
        <v>223.14999999999998</v>
      </c>
      <c r="C191" s="10">
        <v>0.101325</v>
      </c>
      <c r="D191" s="20">
        <f t="shared" si="12"/>
        <v>0.99997981999999996</v>
      </c>
      <c r="E191" s="20">
        <v>2.018E-5</v>
      </c>
    </row>
    <row r="192" spans="1:7" x14ac:dyDescent="0.25">
      <c r="B192" s="13">
        <f>-40+273.15</f>
        <v>233.14999999999998</v>
      </c>
      <c r="C192" s="10">
        <v>0.101325</v>
      </c>
      <c r="D192" s="20">
        <f t="shared" si="12"/>
        <v>0.99997471999999998</v>
      </c>
      <c r="E192" s="20">
        <v>2.5279999999999999E-5</v>
      </c>
    </row>
    <row r="193" spans="1:7" x14ac:dyDescent="0.25">
      <c r="B193" s="13">
        <f>-30+273.15</f>
        <v>243.14999999999998</v>
      </c>
      <c r="C193" s="10">
        <v>0.101325</v>
      </c>
      <c r="D193" s="20">
        <f t="shared" si="12"/>
        <v>0.99996881000000004</v>
      </c>
      <c r="E193" s="20">
        <v>3.1189999999999998E-5</v>
      </c>
    </row>
    <row r="194" spans="1:7" x14ac:dyDescent="0.25">
      <c r="B194" s="13">
        <f>-20+273.15</f>
        <v>253.14999999999998</v>
      </c>
      <c r="C194" s="10">
        <v>0.101325</v>
      </c>
      <c r="D194" s="20">
        <f t="shared" si="12"/>
        <v>0.99996191999999995</v>
      </c>
      <c r="E194" s="20">
        <v>3.8080000000000001E-5</v>
      </c>
    </row>
    <row r="195" spans="1:7" x14ac:dyDescent="0.25">
      <c r="B195" s="13">
        <f>-10+273.15</f>
        <v>263.14999999999998</v>
      </c>
      <c r="C195" s="10">
        <v>0.101325</v>
      </c>
      <c r="D195" s="20">
        <f t="shared" si="12"/>
        <v>0.99995383999999998</v>
      </c>
      <c r="E195" s="20">
        <v>4.6159999999999999E-5</v>
      </c>
    </row>
    <row r="196" spans="1:7" x14ac:dyDescent="0.25">
      <c r="B196" s="13">
        <f>0+273.15</f>
        <v>273.14999999999998</v>
      </c>
      <c r="C196" s="10">
        <v>0.101325</v>
      </c>
      <c r="D196" s="20">
        <f t="shared" si="12"/>
        <v>0.99994435000000004</v>
      </c>
      <c r="E196" s="20">
        <v>5.5649999999999997E-5</v>
      </c>
    </row>
    <row r="197" spans="1:7" x14ac:dyDescent="0.25">
      <c r="B197" s="13">
        <f>10+273.15</f>
        <v>283.14999999999998</v>
      </c>
      <c r="C197" s="10">
        <v>0.101325</v>
      </c>
      <c r="D197" s="20">
        <f t="shared" si="12"/>
        <v>0.99993315000000005</v>
      </c>
      <c r="E197" s="20">
        <v>6.6849999999999999E-5</v>
      </c>
    </row>
    <row r="198" spans="1:7" x14ac:dyDescent="0.25">
      <c r="B198" s="13">
        <f>20+273.15</f>
        <v>293.14999999999998</v>
      </c>
      <c r="C198" s="10">
        <v>0.101325</v>
      </c>
      <c r="D198" s="20">
        <f t="shared" si="12"/>
        <v>0.99991993000000001</v>
      </c>
      <c r="E198" s="20">
        <v>8.0069999999999997E-5</v>
      </c>
    </row>
    <row r="199" spans="1:7" ht="15.75" thickBot="1" x14ac:dyDescent="0.3">
      <c r="A199" s="9"/>
      <c r="B199" s="17">
        <f>30+273.15</f>
        <v>303.14999999999998</v>
      </c>
      <c r="C199" s="10">
        <v>0.101325</v>
      </c>
      <c r="D199" s="21">
        <f t="shared" si="12"/>
        <v>0.99990433000000001</v>
      </c>
      <c r="E199" s="21">
        <v>9.5669999999999997E-5</v>
      </c>
      <c r="F199" s="11"/>
      <c r="G199" s="11"/>
    </row>
    <row r="200" spans="1:7" x14ac:dyDescent="0.25">
      <c r="A200" s="32"/>
      <c r="B200" s="33"/>
      <c r="C200" s="34"/>
      <c r="D200" s="35"/>
      <c r="E200" s="35"/>
      <c r="F200" s="34"/>
      <c r="G200" s="3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CH4+H2</vt:lpstr>
      <vt:lpstr>N2+H2</vt:lpstr>
      <vt:lpstr>CO2+H2</vt:lpstr>
      <vt:lpstr>C2H6+H2</vt:lpstr>
      <vt:lpstr>C3H8+H2</vt:lpstr>
      <vt:lpstr>C4H10+H2</vt:lpstr>
      <vt:lpstr>iC4H10+H2</vt:lpstr>
      <vt:lpstr>C5H12+H2</vt:lpstr>
      <vt:lpstr>iC5H12+H2</vt:lpstr>
      <vt:lpstr>C6H14+H2</vt:lpstr>
      <vt:lpstr>O2+H2</vt:lpstr>
      <vt:lpstr>CO+H2</vt:lpstr>
      <vt:lpstr>H2O+H2</vt:lpstr>
      <vt:lpstr>H2S+H2</vt:lpstr>
      <vt:lpstr>He+H2</vt:lpstr>
      <vt:lpstr>Ar+H2</vt:lpstr>
      <vt:lpstr>Ne+H2</vt:lpstr>
      <vt:lpstr>NH3+H2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2022-03-09T10:06:18Z</dcterms:created>
  <dcterms:modified xsi:type="dcterms:W3CDTF">2026-02-09T12:26:03Z</dcterms:modified>
</cp:coreProperties>
</file>