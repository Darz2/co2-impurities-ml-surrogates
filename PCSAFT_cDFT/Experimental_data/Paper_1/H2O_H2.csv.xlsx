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CO2_H2\"/>
    </mc:Choice>
  </mc:AlternateContent>
  <xr:revisionPtr revIDLastSave="0" documentId="13_ncr:1_{2746C8B0-82A5-4A00-92F4-12C6CC2A800F}" xr6:coauthVersionLast="47" xr6:coauthVersionMax="47" xr10:uidLastSave="{00000000-0000-0000-0000-000000000000}"/>
  <bookViews>
    <workbookView xWindow="-28920" yWindow="-60" windowWidth="29040" windowHeight="15720" activeTab="1" xr2:uid="{00000000-000D-0000-FFFF-FFFF00000000}"/>
  </bookViews>
  <sheets>
    <sheet name="Wiebe et al. 1934" sheetId="1" r:id="rId1"/>
    <sheet name="Kling et al. 199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A41" i="1"/>
  <c r="C40" i="1"/>
  <c r="A40" i="1"/>
  <c r="C39" i="1"/>
  <c r="A39" i="1"/>
  <c r="C38" i="1"/>
  <c r="A38" i="1"/>
  <c r="C37" i="1"/>
  <c r="A37" i="1"/>
  <c r="C36" i="1"/>
  <c r="A36" i="1"/>
  <c r="C35" i="1"/>
  <c r="A35" i="1"/>
  <c r="C34" i="1"/>
  <c r="A34" i="1"/>
  <c r="C33" i="1"/>
  <c r="A33" i="1"/>
  <c r="C32" i="1"/>
  <c r="A32" i="1"/>
  <c r="C31" i="1"/>
  <c r="A31" i="1"/>
  <c r="C30" i="1"/>
  <c r="A30" i="1"/>
  <c r="C29" i="1"/>
  <c r="A29" i="1"/>
  <c r="C28" i="1"/>
  <c r="A28" i="1"/>
  <c r="C27" i="1"/>
  <c r="A27" i="1"/>
  <c r="C26" i="1"/>
  <c r="A26" i="1"/>
  <c r="C25" i="1"/>
  <c r="A25" i="1"/>
  <c r="C24" i="1"/>
  <c r="A24" i="1"/>
  <c r="C23" i="1"/>
  <c r="A23" i="1"/>
  <c r="C22" i="1"/>
  <c r="A22" i="1"/>
  <c r="C21" i="1"/>
  <c r="A21" i="1"/>
  <c r="C20" i="1"/>
  <c r="A20" i="1"/>
  <c r="C19" i="1"/>
  <c r="A19" i="1"/>
  <c r="C18" i="1"/>
  <c r="A18" i="1"/>
  <c r="C17" i="1"/>
  <c r="A17" i="1"/>
  <c r="C16" i="1"/>
  <c r="A16" i="1"/>
  <c r="C15" i="1"/>
  <c r="A15" i="1"/>
  <c r="C14" i="1"/>
  <c r="A14" i="1"/>
  <c r="C13" i="1"/>
  <c r="A13" i="1"/>
  <c r="C12" i="1"/>
  <c r="A12" i="1"/>
  <c r="C11" i="1"/>
  <c r="A11" i="1"/>
  <c r="C10" i="1"/>
  <c r="A10" i="1"/>
  <c r="C9" i="1"/>
  <c r="A9" i="1"/>
  <c r="C8" i="1"/>
  <c r="A8" i="1"/>
  <c r="C7" i="1"/>
  <c r="A7" i="1"/>
  <c r="C6" i="1"/>
  <c r="A6" i="1"/>
  <c r="C5" i="1"/>
  <c r="A5" i="1"/>
  <c r="C4" i="1"/>
  <c r="A4" i="1"/>
  <c r="C3" i="1"/>
  <c r="A3" i="1"/>
  <c r="C2" i="1"/>
  <c r="A2" i="1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<sst xmlns="http://schemas.openxmlformats.org/spreadsheetml/2006/main" count="64" uniqueCount="18">
  <si>
    <t>T/K</t>
  </si>
  <si>
    <t>P/Mpa</t>
  </si>
  <si>
    <t>x1</t>
  </si>
  <si>
    <t>x2</t>
  </si>
  <si>
    <t>y1</t>
  </si>
  <si>
    <t>y2</t>
  </si>
  <si>
    <t>Source</t>
  </si>
  <si>
    <t>Wiebe et al. 1934</t>
  </si>
  <si>
    <t>Kling et al. 1991</t>
  </si>
  <si>
    <t>Kling et al. 1992</t>
  </si>
  <si>
    <t>Kling et al. 1993</t>
  </si>
  <si>
    <t>Kling et al. 1994</t>
  </si>
  <si>
    <t>Kling et al. 1995</t>
  </si>
  <si>
    <t>Kling et al. 1996</t>
  </si>
  <si>
    <t>Kling et al. 1997</t>
  </si>
  <si>
    <t>Kling et al. 1998</t>
  </si>
  <si>
    <t>Kling et al. 1999</t>
  </si>
  <si>
    <t>Kling et al.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</si>
</sst>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opLeftCell="A7" workbookViewId="0">
      <selection activeCell="J26" sqref="J26"/>
    </sheetView>
  </sheetViews>
  <sheetFormatPr defaultRowHeight="15" x14ac:dyDescent="0.25"/>
  <cols>
    <col min="7" max="7" width="30.28515625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1">
        <f>0+273.15</f>
        <v>273.14999999999998</v>
      </c>
      <c r="B2" s="2">
        <v>2.5331250000000001</v>
      </c>
      <c r="C2" s="3">
        <f>1-D2</f>
        <v>0.99956955999999997</v>
      </c>
      <c r="D2" s="3">
        <v>4.3043999999999998E-4</v>
      </c>
      <c r="G2" t="s">
        <v>7</v>
      </c>
    </row>
    <row r="3" spans="1:7" x14ac:dyDescent="0.25">
      <c r="A3" s="1">
        <f t="shared" ref="A3:A9" si="0">0+273.15</f>
        <v>273.14999999999998</v>
      </c>
      <c r="B3" s="2">
        <v>5.0662500000000001</v>
      </c>
      <c r="C3" s="3">
        <f t="shared" ref="C3:C41" si="1">1-D3</f>
        <v>0.99913675999999996</v>
      </c>
      <c r="D3" s="3">
        <v>8.6324000000000004E-4</v>
      </c>
      <c r="G3" t="s">
        <v>7</v>
      </c>
    </row>
    <row r="4" spans="1:7" x14ac:dyDescent="0.25">
      <c r="A4" s="1">
        <f t="shared" si="0"/>
        <v>273.14999999999998</v>
      </c>
      <c r="B4" s="2">
        <v>10.1325</v>
      </c>
      <c r="C4" s="3">
        <f t="shared" si="1"/>
        <v>0.99829182000000005</v>
      </c>
      <c r="D4" s="3">
        <v>1.7081799999999999E-3</v>
      </c>
      <c r="G4" t="s">
        <v>7</v>
      </c>
    </row>
    <row r="5" spans="1:7" x14ac:dyDescent="0.25">
      <c r="A5" s="1">
        <f t="shared" si="0"/>
        <v>273.14999999999998</v>
      </c>
      <c r="B5" s="2">
        <v>20.265000000000001</v>
      </c>
      <c r="C5" s="3">
        <f t="shared" si="1"/>
        <v>0.99664927999999997</v>
      </c>
      <c r="D5" s="3">
        <v>3.3507200000000002E-3</v>
      </c>
      <c r="G5" t="s">
        <v>7</v>
      </c>
    </row>
    <row r="6" spans="1:7" x14ac:dyDescent="0.25">
      <c r="A6" s="1">
        <f t="shared" si="0"/>
        <v>273.14999999999998</v>
      </c>
      <c r="B6" s="2">
        <v>40.53</v>
      </c>
      <c r="C6" s="3">
        <f t="shared" si="1"/>
        <v>0.9936102</v>
      </c>
      <c r="D6" s="3">
        <v>6.3898000000000002E-3</v>
      </c>
      <c r="G6" t="s">
        <v>7</v>
      </c>
    </row>
    <row r="7" spans="1:7" x14ac:dyDescent="0.25">
      <c r="A7" s="1">
        <f t="shared" si="0"/>
        <v>273.14999999999998</v>
      </c>
      <c r="B7" s="2">
        <v>60.795000000000002</v>
      </c>
      <c r="C7" s="3">
        <f t="shared" si="1"/>
        <v>0.99075113999999997</v>
      </c>
      <c r="D7" s="3">
        <v>9.2488599999999994E-3</v>
      </c>
      <c r="G7" t="s">
        <v>7</v>
      </c>
    </row>
    <row r="8" spans="1:7" x14ac:dyDescent="0.25">
      <c r="A8" s="1">
        <f t="shared" si="0"/>
        <v>273.14999999999998</v>
      </c>
      <c r="B8" s="2">
        <v>81.06</v>
      </c>
      <c r="C8" s="3">
        <f t="shared" si="1"/>
        <v>0.98808879999999999</v>
      </c>
      <c r="D8" s="3">
        <v>1.19112E-2</v>
      </c>
      <c r="G8" t="s">
        <v>7</v>
      </c>
    </row>
    <row r="9" spans="1:7" x14ac:dyDescent="0.25">
      <c r="A9" s="1">
        <f t="shared" si="0"/>
        <v>273.14999999999998</v>
      </c>
      <c r="B9" s="2">
        <v>101.325</v>
      </c>
      <c r="C9" s="3">
        <f t="shared" si="1"/>
        <v>0.98575190000000001</v>
      </c>
      <c r="D9" s="3">
        <v>1.42481E-2</v>
      </c>
      <c r="G9" t="s">
        <v>7</v>
      </c>
    </row>
    <row r="10" spans="1:7" x14ac:dyDescent="0.25">
      <c r="A10" s="1">
        <f>25+273.15</f>
        <v>298.14999999999998</v>
      </c>
      <c r="B10" s="2">
        <v>2.5331250000000001</v>
      </c>
      <c r="C10" s="3">
        <f t="shared" si="1"/>
        <v>0.99965002999999997</v>
      </c>
      <c r="D10" s="3">
        <v>3.4997000000000001E-4</v>
      </c>
      <c r="G10" t="s">
        <v>7</v>
      </c>
    </row>
    <row r="11" spans="1:7" x14ac:dyDescent="0.25">
      <c r="A11" s="1">
        <f t="shared" ref="A11:A17" si="2">25+273.15</f>
        <v>298.14999999999998</v>
      </c>
      <c r="B11" s="2">
        <v>5.0662500000000001</v>
      </c>
      <c r="C11" s="3">
        <f t="shared" si="1"/>
        <v>0.99930432000000002</v>
      </c>
      <c r="D11" s="3">
        <v>6.9567999999999995E-4</v>
      </c>
      <c r="G11" t="s">
        <v>7</v>
      </c>
    </row>
    <row r="12" spans="1:7" x14ac:dyDescent="0.25">
      <c r="A12" s="1">
        <f t="shared" si="2"/>
        <v>298.14999999999998</v>
      </c>
      <c r="B12" s="2">
        <v>10.1325</v>
      </c>
      <c r="C12" s="3">
        <f t="shared" si="1"/>
        <v>0.99861440999999995</v>
      </c>
      <c r="D12" s="3">
        <v>1.3855899999999999E-3</v>
      </c>
      <c r="G12" t="s">
        <v>7</v>
      </c>
    </row>
    <row r="13" spans="1:7" x14ac:dyDescent="0.25">
      <c r="A13" s="1">
        <f t="shared" si="2"/>
        <v>298.14999999999998</v>
      </c>
      <c r="B13" s="2">
        <v>20.265000000000001</v>
      </c>
      <c r="C13" s="3">
        <f t="shared" si="1"/>
        <v>0.99728536000000001</v>
      </c>
      <c r="D13" s="3">
        <v>2.7146399999999999E-3</v>
      </c>
      <c r="G13" t="s">
        <v>7</v>
      </c>
    </row>
    <row r="14" spans="1:7" x14ac:dyDescent="0.25">
      <c r="A14" s="1">
        <f t="shared" si="2"/>
        <v>298.14999999999998</v>
      </c>
      <c r="B14" s="2">
        <v>40.53</v>
      </c>
      <c r="C14" s="3">
        <f t="shared" si="1"/>
        <v>0.99475225</v>
      </c>
      <c r="D14" s="3">
        <v>5.2477499999999998E-3</v>
      </c>
      <c r="G14" t="s">
        <v>7</v>
      </c>
    </row>
    <row r="15" spans="1:7" x14ac:dyDescent="0.25">
      <c r="A15" s="1">
        <f t="shared" si="2"/>
        <v>298.14999999999998</v>
      </c>
      <c r="B15" s="2">
        <v>60.795000000000002</v>
      </c>
      <c r="C15" s="3">
        <f t="shared" si="1"/>
        <v>0.99236637999999999</v>
      </c>
      <c r="D15" s="3">
        <v>7.6336199999999998E-3</v>
      </c>
      <c r="G15" t="s">
        <v>7</v>
      </c>
    </row>
    <row r="16" spans="1:7" x14ac:dyDescent="0.25">
      <c r="A16" s="1">
        <f t="shared" si="2"/>
        <v>298.14999999999998</v>
      </c>
      <c r="B16" s="2">
        <v>81.06</v>
      </c>
      <c r="C16" s="3">
        <f t="shared" si="1"/>
        <v>0.99009424000000001</v>
      </c>
      <c r="D16" s="3">
        <v>9.9057599999999996E-3</v>
      </c>
      <c r="G16" t="s">
        <v>7</v>
      </c>
    </row>
    <row r="17" spans="1:7" x14ac:dyDescent="0.25">
      <c r="A17" s="1">
        <f t="shared" si="2"/>
        <v>298.14999999999998</v>
      </c>
      <c r="B17" s="2">
        <v>101.325</v>
      </c>
      <c r="C17" s="3">
        <f t="shared" si="1"/>
        <v>0.98794219999999999</v>
      </c>
      <c r="D17" s="3">
        <v>1.20578E-2</v>
      </c>
      <c r="G17" t="s">
        <v>7</v>
      </c>
    </row>
    <row r="18" spans="1:7" x14ac:dyDescent="0.25">
      <c r="A18" s="1">
        <f>50+273.15</f>
        <v>323.14999999999998</v>
      </c>
      <c r="B18" s="2">
        <v>2.5331250000000001</v>
      </c>
      <c r="C18" s="3">
        <f t="shared" si="1"/>
        <v>0.99967353999999997</v>
      </c>
      <c r="D18" s="3">
        <v>3.2645999999999999E-4</v>
      </c>
      <c r="G18" t="s">
        <v>7</v>
      </c>
    </row>
    <row r="19" spans="1:7" x14ac:dyDescent="0.25">
      <c r="A19" s="1">
        <f t="shared" ref="A19:A25" si="3">50+273.15</f>
        <v>323.14999999999998</v>
      </c>
      <c r="B19" s="2">
        <v>5.0662500000000001</v>
      </c>
      <c r="C19" s="3">
        <f t="shared" si="1"/>
        <v>0.99935083000000002</v>
      </c>
      <c r="D19" s="3">
        <v>6.4917000000000002E-4</v>
      </c>
      <c r="G19" t="s">
        <v>7</v>
      </c>
    </row>
    <row r="20" spans="1:7" x14ac:dyDescent="0.25">
      <c r="A20" s="1">
        <f t="shared" si="3"/>
        <v>323.14999999999998</v>
      </c>
      <c r="B20" s="2">
        <v>10.1325</v>
      </c>
      <c r="C20" s="3">
        <f t="shared" si="1"/>
        <v>0.99870729999999996</v>
      </c>
      <c r="D20" s="3">
        <v>1.2926999999999999E-3</v>
      </c>
      <c r="G20" t="s">
        <v>7</v>
      </c>
    </row>
    <row r="21" spans="1:7" x14ac:dyDescent="0.25">
      <c r="A21" s="1">
        <f t="shared" si="3"/>
        <v>323.14999999999998</v>
      </c>
      <c r="B21" s="2">
        <v>20.265000000000001</v>
      </c>
      <c r="C21" s="3">
        <f t="shared" si="1"/>
        <v>0.99746508</v>
      </c>
      <c r="D21" s="3">
        <v>2.53492E-3</v>
      </c>
      <c r="G21" t="s">
        <v>7</v>
      </c>
    </row>
    <row r="22" spans="1:7" x14ac:dyDescent="0.25">
      <c r="A22" s="1">
        <f t="shared" si="3"/>
        <v>323.14999999999998</v>
      </c>
      <c r="B22" s="2">
        <v>40.53</v>
      </c>
      <c r="C22" s="3">
        <f t="shared" si="1"/>
        <v>0.99507334999999997</v>
      </c>
      <c r="D22" s="3">
        <v>4.9266500000000003E-3</v>
      </c>
      <c r="G22" t="s">
        <v>7</v>
      </c>
    </row>
    <row r="23" spans="1:7" x14ac:dyDescent="0.25">
      <c r="A23" s="1">
        <f t="shared" si="3"/>
        <v>323.14999999999998</v>
      </c>
      <c r="B23" s="2">
        <v>60.795000000000002</v>
      </c>
      <c r="C23" s="3">
        <f t="shared" si="1"/>
        <v>0.99281176999999998</v>
      </c>
      <c r="D23" s="3">
        <v>7.1882300000000003E-3</v>
      </c>
      <c r="G23" t="s">
        <v>7</v>
      </c>
    </row>
    <row r="24" spans="1:7" x14ac:dyDescent="0.25">
      <c r="A24" s="1">
        <f t="shared" si="3"/>
        <v>323.14999999999998</v>
      </c>
      <c r="B24" s="2">
        <v>81.06</v>
      </c>
      <c r="C24" s="3">
        <f t="shared" si="1"/>
        <v>0.99066524</v>
      </c>
      <c r="D24" s="3">
        <v>9.3347599999999992E-3</v>
      </c>
      <c r="G24" t="s">
        <v>7</v>
      </c>
    </row>
    <row r="25" spans="1:7" x14ac:dyDescent="0.25">
      <c r="A25" s="1">
        <f t="shared" si="3"/>
        <v>323.14999999999998</v>
      </c>
      <c r="B25" s="2">
        <v>101.325</v>
      </c>
      <c r="C25" s="3">
        <f t="shared" si="1"/>
        <v>0.98856639999999996</v>
      </c>
      <c r="D25" s="3">
        <v>1.14336E-2</v>
      </c>
      <c r="G25" t="s">
        <v>7</v>
      </c>
    </row>
    <row r="26" spans="1:7" x14ac:dyDescent="0.25">
      <c r="A26" s="1">
        <f>75+273.15</f>
        <v>348.15</v>
      </c>
      <c r="B26" s="2">
        <v>2.5331250000000001</v>
      </c>
      <c r="C26" s="3">
        <f t="shared" si="1"/>
        <v>0.99966801000000005</v>
      </c>
      <c r="D26" s="3">
        <v>3.3199E-4</v>
      </c>
      <c r="G26" t="s">
        <v>7</v>
      </c>
    </row>
    <row r="27" spans="1:7" x14ac:dyDescent="0.25">
      <c r="A27" s="1">
        <f t="shared" ref="A27:A33" si="4">75+273.15</f>
        <v>348.15</v>
      </c>
      <c r="B27" s="2">
        <v>5.0662500000000001</v>
      </c>
      <c r="C27" s="3">
        <f t="shared" si="1"/>
        <v>0.99933751999999998</v>
      </c>
      <c r="D27" s="3">
        <v>6.6248000000000001E-4</v>
      </c>
      <c r="G27" t="s">
        <v>7</v>
      </c>
    </row>
    <row r="28" spans="1:7" x14ac:dyDescent="0.25">
      <c r="A28" s="1">
        <f t="shared" si="4"/>
        <v>348.15</v>
      </c>
      <c r="B28" s="2">
        <v>10.1325</v>
      </c>
      <c r="C28" s="3">
        <f t="shared" si="1"/>
        <v>0.99868248000000004</v>
      </c>
      <c r="D28" s="3">
        <v>1.31752E-3</v>
      </c>
      <c r="G28" t="s">
        <v>7</v>
      </c>
    </row>
    <row r="29" spans="1:7" x14ac:dyDescent="0.25">
      <c r="A29" s="1">
        <f t="shared" si="4"/>
        <v>348.15</v>
      </c>
      <c r="B29" s="2">
        <v>20.265000000000001</v>
      </c>
      <c r="C29" s="3">
        <f t="shared" si="1"/>
        <v>0.99740516000000001</v>
      </c>
      <c r="D29" s="3">
        <v>2.5948400000000002E-3</v>
      </c>
      <c r="G29" t="s">
        <v>7</v>
      </c>
    </row>
    <row r="30" spans="1:7" x14ac:dyDescent="0.25">
      <c r="A30" s="1">
        <f t="shared" si="4"/>
        <v>348.15</v>
      </c>
      <c r="B30" s="2">
        <v>40.53</v>
      </c>
      <c r="C30" s="3">
        <f>1-D30</f>
        <v>0.99496046000000005</v>
      </c>
      <c r="D30" s="3">
        <v>5.0395400000000003E-3</v>
      </c>
      <c r="G30" t="s">
        <v>7</v>
      </c>
    </row>
    <row r="31" spans="1:7" x14ac:dyDescent="0.25">
      <c r="A31" s="1">
        <f t="shared" si="4"/>
        <v>348.15</v>
      </c>
      <c r="B31" s="2">
        <v>60.795000000000002</v>
      </c>
      <c r="C31" s="3">
        <f t="shared" si="1"/>
        <v>0.99265113000000005</v>
      </c>
      <c r="D31" s="3">
        <v>7.3488700000000004E-3</v>
      </c>
      <c r="G31" t="s">
        <v>7</v>
      </c>
    </row>
    <row r="32" spans="1:7" x14ac:dyDescent="0.25">
      <c r="A32" s="1">
        <f t="shared" si="4"/>
        <v>348.15</v>
      </c>
      <c r="B32" s="2">
        <v>81.06</v>
      </c>
      <c r="C32" s="3">
        <f t="shared" si="1"/>
        <v>0.99045408999999995</v>
      </c>
      <c r="D32" s="3">
        <v>9.5459099999999995E-3</v>
      </c>
      <c r="G32" t="s">
        <v>7</v>
      </c>
    </row>
    <row r="33" spans="1:7" x14ac:dyDescent="0.25">
      <c r="A33" s="1">
        <f t="shared" si="4"/>
        <v>348.15</v>
      </c>
      <c r="B33" s="2">
        <v>101.325</v>
      </c>
      <c r="C33" s="3">
        <f t="shared" si="1"/>
        <v>0.98834520000000003</v>
      </c>
      <c r="D33" s="3">
        <v>1.16548E-2</v>
      </c>
      <c r="G33" t="s">
        <v>7</v>
      </c>
    </row>
    <row r="34" spans="1:7" x14ac:dyDescent="0.25">
      <c r="A34" s="1">
        <f>100+273.15</f>
        <v>373.15</v>
      </c>
      <c r="B34" s="2">
        <v>2.5331250000000001</v>
      </c>
      <c r="C34" s="3">
        <f t="shared" si="1"/>
        <v>0.99962956999999997</v>
      </c>
      <c r="D34" s="3">
        <v>3.7042999999999999E-4</v>
      </c>
      <c r="G34" t="s">
        <v>7</v>
      </c>
    </row>
    <row r="35" spans="1:7" x14ac:dyDescent="0.25">
      <c r="A35" s="1">
        <f t="shared" ref="A35:A41" si="5">100+273.15</f>
        <v>373.15</v>
      </c>
      <c r="B35" s="2">
        <v>5.0662500000000001</v>
      </c>
      <c r="C35" s="3">
        <f t="shared" si="1"/>
        <v>0.99926855999999997</v>
      </c>
      <c r="D35" s="3">
        <v>7.3143999999999998E-4</v>
      </c>
      <c r="G35" t="s">
        <v>7</v>
      </c>
    </row>
    <row r="36" spans="1:7" x14ac:dyDescent="0.25">
      <c r="A36" s="1">
        <f t="shared" si="5"/>
        <v>373.15</v>
      </c>
      <c r="B36" s="2">
        <v>10.1325</v>
      </c>
      <c r="C36" s="3">
        <f t="shared" si="1"/>
        <v>0.99855276000000004</v>
      </c>
      <c r="D36" s="3">
        <v>1.44724E-3</v>
      </c>
      <c r="G36" t="s">
        <v>7</v>
      </c>
    </row>
    <row r="37" spans="1:7" x14ac:dyDescent="0.25">
      <c r="A37" s="1">
        <f t="shared" si="5"/>
        <v>373.15</v>
      </c>
      <c r="B37" s="2">
        <v>20.265000000000001</v>
      </c>
      <c r="C37" s="3">
        <f t="shared" si="1"/>
        <v>0.99716238999999995</v>
      </c>
      <c r="D37" s="3">
        <v>2.83761E-3</v>
      </c>
      <c r="G37" t="s">
        <v>7</v>
      </c>
    </row>
    <row r="38" spans="1:7" x14ac:dyDescent="0.25">
      <c r="A38" s="1">
        <f t="shared" si="5"/>
        <v>373.15</v>
      </c>
      <c r="B38" s="2">
        <v>40.53</v>
      </c>
      <c r="C38" s="3">
        <f t="shared" si="1"/>
        <v>0.99453696999999996</v>
      </c>
      <c r="D38" s="3">
        <v>5.4630299999999998E-3</v>
      </c>
      <c r="G38" t="s">
        <v>7</v>
      </c>
    </row>
    <row r="39" spans="1:7" x14ac:dyDescent="0.25">
      <c r="A39" s="1">
        <f t="shared" si="5"/>
        <v>373.15</v>
      </c>
      <c r="B39" s="2">
        <v>60.795000000000002</v>
      </c>
      <c r="C39" s="3">
        <f t="shared" si="1"/>
        <v>0.99203911</v>
      </c>
      <c r="D39" s="3">
        <v>7.96089E-3</v>
      </c>
      <c r="G39" t="s">
        <v>7</v>
      </c>
    </row>
    <row r="40" spans="1:7" x14ac:dyDescent="0.25">
      <c r="A40" s="1">
        <f t="shared" si="5"/>
        <v>373.15</v>
      </c>
      <c r="B40" s="2">
        <v>81.06</v>
      </c>
      <c r="C40" s="3">
        <f t="shared" si="1"/>
        <v>0.98968509999999998</v>
      </c>
      <c r="D40" s="3">
        <v>1.03149E-2</v>
      </c>
      <c r="G40" t="s">
        <v>7</v>
      </c>
    </row>
    <row r="41" spans="1:7" x14ac:dyDescent="0.25">
      <c r="A41" s="5">
        <f t="shared" si="5"/>
        <v>373.15</v>
      </c>
      <c r="B41" s="6">
        <v>101.325</v>
      </c>
      <c r="C41" s="7">
        <f t="shared" si="1"/>
        <v>0.98749180000000003</v>
      </c>
      <c r="D41" s="7">
        <v>1.2508200000000001E-2</v>
      </c>
      <c r="G4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1C9A-C094-4D6C-BFB0-C0755BE1E626}">
  <dimension ref="A1:G11"/>
  <sheetViews>
    <sheetView tabSelected="1" workbookViewId="0">
      <selection activeCell="H21" sqref="H21"/>
    </sheetView>
  </sheetViews>
  <sheetFormatPr defaultRowHeight="15" x14ac:dyDescent="0.25"/>
  <cols>
    <col min="7" max="7" width="16.42578125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1">
        <v>323.14999999999998</v>
      </c>
      <c r="B2" s="1">
        <v>3.18</v>
      </c>
      <c r="C2" s="3">
        <f>1-D2</f>
        <v>0.99959799999999999</v>
      </c>
      <c r="D2" s="3">
        <v>4.0200000000000001E-4</v>
      </c>
      <c r="G2" t="s">
        <v>8</v>
      </c>
    </row>
    <row r="3" spans="1:7" x14ac:dyDescent="0.25">
      <c r="A3" s="1">
        <v>323.14999999999998</v>
      </c>
      <c r="B3" s="1">
        <v>6.03</v>
      </c>
      <c r="C3" s="3">
        <f t="shared" ref="C3:C11" si="0">1-D3</f>
        <v>0.99923700000000004</v>
      </c>
      <c r="D3" s="3">
        <v>7.6300000000000001E-4</v>
      </c>
      <c r="G3" t="s">
        <v>9</v>
      </c>
    </row>
    <row r="4" spans="1:7" x14ac:dyDescent="0.25">
      <c r="A4" s="1">
        <v>323.14999999999998</v>
      </c>
      <c r="B4" s="1">
        <v>11.93</v>
      </c>
      <c r="C4" s="3">
        <f t="shared" si="0"/>
        <v>0.99848700000000001</v>
      </c>
      <c r="D4" s="3">
        <v>1.5129999999999998E-3</v>
      </c>
      <c r="G4" t="s">
        <v>10</v>
      </c>
    </row>
    <row r="5" spans="1:7" x14ac:dyDescent="0.25">
      <c r="A5" s="1">
        <v>373.15</v>
      </c>
      <c r="B5" s="1">
        <v>5.7</v>
      </c>
      <c r="C5" s="3">
        <f t="shared" si="0"/>
        <v>0.99917999999999996</v>
      </c>
      <c r="D5" s="3">
        <v>8.1999999999999998E-4</v>
      </c>
      <c r="G5" t="s">
        <v>11</v>
      </c>
    </row>
    <row r="6" spans="1:7" x14ac:dyDescent="0.25">
      <c r="A6" s="1">
        <v>373.15</v>
      </c>
      <c r="B6" s="1">
        <v>12.09</v>
      </c>
      <c r="C6" s="3">
        <f t="shared" si="0"/>
        <v>0.998247</v>
      </c>
      <c r="D6" s="3">
        <v>1.7529999999999998E-3</v>
      </c>
      <c r="G6" t="s">
        <v>12</v>
      </c>
    </row>
    <row r="7" spans="1:7" x14ac:dyDescent="0.25">
      <c r="A7" s="1">
        <v>373.15</v>
      </c>
      <c r="B7" s="1">
        <v>15.37</v>
      </c>
      <c r="C7" s="3">
        <f t="shared" si="0"/>
        <v>0.99776799999999999</v>
      </c>
      <c r="D7" s="3">
        <v>2.232E-3</v>
      </c>
      <c r="G7" t="s">
        <v>13</v>
      </c>
    </row>
    <row r="8" spans="1:7" x14ac:dyDescent="0.25">
      <c r="A8" s="1">
        <v>423.15</v>
      </c>
      <c r="B8" s="1">
        <v>5.18</v>
      </c>
      <c r="C8" s="3">
        <f t="shared" si="0"/>
        <v>0.99909999999999999</v>
      </c>
      <c r="D8" s="3">
        <v>8.9999999999999998E-4</v>
      </c>
      <c r="G8" t="s">
        <v>14</v>
      </c>
    </row>
    <row r="9" spans="1:7" x14ac:dyDescent="0.25">
      <c r="A9" s="1">
        <v>423.15</v>
      </c>
      <c r="B9" s="1">
        <v>5.43</v>
      </c>
      <c r="C9" s="3">
        <f t="shared" si="0"/>
        <v>0.99902100000000005</v>
      </c>
      <c r="D9" s="3">
        <v>9.7900000000000005E-4</v>
      </c>
      <c r="G9" t="s">
        <v>15</v>
      </c>
    </row>
    <row r="10" spans="1:7" x14ac:dyDescent="0.25">
      <c r="A10" s="1">
        <v>423.15</v>
      </c>
      <c r="B10" s="1">
        <v>7.59</v>
      </c>
      <c r="C10" s="3">
        <f t="shared" si="0"/>
        <v>0.99864699999999995</v>
      </c>
      <c r="D10" s="3">
        <v>1.353E-3</v>
      </c>
      <c r="G10" t="s">
        <v>16</v>
      </c>
    </row>
    <row r="11" spans="1:7" x14ac:dyDescent="0.25">
      <c r="A11" s="5">
        <v>423.15</v>
      </c>
      <c r="B11" s="5">
        <v>8.7100000000000009</v>
      </c>
      <c r="C11" s="7">
        <f t="shared" si="0"/>
        <v>0.99840499999999999</v>
      </c>
      <c r="D11" s="7">
        <v>1.5950000000000001E-3</v>
      </c>
      <c r="G11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Wiebe et al. 1934</vt:lpstr>
      <vt:lpstr>Kling et al. 1991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2026-02-09T12:35:06Z</dcterms:modified>
</cp:coreProperties>
</file>