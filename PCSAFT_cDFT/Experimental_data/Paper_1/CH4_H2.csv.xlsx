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CO2_H2\"/>
    </mc:Choice>
  </mc:AlternateContent>
  <xr:revisionPtr revIDLastSave="0" documentId="13_ncr:1_{061BB387-9E2F-4DB5-93C6-179B973B2BBA}" xr6:coauthVersionLast="47" xr6:coauthVersionMax="47" xr10:uidLastSave="{00000000-0000-0000-0000-000000000000}"/>
  <bookViews>
    <workbookView xWindow="-28920" yWindow="-60" windowWidth="29040" windowHeight="15720" tabRatio="809" activeTab="7" xr2:uid="{00000000-000D-0000-FFFF-FFFF00000000}"/>
  </bookViews>
  <sheets>
    <sheet name="Freeth et al. 1931" sheetId="5" r:id="rId1"/>
    <sheet name="Benham et al. 1957" sheetId="4" r:id="rId2"/>
    <sheet name="Cosway et al. 1959" sheetId="3" r:id="rId3"/>
    <sheet name="Sagara et al. 1972" sheetId="2" r:id="rId4"/>
    <sheet name="Tsang et al. 1980" sheetId="1" r:id="rId5"/>
    <sheet name="Yorizane et al. 1980" sheetId="9" r:id="rId6"/>
    <sheet name="Hong et al. 1981" sheetId="6" r:id="rId7"/>
    <sheet name="Hu et al. 2014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7" l="1"/>
  <c r="C24" i="7"/>
  <c r="E23" i="7"/>
  <c r="C23" i="7"/>
  <c r="E22" i="7"/>
  <c r="C22" i="7"/>
  <c r="E21" i="7"/>
  <c r="C21" i="7"/>
  <c r="E20" i="7"/>
  <c r="C20" i="7"/>
  <c r="E19" i="7"/>
  <c r="C19" i="7"/>
  <c r="E18" i="7"/>
  <c r="C18" i="7"/>
  <c r="E17" i="7"/>
  <c r="C17" i="7"/>
  <c r="E16" i="7"/>
  <c r="C16" i="7"/>
  <c r="E15" i="7"/>
  <c r="C15" i="7"/>
  <c r="E14" i="7"/>
  <c r="C14" i="7"/>
  <c r="E13" i="7"/>
  <c r="C13" i="7"/>
  <c r="E12" i="7"/>
  <c r="C12" i="7"/>
  <c r="E11" i="7"/>
  <c r="C11" i="7"/>
  <c r="E10" i="7"/>
  <c r="C10" i="7"/>
  <c r="E9" i="7"/>
  <c r="C9" i="7"/>
  <c r="E8" i="7"/>
  <c r="C8" i="7"/>
  <c r="E7" i="7"/>
  <c r="C7" i="7"/>
  <c r="E6" i="7"/>
  <c r="C6" i="7"/>
  <c r="E5" i="7"/>
  <c r="C5" i="7"/>
  <c r="E4" i="7"/>
  <c r="C4" i="7"/>
  <c r="E3" i="7"/>
  <c r="C3" i="7"/>
  <c r="E2" i="7"/>
  <c r="C2" i="7"/>
  <c r="F145" i="6"/>
  <c r="D145" i="6"/>
  <c r="F144" i="6"/>
  <c r="D144" i="6"/>
  <c r="F143" i="6"/>
  <c r="D143" i="6"/>
  <c r="F142" i="6"/>
  <c r="D142" i="6"/>
  <c r="F141" i="6"/>
  <c r="D141" i="6"/>
  <c r="F140" i="6"/>
  <c r="D140" i="6"/>
  <c r="F139" i="6"/>
  <c r="D139" i="6"/>
  <c r="F138" i="6"/>
  <c r="D138" i="6"/>
  <c r="F137" i="6"/>
  <c r="D137" i="6"/>
  <c r="F136" i="6"/>
  <c r="D136" i="6"/>
  <c r="F135" i="6"/>
  <c r="D135" i="6"/>
  <c r="F134" i="6"/>
  <c r="D134" i="6"/>
  <c r="F133" i="6"/>
  <c r="D133" i="6"/>
  <c r="F132" i="6"/>
  <c r="D132" i="6"/>
  <c r="F131" i="6"/>
  <c r="D131" i="6"/>
  <c r="F130" i="6"/>
  <c r="D130" i="6"/>
  <c r="F129" i="6"/>
  <c r="D129" i="6"/>
  <c r="F128" i="6"/>
  <c r="D128" i="6"/>
  <c r="F127" i="6"/>
  <c r="D127" i="6"/>
  <c r="F126" i="6"/>
  <c r="D126" i="6"/>
  <c r="F125" i="6"/>
  <c r="D125" i="6"/>
  <c r="F124" i="6"/>
  <c r="D124" i="6"/>
  <c r="D123" i="6"/>
  <c r="F122" i="6"/>
  <c r="D122" i="6"/>
  <c r="F121" i="6"/>
  <c r="D121" i="6"/>
  <c r="F120" i="6"/>
  <c r="D120" i="6"/>
  <c r="F119" i="6"/>
  <c r="D119" i="6"/>
  <c r="F118" i="6"/>
  <c r="D118" i="6"/>
  <c r="F117" i="6"/>
  <c r="D117" i="6"/>
  <c r="F116" i="6"/>
  <c r="D116" i="6"/>
  <c r="F115" i="6"/>
  <c r="D115" i="6"/>
  <c r="F114" i="6"/>
  <c r="D114" i="6"/>
  <c r="F113" i="6"/>
  <c r="D113" i="6"/>
  <c r="F112" i="6"/>
  <c r="D112" i="6"/>
  <c r="F111" i="6"/>
  <c r="D111" i="6"/>
  <c r="F110" i="6"/>
  <c r="D110" i="6"/>
  <c r="F109" i="6"/>
  <c r="D109" i="6"/>
  <c r="F108" i="6"/>
  <c r="D108" i="6"/>
  <c r="F107" i="6"/>
  <c r="D107" i="6"/>
  <c r="F106" i="6"/>
  <c r="D106" i="6"/>
  <c r="F105" i="6"/>
  <c r="D105" i="6"/>
  <c r="F104" i="6"/>
  <c r="D104" i="6"/>
  <c r="F103" i="6"/>
  <c r="D103" i="6"/>
  <c r="F102" i="6"/>
  <c r="D102" i="6"/>
  <c r="F101" i="6"/>
  <c r="D101" i="6"/>
  <c r="F100" i="6"/>
  <c r="D100" i="6"/>
  <c r="F99" i="6"/>
  <c r="D99" i="6"/>
  <c r="F98" i="6"/>
  <c r="D98" i="6"/>
  <c r="F97" i="6"/>
  <c r="D97" i="6"/>
  <c r="F96" i="6"/>
  <c r="D96" i="6"/>
  <c r="F95" i="6"/>
  <c r="D95" i="6"/>
  <c r="F94" i="6"/>
  <c r="D94" i="6"/>
  <c r="F93" i="6"/>
  <c r="D93" i="6"/>
  <c r="F92" i="6"/>
  <c r="D92" i="6"/>
  <c r="F91" i="6"/>
  <c r="D91" i="6"/>
  <c r="F90" i="6"/>
  <c r="D90" i="6"/>
  <c r="F89" i="6"/>
  <c r="D89" i="6"/>
  <c r="F88" i="6"/>
  <c r="F87" i="6"/>
  <c r="D87" i="6"/>
  <c r="F86" i="6"/>
  <c r="D86" i="6"/>
  <c r="F85" i="6"/>
  <c r="D85" i="6"/>
  <c r="F84" i="6"/>
  <c r="D84" i="6"/>
  <c r="F83" i="6"/>
  <c r="D83" i="6"/>
  <c r="F82" i="6"/>
  <c r="D82" i="6"/>
  <c r="F81" i="6"/>
  <c r="D81" i="6"/>
  <c r="F80" i="6"/>
  <c r="D80" i="6"/>
  <c r="F79" i="6"/>
  <c r="D79" i="6"/>
  <c r="F78" i="6"/>
  <c r="D78" i="6"/>
  <c r="F77" i="6"/>
  <c r="D77" i="6"/>
  <c r="F76" i="6"/>
  <c r="D76" i="6"/>
  <c r="F75" i="6"/>
  <c r="D75" i="6"/>
  <c r="F74" i="6"/>
  <c r="D74" i="6"/>
  <c r="F73" i="6"/>
  <c r="D73" i="6"/>
  <c r="F72" i="6"/>
  <c r="D72" i="6"/>
  <c r="F71" i="6"/>
  <c r="F70" i="6"/>
  <c r="D70" i="6"/>
  <c r="F69" i="6"/>
  <c r="D69" i="6"/>
  <c r="F68" i="6"/>
  <c r="D68" i="6"/>
  <c r="F67" i="6"/>
  <c r="D67" i="6"/>
  <c r="F66" i="6"/>
  <c r="D66" i="6"/>
  <c r="F65" i="6"/>
  <c r="D65" i="6"/>
  <c r="F64" i="6"/>
  <c r="D64" i="6"/>
  <c r="F63" i="6"/>
  <c r="D63" i="6"/>
  <c r="F62" i="6"/>
  <c r="D62" i="6"/>
  <c r="F61" i="6"/>
  <c r="D61" i="6"/>
  <c r="F60" i="6"/>
  <c r="D60" i="6"/>
  <c r="F59" i="6"/>
  <c r="D59" i="6"/>
  <c r="F58" i="6"/>
  <c r="D58" i="6"/>
  <c r="F57" i="6"/>
  <c r="D57" i="6"/>
  <c r="F56" i="6"/>
  <c r="D56" i="6"/>
  <c r="F55" i="6"/>
  <c r="D55" i="6"/>
  <c r="F54" i="6"/>
  <c r="D54" i="6"/>
  <c r="F53" i="6"/>
  <c r="D53" i="6"/>
  <c r="F52" i="6"/>
  <c r="D52" i="6"/>
  <c r="F51" i="6"/>
  <c r="D51" i="6"/>
  <c r="F50" i="6"/>
  <c r="F49" i="6"/>
  <c r="D49" i="6"/>
  <c r="F48" i="6"/>
  <c r="D48" i="6"/>
  <c r="F47" i="6"/>
  <c r="D47" i="6"/>
  <c r="F46" i="6"/>
  <c r="D46" i="6"/>
  <c r="F45" i="6"/>
  <c r="D45" i="6"/>
  <c r="F44" i="6"/>
  <c r="D44" i="6"/>
  <c r="F43" i="6"/>
  <c r="D43" i="6"/>
  <c r="F42" i="6"/>
  <c r="D42" i="6"/>
  <c r="F41" i="6"/>
  <c r="D41" i="6"/>
  <c r="F40" i="6"/>
  <c r="D40" i="6"/>
  <c r="F39" i="6"/>
  <c r="D39" i="6"/>
  <c r="F38" i="6"/>
  <c r="D38" i="6"/>
  <c r="F37" i="6"/>
  <c r="D37" i="6"/>
  <c r="F36" i="6"/>
  <c r="D36" i="6"/>
  <c r="F35" i="6"/>
  <c r="D35" i="6"/>
  <c r="F34" i="6"/>
  <c r="D34" i="6"/>
  <c r="F33" i="6"/>
  <c r="F32" i="6"/>
  <c r="D32" i="6"/>
  <c r="F31" i="6"/>
  <c r="D31" i="6"/>
  <c r="F30" i="6"/>
  <c r="D30" i="6"/>
  <c r="F29" i="6"/>
  <c r="D29" i="6"/>
  <c r="F28" i="6"/>
  <c r="D28" i="6"/>
  <c r="F27" i="6"/>
  <c r="D27" i="6"/>
  <c r="F26" i="6"/>
  <c r="D26" i="6"/>
  <c r="F25" i="6"/>
  <c r="D25" i="6"/>
  <c r="F24" i="6"/>
  <c r="D24" i="6"/>
  <c r="F23" i="6"/>
  <c r="D23" i="6"/>
  <c r="F22" i="6"/>
  <c r="D22" i="6"/>
  <c r="F21" i="6"/>
  <c r="D21" i="6"/>
  <c r="F20" i="6"/>
  <c r="D20" i="6"/>
  <c r="F19" i="6"/>
  <c r="D19" i="6"/>
  <c r="F18" i="6"/>
  <c r="D18" i="6"/>
  <c r="F17" i="6"/>
  <c r="D17" i="6"/>
  <c r="F16" i="6"/>
  <c r="D16" i="6"/>
  <c r="F15" i="6"/>
  <c r="D15" i="6"/>
  <c r="F14" i="6"/>
  <c r="D14" i="6"/>
  <c r="F13" i="6"/>
  <c r="D13" i="6"/>
  <c r="F12" i="6"/>
  <c r="D12" i="6"/>
  <c r="F11" i="6"/>
  <c r="D11" i="6"/>
  <c r="F10" i="6"/>
  <c r="D10" i="6"/>
  <c r="F9" i="6"/>
  <c r="D9" i="6"/>
  <c r="F8" i="6"/>
  <c r="D8" i="6"/>
  <c r="F7" i="6"/>
  <c r="D7" i="6"/>
  <c r="F6" i="6"/>
  <c r="D6" i="6"/>
  <c r="F5" i="6"/>
  <c r="D5" i="6"/>
  <c r="F4" i="6"/>
  <c r="D4" i="6"/>
  <c r="F3" i="6"/>
  <c r="D3" i="6"/>
  <c r="F2" i="6"/>
  <c r="D2" i="6"/>
  <c r="E4" i="9"/>
  <c r="C4" i="9"/>
  <c r="B4" i="9"/>
  <c r="A4" i="9"/>
  <c r="E3" i="9"/>
  <c r="C3" i="9"/>
  <c r="B3" i="9"/>
  <c r="A3" i="9"/>
  <c r="E2" i="9"/>
  <c r="C2" i="9"/>
  <c r="B2" i="9"/>
  <c r="A2" i="9"/>
  <c r="E29" i="2"/>
  <c r="C29" i="2"/>
  <c r="A29" i="2"/>
  <c r="E28" i="2"/>
  <c r="C28" i="2"/>
  <c r="A28" i="2"/>
  <c r="E27" i="2"/>
  <c r="C27" i="2"/>
  <c r="A27" i="2"/>
  <c r="E26" i="2"/>
  <c r="C26" i="2"/>
  <c r="A26" i="2"/>
  <c r="E25" i="2"/>
  <c r="C25" i="2"/>
  <c r="A25" i="2"/>
  <c r="E24" i="2"/>
  <c r="C24" i="2"/>
  <c r="A24" i="2"/>
  <c r="E23" i="2"/>
  <c r="C23" i="2"/>
  <c r="A23" i="2"/>
  <c r="E22" i="2"/>
  <c r="C22" i="2"/>
  <c r="A22" i="2"/>
  <c r="E21" i="2"/>
  <c r="C21" i="2"/>
  <c r="A21" i="2"/>
  <c r="E20" i="2"/>
  <c r="C20" i="2"/>
  <c r="A20" i="2"/>
  <c r="E19" i="2"/>
  <c r="C19" i="2"/>
  <c r="A19" i="2"/>
  <c r="E18" i="2"/>
  <c r="C18" i="2"/>
  <c r="A18" i="2"/>
  <c r="E17" i="2"/>
  <c r="C17" i="2"/>
  <c r="A17" i="2"/>
  <c r="E16" i="2"/>
  <c r="C16" i="2"/>
  <c r="A16" i="2"/>
  <c r="E15" i="2"/>
  <c r="C15" i="2"/>
  <c r="A15" i="2"/>
  <c r="E14" i="2"/>
  <c r="C14" i="2"/>
  <c r="A14" i="2"/>
  <c r="E13" i="2"/>
  <c r="C13" i="2"/>
  <c r="A13" i="2"/>
  <c r="E12" i="2"/>
  <c r="C12" i="2"/>
  <c r="A12" i="2"/>
  <c r="E11" i="2"/>
  <c r="C11" i="2"/>
  <c r="A11" i="2"/>
  <c r="E10" i="2"/>
  <c r="C10" i="2"/>
  <c r="A10" i="2"/>
  <c r="E9" i="2"/>
  <c r="C9" i="2"/>
  <c r="A9" i="2"/>
  <c r="E8" i="2"/>
  <c r="C8" i="2"/>
  <c r="A8" i="2"/>
  <c r="E7" i="2"/>
  <c r="C7" i="2"/>
  <c r="A7" i="2"/>
  <c r="E6" i="2"/>
  <c r="C6" i="2"/>
  <c r="A6" i="2"/>
  <c r="E5" i="2"/>
  <c r="C5" i="2"/>
  <c r="A5" i="2"/>
  <c r="E4" i="2"/>
  <c r="C4" i="2"/>
  <c r="A4" i="2"/>
  <c r="E3" i="2"/>
  <c r="C3" i="2"/>
  <c r="A3" i="2"/>
  <c r="E2" i="2"/>
  <c r="C2" i="2"/>
  <c r="A2" i="2"/>
  <c r="E4" i="3"/>
  <c r="C4" i="3"/>
  <c r="B4" i="3"/>
  <c r="E3" i="3"/>
  <c r="C3" i="3"/>
  <c r="B3" i="3"/>
  <c r="E2" i="3"/>
  <c r="C2" i="3"/>
  <c r="B2" i="3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E3" i="4"/>
  <c r="C3" i="4"/>
  <c r="E2" i="4"/>
  <c r="C2" i="4"/>
  <c r="E22" i="5"/>
  <c r="C22" i="5"/>
  <c r="E21" i="5"/>
  <c r="E20" i="5"/>
  <c r="C20" i="5"/>
  <c r="E19" i="5"/>
  <c r="E18" i="5"/>
  <c r="E17" i="5"/>
  <c r="C17" i="5"/>
  <c r="E16" i="5"/>
  <c r="E15" i="5"/>
  <c r="C15" i="5"/>
  <c r="E14" i="5"/>
  <c r="E13" i="5"/>
  <c r="C13" i="5"/>
  <c r="E12" i="5"/>
  <c r="C12" i="5"/>
  <c r="E11" i="5"/>
  <c r="C11" i="5"/>
  <c r="E10" i="5"/>
  <c r="C10" i="5"/>
  <c r="E9" i="5"/>
  <c r="C9" i="5"/>
  <c r="E8" i="5"/>
  <c r="C8" i="5"/>
  <c r="E7" i="5"/>
  <c r="C7" i="5"/>
  <c r="E6" i="5"/>
  <c r="C6" i="5"/>
  <c r="C5" i="5"/>
  <c r="E4" i="5"/>
  <c r="C4" i="5"/>
  <c r="E3" i="5"/>
  <c r="E2" i="5"/>
  <c r="C2" i="5"/>
</calcChain>
</file>

<file path=xl/sharedStrings.xml><?xml version="1.0" encoding="utf-8"?>
<sst xmlns="http://schemas.openxmlformats.org/spreadsheetml/2006/main" count="487" uniqueCount="15">
  <si>
    <t>T/K</t>
  </si>
  <si>
    <t>P/Mpa</t>
  </si>
  <si>
    <t>x1</t>
  </si>
  <si>
    <t>x2</t>
  </si>
  <si>
    <t>y1</t>
  </si>
  <si>
    <t>y2</t>
  </si>
  <si>
    <t>Source</t>
  </si>
  <si>
    <t>Freeth et al. 1931</t>
  </si>
  <si>
    <t>Benham et al. 1957</t>
  </si>
  <si>
    <t>Cosway et al. 1959</t>
  </si>
  <si>
    <t>Sagara et al. 1972</t>
  </si>
  <si>
    <t>Tsang et al. 1980</t>
  </si>
  <si>
    <t>Yorizane et al. 1980</t>
  </si>
  <si>
    <t>Hong et al. 1981</t>
  </si>
  <si>
    <t>Hu et al.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</si>
</sst>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A871E-5F90-4D0B-8784-DC6EAD22867B}">
  <dimension ref="A1:G22"/>
  <sheetViews>
    <sheetView topLeftCell="A7" zoomScale="175" zoomScaleNormal="175" workbookViewId="0">
      <selection activeCell="B23" sqref="B23"/>
    </sheetView>
  </sheetViews>
  <sheetFormatPr defaultRowHeight="15" x14ac:dyDescent="0.25"/>
  <cols>
    <col min="7" max="7" width="2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90.619999999999976</v>
      </c>
      <c r="B2" s="3">
        <v>20.81519475</v>
      </c>
      <c r="C2" s="4">
        <f>1-D2</f>
        <v>0.9042</v>
      </c>
      <c r="D2" s="4">
        <v>9.5799999999999996E-2</v>
      </c>
      <c r="E2" s="4">
        <f>1-F2</f>
        <v>2.1299999999999986E-2</v>
      </c>
      <c r="F2" s="4">
        <v>0.97870000000000001</v>
      </c>
      <c r="G2" t="s">
        <v>7</v>
      </c>
    </row>
    <row r="3" spans="1:7" x14ac:dyDescent="0.25">
      <c r="A3" s="2">
        <v>90.629999999999967</v>
      </c>
      <c r="B3" s="3">
        <v>20.8141815</v>
      </c>
      <c r="C3" s="4"/>
      <c r="D3" s="4"/>
      <c r="E3" s="4">
        <f t="shared" ref="E3:E22" si="0">1-F3</f>
        <v>2.3100000000000009E-2</v>
      </c>
      <c r="F3" s="4">
        <v>0.97689999999999999</v>
      </c>
      <c r="G3" t="s">
        <v>7</v>
      </c>
    </row>
    <row r="4" spans="1:7" x14ac:dyDescent="0.25">
      <c r="A4" s="2">
        <v>90.669999999999987</v>
      </c>
      <c r="B4" s="3">
        <v>19.834368749999999</v>
      </c>
      <c r="C4" s="4">
        <f t="shared" ref="C4:C22" si="1">1-D4</f>
        <v>0.89800000000000002</v>
      </c>
      <c r="D4" s="4">
        <v>0.10199999999999999</v>
      </c>
      <c r="E4" s="4">
        <f t="shared" si="0"/>
        <v>2.1100000000000008E-2</v>
      </c>
      <c r="F4" s="4">
        <v>0.97889999999999999</v>
      </c>
      <c r="G4" t="s">
        <v>7</v>
      </c>
    </row>
    <row r="5" spans="1:7" x14ac:dyDescent="0.25">
      <c r="A5" s="2">
        <v>90.639999999999986</v>
      </c>
      <c r="B5" s="3">
        <v>18.854555999999999</v>
      </c>
      <c r="C5" s="4">
        <f t="shared" si="1"/>
        <v>0.89839999999999998</v>
      </c>
      <c r="D5" s="4">
        <v>0.1016</v>
      </c>
      <c r="E5" s="4"/>
      <c r="F5" s="4"/>
      <c r="G5" t="s">
        <v>7</v>
      </c>
    </row>
    <row r="6" spans="1:7" x14ac:dyDescent="0.25">
      <c r="A6" s="2">
        <v>90.649999999999977</v>
      </c>
      <c r="B6" s="3">
        <v>16.8989835</v>
      </c>
      <c r="C6" s="4">
        <f t="shared" si="1"/>
        <v>0.91100000000000003</v>
      </c>
      <c r="D6" s="4">
        <v>8.900000000000001E-2</v>
      </c>
      <c r="E6" s="4">
        <f t="shared" si="0"/>
        <v>2.1700000000000053E-2</v>
      </c>
      <c r="F6" s="4">
        <v>0.97829999999999995</v>
      </c>
      <c r="G6" t="s">
        <v>7</v>
      </c>
    </row>
    <row r="7" spans="1:7" x14ac:dyDescent="0.25">
      <c r="A7" s="2">
        <v>90.609999999999985</v>
      </c>
      <c r="B7" s="3">
        <v>16.896957</v>
      </c>
      <c r="C7" s="4">
        <f t="shared" si="1"/>
        <v>0.92159999999999997</v>
      </c>
      <c r="D7" s="4">
        <v>7.8399999999999997E-2</v>
      </c>
      <c r="E7" s="4">
        <f t="shared" si="0"/>
        <v>2.1100000000000008E-2</v>
      </c>
      <c r="F7" s="4">
        <v>0.97889999999999999</v>
      </c>
      <c r="G7" t="s">
        <v>7</v>
      </c>
    </row>
    <row r="8" spans="1:7" x14ac:dyDescent="0.25">
      <c r="A8" s="2">
        <v>90.619999999999976</v>
      </c>
      <c r="B8" s="3">
        <v>12.991891499999999</v>
      </c>
      <c r="C8" s="4">
        <f t="shared" si="1"/>
        <v>0.92400000000000004</v>
      </c>
      <c r="D8" s="4">
        <v>7.5999999999999998E-2</v>
      </c>
      <c r="E8" s="4">
        <f t="shared" si="0"/>
        <v>3.1700000000000061E-2</v>
      </c>
      <c r="F8" s="4">
        <v>0.96829999999999994</v>
      </c>
      <c r="G8" t="s">
        <v>7</v>
      </c>
    </row>
    <row r="9" spans="1:7" x14ac:dyDescent="0.25">
      <c r="A9" s="2">
        <v>90.669999999999987</v>
      </c>
      <c r="B9" s="3">
        <v>12.98885175</v>
      </c>
      <c r="C9" s="4">
        <f t="shared" si="1"/>
        <v>0.91810000000000003</v>
      </c>
      <c r="D9" s="4">
        <v>8.1900000000000001E-2</v>
      </c>
      <c r="E9" s="4">
        <f t="shared" si="0"/>
        <v>1.540000000000008E-2</v>
      </c>
      <c r="F9" s="4">
        <v>0.98459999999999992</v>
      </c>
      <c r="G9" t="s">
        <v>7</v>
      </c>
    </row>
    <row r="10" spans="1:7" x14ac:dyDescent="0.25">
      <c r="A10" s="2">
        <v>90.629999999999967</v>
      </c>
      <c r="B10" s="3">
        <v>10.063599</v>
      </c>
      <c r="C10" s="4">
        <f t="shared" si="1"/>
        <v>0.94410000000000005</v>
      </c>
      <c r="D10" s="4">
        <v>5.5899999999999998E-2</v>
      </c>
      <c r="E10" s="4">
        <f t="shared" si="0"/>
        <v>1.1800000000000033E-2</v>
      </c>
      <c r="F10" s="4">
        <v>0.98819999999999997</v>
      </c>
      <c r="G10" t="s">
        <v>7</v>
      </c>
    </row>
    <row r="11" spans="1:7" x14ac:dyDescent="0.25">
      <c r="A11" s="2">
        <v>90.679999999999978</v>
      </c>
      <c r="B11" s="3">
        <v>8.0614170000000005</v>
      </c>
      <c r="C11" s="4">
        <f t="shared" si="1"/>
        <v>0.9617</v>
      </c>
      <c r="D11" s="4">
        <v>3.8300000000000001E-2</v>
      </c>
      <c r="E11" s="4">
        <f t="shared" si="0"/>
        <v>9.5000000000000639E-3</v>
      </c>
      <c r="F11" s="4">
        <v>0.99049999999999994</v>
      </c>
      <c r="G11" t="s">
        <v>7</v>
      </c>
    </row>
    <row r="12" spans="1:7" x14ac:dyDescent="0.25">
      <c r="A12" s="2">
        <v>90.659999999999968</v>
      </c>
      <c r="B12" s="3">
        <v>5.6559615000000001</v>
      </c>
      <c r="C12" s="4">
        <f t="shared" si="1"/>
        <v>0.98929999999999996</v>
      </c>
      <c r="D12" s="4">
        <v>1.0700000000000001E-2</v>
      </c>
      <c r="E12" s="4">
        <f t="shared" si="0"/>
        <v>1.1500000000000066E-2</v>
      </c>
      <c r="F12" s="4">
        <v>0.98849999999999993</v>
      </c>
      <c r="G12" t="s">
        <v>7</v>
      </c>
    </row>
    <row r="13" spans="1:7" x14ac:dyDescent="0.25">
      <c r="A13" s="2">
        <v>90.659999999999968</v>
      </c>
      <c r="B13" s="3">
        <v>5.6346832500000001</v>
      </c>
      <c r="C13" s="4">
        <f t="shared" si="1"/>
        <v>0.98299999999999998</v>
      </c>
      <c r="D13" s="4">
        <v>1.7000000000000001E-2</v>
      </c>
      <c r="E13" s="4">
        <f t="shared" si="0"/>
        <v>1.2499999999999956E-2</v>
      </c>
      <c r="F13" s="4">
        <v>0.98750000000000004</v>
      </c>
      <c r="G13" t="s">
        <v>7</v>
      </c>
    </row>
    <row r="14" spans="1:7" x14ac:dyDescent="0.25">
      <c r="A14" s="2">
        <v>90.629999999999967</v>
      </c>
      <c r="B14" s="3">
        <v>4.6812149999999999</v>
      </c>
      <c r="C14" s="4"/>
      <c r="D14" s="4"/>
      <c r="E14" s="4">
        <f t="shared" si="0"/>
        <v>1.0499999999999954E-2</v>
      </c>
      <c r="F14" s="4">
        <v>0.98950000000000005</v>
      </c>
      <c r="G14" t="s">
        <v>7</v>
      </c>
    </row>
    <row r="15" spans="1:7" x14ac:dyDescent="0.25">
      <c r="A15" s="2">
        <v>90.649999999999977</v>
      </c>
      <c r="B15" s="3">
        <v>4.6710824999999998</v>
      </c>
      <c r="C15" s="4">
        <f t="shared" si="1"/>
        <v>0.99360000000000004</v>
      </c>
      <c r="D15" s="4">
        <v>6.4000000000000003E-3</v>
      </c>
      <c r="E15" s="4">
        <f t="shared" si="0"/>
        <v>1.3700000000000045E-2</v>
      </c>
      <c r="F15" s="4">
        <v>0.98629999999999995</v>
      </c>
      <c r="G15" t="s">
        <v>7</v>
      </c>
    </row>
    <row r="16" spans="1:7" x14ac:dyDescent="0.25">
      <c r="A16" s="2">
        <v>90.629999999999967</v>
      </c>
      <c r="B16" s="3">
        <v>4.4471542499999996</v>
      </c>
      <c r="C16" s="4"/>
      <c r="D16" s="4"/>
      <c r="E16" s="4">
        <f t="shared" si="0"/>
        <v>1.0499999999999954E-2</v>
      </c>
      <c r="F16" s="4">
        <v>0.98950000000000005</v>
      </c>
      <c r="G16" t="s">
        <v>7</v>
      </c>
    </row>
    <row r="17" spans="1:7" x14ac:dyDescent="0.25">
      <c r="A17" s="2">
        <v>90.649999999999977</v>
      </c>
      <c r="B17" s="3">
        <v>3.6892432499999996</v>
      </c>
      <c r="C17" s="4">
        <f t="shared" si="1"/>
        <v>0.99439999999999995</v>
      </c>
      <c r="D17" s="4">
        <v>5.6000000000000008E-3</v>
      </c>
      <c r="E17" s="4">
        <f t="shared" si="0"/>
        <v>2.0100000000000007E-2</v>
      </c>
      <c r="F17" s="4">
        <v>0.97989999999999999</v>
      </c>
      <c r="G17" t="s">
        <v>7</v>
      </c>
    </row>
    <row r="18" spans="1:7" x14ac:dyDescent="0.25">
      <c r="A18" s="2">
        <v>90.629999999999967</v>
      </c>
      <c r="B18" s="3">
        <v>3.0134055000000002</v>
      </c>
      <c r="C18" s="4"/>
      <c r="D18" s="4"/>
      <c r="E18" s="4">
        <f t="shared" si="0"/>
        <v>1.430000000000009E-2</v>
      </c>
      <c r="F18" s="4">
        <v>0.98569999999999991</v>
      </c>
      <c r="G18" t="s">
        <v>7</v>
      </c>
    </row>
    <row r="19" spans="1:7" x14ac:dyDescent="0.25">
      <c r="A19" s="2">
        <v>90.669999999999987</v>
      </c>
      <c r="B19" s="3">
        <v>2.6972714999999998</v>
      </c>
      <c r="C19" s="4"/>
      <c r="D19" s="4"/>
      <c r="E19" s="4">
        <f t="shared" si="0"/>
        <v>1.2699999999999934E-2</v>
      </c>
      <c r="F19" s="4">
        <v>0.98730000000000007</v>
      </c>
      <c r="G19" t="s">
        <v>7</v>
      </c>
    </row>
    <row r="20" spans="1:7" x14ac:dyDescent="0.25">
      <c r="A20" s="2">
        <v>90.639999999999986</v>
      </c>
      <c r="B20" s="3">
        <v>2.18963325</v>
      </c>
      <c r="C20" s="4">
        <f t="shared" si="1"/>
        <v>0.99299999999999999</v>
      </c>
      <c r="D20" s="4">
        <v>6.9999999999999993E-3</v>
      </c>
      <c r="E20" s="4">
        <f t="shared" si="0"/>
        <v>1.4599999999999946E-2</v>
      </c>
      <c r="F20" s="4">
        <v>0.98540000000000005</v>
      </c>
      <c r="G20" t="s">
        <v>7</v>
      </c>
    </row>
    <row r="21" spans="1:7" x14ac:dyDescent="0.25">
      <c r="A21" s="2">
        <v>90.679999999999978</v>
      </c>
      <c r="B21" s="3">
        <v>1.718472</v>
      </c>
      <c r="C21" s="4"/>
      <c r="D21" s="4"/>
      <c r="E21" s="4">
        <f t="shared" si="0"/>
        <v>2.0999999999999908E-2</v>
      </c>
      <c r="F21" s="4">
        <v>0.97900000000000009</v>
      </c>
      <c r="G21" t="s">
        <v>7</v>
      </c>
    </row>
    <row r="22" spans="1:7" x14ac:dyDescent="0.25">
      <c r="A22" s="5">
        <v>90.659999999999968</v>
      </c>
      <c r="B22" s="6">
        <v>1.71137925</v>
      </c>
      <c r="C22" s="7">
        <f t="shared" si="1"/>
        <v>0.99619999999999997</v>
      </c>
      <c r="D22" s="7">
        <v>3.8E-3</v>
      </c>
      <c r="E22" s="7">
        <f t="shared" si="0"/>
        <v>1.650000000000007E-2</v>
      </c>
      <c r="F22" s="7">
        <v>0.98349999999999993</v>
      </c>
      <c r="G2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D221B-A844-4057-8D5F-EBDACB3FA9E4}">
  <dimension ref="A1:G14"/>
  <sheetViews>
    <sheetView zoomScale="175" zoomScaleNormal="175" workbookViewId="0">
      <selection activeCell="G2" sqref="G2:G14"/>
    </sheetView>
  </sheetViews>
  <sheetFormatPr defaultRowHeight="15" x14ac:dyDescent="0.25"/>
  <cols>
    <col min="7" max="7" width="17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172.03899999999999</v>
      </c>
      <c r="B2" s="3">
        <v>3.4473724127470038</v>
      </c>
      <c r="C2" s="4">
        <f>1-D2</f>
        <v>0.98299999999999998</v>
      </c>
      <c r="D2" s="4">
        <v>1.7000000000000001E-2</v>
      </c>
      <c r="E2" s="4">
        <f>1-F2</f>
        <v>0.8417</v>
      </c>
      <c r="F2" s="4">
        <v>0.1583</v>
      </c>
      <c r="G2" t="s">
        <v>8</v>
      </c>
    </row>
    <row r="3" spans="1:7" x14ac:dyDescent="0.25">
      <c r="A3" s="2">
        <v>172.03899999999999</v>
      </c>
      <c r="B3" s="3">
        <v>6.8947448254940076</v>
      </c>
      <c r="C3" s="4">
        <f t="shared" ref="C3:C14" si="0">1-D3</f>
        <v>0.9123</v>
      </c>
      <c r="D3" s="4">
        <v>8.77E-2</v>
      </c>
      <c r="E3" s="4">
        <f t="shared" ref="E3:E14" si="1">1-F3</f>
        <v>0.59399999999999997</v>
      </c>
      <c r="F3" s="4">
        <v>0.40600000000000003</v>
      </c>
      <c r="G3" t="s">
        <v>8</v>
      </c>
    </row>
    <row r="4" spans="1:7" x14ac:dyDescent="0.25">
      <c r="A4" s="2">
        <v>172.03899999999999</v>
      </c>
      <c r="B4" s="3">
        <v>8.8252733766323299</v>
      </c>
      <c r="C4" s="4">
        <f t="shared" si="0"/>
        <v>0.87450000000000006</v>
      </c>
      <c r="D4" s="4">
        <v>0.1255</v>
      </c>
      <c r="E4" s="4">
        <f t="shared" si="1"/>
        <v>0.53689999999999993</v>
      </c>
      <c r="F4" s="4">
        <v>0.46310000000000001</v>
      </c>
      <c r="G4" t="s">
        <v>8</v>
      </c>
    </row>
    <row r="5" spans="1:7" x14ac:dyDescent="0.25">
      <c r="A5" s="2">
        <v>172.03899999999999</v>
      </c>
      <c r="B5" s="3">
        <v>10.342117238241013</v>
      </c>
      <c r="C5" s="4">
        <f t="shared" si="0"/>
        <v>0.83779999999999999</v>
      </c>
      <c r="D5" s="4">
        <v>0.16219999999999998</v>
      </c>
      <c r="E5" s="4">
        <f t="shared" si="1"/>
        <v>0.53220000000000001</v>
      </c>
      <c r="F5" s="4">
        <v>0.46779999999999999</v>
      </c>
      <c r="G5" t="s">
        <v>8</v>
      </c>
    </row>
    <row r="6" spans="1:7" x14ac:dyDescent="0.25">
      <c r="A6" s="2">
        <v>144.261</v>
      </c>
      <c r="B6" s="3">
        <v>3.4473724127470038</v>
      </c>
      <c r="C6" s="4">
        <f t="shared" si="0"/>
        <v>0.9657</v>
      </c>
      <c r="D6" s="4">
        <v>3.4300000000000004E-2</v>
      </c>
      <c r="E6" s="4">
        <f t="shared" si="1"/>
        <v>0.36080000000000001</v>
      </c>
      <c r="F6" s="4">
        <v>0.63919999999999999</v>
      </c>
      <c r="G6" t="s">
        <v>8</v>
      </c>
    </row>
    <row r="7" spans="1:7" x14ac:dyDescent="0.25">
      <c r="A7" s="2">
        <v>144.261</v>
      </c>
      <c r="B7" s="3">
        <v>6.8947448254940076</v>
      </c>
      <c r="C7" s="4">
        <f t="shared" si="0"/>
        <v>0.92189999999999994</v>
      </c>
      <c r="D7" s="4">
        <v>7.8100000000000003E-2</v>
      </c>
      <c r="E7" s="4">
        <f t="shared" si="1"/>
        <v>0.23819999999999997</v>
      </c>
      <c r="F7" s="4">
        <v>0.76180000000000003</v>
      </c>
      <c r="G7" t="s">
        <v>8</v>
      </c>
    </row>
    <row r="8" spans="1:7" x14ac:dyDescent="0.25">
      <c r="A8" s="2">
        <v>144.261</v>
      </c>
      <c r="B8" s="3">
        <v>10.273169789986072</v>
      </c>
      <c r="C8" s="4">
        <f t="shared" si="0"/>
        <v>0.86899999999999999</v>
      </c>
      <c r="D8" s="4">
        <v>0.13100000000000001</v>
      </c>
      <c r="E8" s="4">
        <f t="shared" si="1"/>
        <v>0.20689999999999997</v>
      </c>
      <c r="F8" s="4">
        <v>0.79310000000000003</v>
      </c>
      <c r="G8" t="s">
        <v>8</v>
      </c>
    </row>
    <row r="9" spans="1:7" x14ac:dyDescent="0.25">
      <c r="A9" s="2">
        <v>144.261</v>
      </c>
      <c r="B9" s="3">
        <v>13.720542202733077</v>
      </c>
      <c r="C9" s="4">
        <f t="shared" si="0"/>
        <v>0.81950000000000001</v>
      </c>
      <c r="D9" s="4">
        <v>0.18049999999999999</v>
      </c>
      <c r="E9" s="4">
        <f t="shared" si="1"/>
        <v>0.2177</v>
      </c>
      <c r="F9" s="4">
        <v>0.7823</v>
      </c>
      <c r="G9" t="s">
        <v>8</v>
      </c>
    </row>
    <row r="10" spans="1:7" x14ac:dyDescent="0.25">
      <c r="A10" s="2">
        <v>144.261</v>
      </c>
      <c r="B10" s="3">
        <v>20.684234476482025</v>
      </c>
      <c r="C10" s="4">
        <f t="shared" si="0"/>
        <v>0.6500999999999999</v>
      </c>
      <c r="D10" s="4">
        <v>0.34990000000000004</v>
      </c>
      <c r="E10" s="4">
        <f t="shared" si="1"/>
        <v>0.25430000000000008</v>
      </c>
      <c r="F10" s="4">
        <v>0.74569999999999992</v>
      </c>
      <c r="G10" t="s">
        <v>8</v>
      </c>
    </row>
    <row r="11" spans="1:7" x14ac:dyDescent="0.25">
      <c r="A11" s="2">
        <v>116.483</v>
      </c>
      <c r="B11" s="3">
        <v>3.3784249644920639</v>
      </c>
      <c r="C11" s="4">
        <f t="shared" si="0"/>
        <v>0.96819999999999995</v>
      </c>
      <c r="D11" s="4">
        <v>3.1800000000000002E-2</v>
      </c>
      <c r="E11" s="4">
        <f t="shared" si="1"/>
        <v>7.2099999999999942E-2</v>
      </c>
      <c r="F11" s="4">
        <v>0.92790000000000006</v>
      </c>
      <c r="G11" t="s">
        <v>8</v>
      </c>
    </row>
    <row r="12" spans="1:7" x14ac:dyDescent="0.25">
      <c r="A12" s="2">
        <v>116.483</v>
      </c>
      <c r="B12" s="3">
        <v>10.273169789986072</v>
      </c>
      <c r="C12" s="4">
        <f t="shared" si="0"/>
        <v>0.90500000000000003</v>
      </c>
      <c r="D12" s="4">
        <v>9.5000000000000001E-2</v>
      </c>
      <c r="E12" s="4">
        <f t="shared" si="1"/>
        <v>5.3400000000000003E-2</v>
      </c>
      <c r="F12" s="4">
        <v>0.9466</v>
      </c>
      <c r="G12" t="s">
        <v>8</v>
      </c>
    </row>
    <row r="13" spans="1:7" x14ac:dyDescent="0.25">
      <c r="A13" s="2">
        <v>116.483</v>
      </c>
      <c r="B13" s="3">
        <v>15.857913098636219</v>
      </c>
      <c r="C13" s="4">
        <f t="shared" si="0"/>
        <v>0.86060000000000003</v>
      </c>
      <c r="D13" s="4">
        <v>0.1394</v>
      </c>
      <c r="E13" s="4">
        <f t="shared" si="1"/>
        <v>6.1699999999999977E-2</v>
      </c>
      <c r="F13" s="4">
        <v>0.93830000000000002</v>
      </c>
      <c r="G13" t="s">
        <v>8</v>
      </c>
    </row>
    <row r="14" spans="1:7" x14ac:dyDescent="0.25">
      <c r="A14" s="5">
        <v>116.483</v>
      </c>
      <c r="B14" s="6">
        <v>27.57897930197603</v>
      </c>
      <c r="C14" s="7">
        <f t="shared" si="0"/>
        <v>0.68300000000000005</v>
      </c>
      <c r="D14" s="7">
        <v>0.317</v>
      </c>
      <c r="E14" s="7">
        <f t="shared" si="1"/>
        <v>7.1099999999999941E-2</v>
      </c>
      <c r="F14" s="7">
        <v>0.92890000000000006</v>
      </c>
      <c r="G14" t="s">
        <v>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6C60D-CB69-4996-864F-4A17E3A74797}">
  <dimension ref="A1:G4"/>
  <sheetViews>
    <sheetView zoomScale="175" zoomScaleNormal="175" workbookViewId="0">
      <selection activeCell="G12" sqref="G12"/>
    </sheetView>
  </sheetViews>
  <sheetFormatPr defaultRowHeight="15" x14ac:dyDescent="0.25"/>
  <cols>
    <col min="7" max="7" width="14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144.261</v>
      </c>
      <c r="B2" s="3">
        <f>500/145.038</f>
        <v>3.4473724127470038</v>
      </c>
      <c r="C2" s="4">
        <f>1-D2</f>
        <v>0.9657</v>
      </c>
      <c r="D2" s="4">
        <v>3.4299999999999997E-2</v>
      </c>
      <c r="E2" s="4">
        <f>1-F2</f>
        <v>0.36080000000000001</v>
      </c>
      <c r="F2" s="4">
        <v>0.63919999999999999</v>
      </c>
      <c r="G2" t="s">
        <v>9</v>
      </c>
    </row>
    <row r="3" spans="1:7" x14ac:dyDescent="0.25">
      <c r="A3" s="2">
        <v>144.261</v>
      </c>
      <c r="B3" s="3">
        <f>1000/145.038</f>
        <v>6.8947448254940076</v>
      </c>
      <c r="C3" s="4">
        <f t="shared" ref="C3:C4" si="0">1-D3</f>
        <v>0.91680000000000006</v>
      </c>
      <c r="D3" s="4">
        <v>8.3199999999999996E-2</v>
      </c>
      <c r="E3" s="4">
        <f t="shared" ref="E3:E4" si="1">1-F3</f>
        <v>0.2399</v>
      </c>
      <c r="F3" s="4">
        <v>0.7601</v>
      </c>
      <c r="G3" t="s">
        <v>9</v>
      </c>
    </row>
    <row r="4" spans="1:7" x14ac:dyDescent="0.25">
      <c r="A4" s="5">
        <v>144.261</v>
      </c>
      <c r="B4" s="6">
        <f>1000/145.038</f>
        <v>6.8947448254940076</v>
      </c>
      <c r="C4" s="7">
        <f t="shared" si="0"/>
        <v>0.92189999999999994</v>
      </c>
      <c r="D4" s="7">
        <v>7.8100000000000003E-2</v>
      </c>
      <c r="E4" s="7">
        <f t="shared" si="1"/>
        <v>0.23819999999999997</v>
      </c>
      <c r="F4" s="7">
        <v>0.76180000000000003</v>
      </c>
      <c r="G4" t="s">
        <v>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941A0-E26A-4E63-81BB-243A86C7128B}">
  <dimension ref="A1:G29"/>
  <sheetViews>
    <sheetView zoomScale="175" zoomScaleNormal="175" workbookViewId="0">
      <selection activeCell="G2" sqref="G2:G29"/>
    </sheetView>
  </sheetViews>
  <sheetFormatPr defaultRowHeight="15" x14ac:dyDescent="0.25"/>
  <cols>
    <col min="7" max="7" width="2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8">
        <f>-170+273.15</f>
        <v>103.14999999999998</v>
      </c>
      <c r="B2" s="3">
        <v>1.9961024999999999</v>
      </c>
      <c r="C2" s="4">
        <f>1-D2</f>
        <v>0.98580000000000001</v>
      </c>
      <c r="D2" s="4">
        <v>1.4200000000000001E-2</v>
      </c>
      <c r="E2" s="4">
        <f>1-F2</f>
        <v>4.7000000000000042E-2</v>
      </c>
      <c r="F2" s="4">
        <v>0.95299999999999996</v>
      </c>
      <c r="G2" t="s">
        <v>10</v>
      </c>
    </row>
    <row r="3" spans="1:7" x14ac:dyDescent="0.25">
      <c r="A3" s="8">
        <f t="shared" ref="A3:A6" si="0">-170+273.15</f>
        <v>103.14999999999998</v>
      </c>
      <c r="B3" s="3">
        <v>4.1340599999999998</v>
      </c>
      <c r="C3" s="4">
        <f t="shared" ref="C3:C29" si="1">1-D3</f>
        <v>0.96630000000000005</v>
      </c>
      <c r="D3" s="4">
        <v>3.3700000000000001E-2</v>
      </c>
      <c r="E3" s="4">
        <f t="shared" ref="E3:E29" si="2">1-F3</f>
        <v>3.3000000000000029E-2</v>
      </c>
      <c r="F3" s="4">
        <v>0.96699999999999997</v>
      </c>
      <c r="G3" t="s">
        <v>10</v>
      </c>
    </row>
    <row r="4" spans="1:7" x14ac:dyDescent="0.25">
      <c r="A4" s="8">
        <f t="shared" si="0"/>
        <v>103.14999999999998</v>
      </c>
      <c r="B4" s="3">
        <v>6.1200299999999999</v>
      </c>
      <c r="C4" s="4">
        <f t="shared" si="1"/>
        <v>0.94310000000000005</v>
      </c>
      <c r="D4" s="4">
        <v>5.6899999999999999E-2</v>
      </c>
      <c r="E4" s="4">
        <f t="shared" si="2"/>
        <v>3.1000000000000028E-2</v>
      </c>
      <c r="F4" s="4">
        <v>0.96899999999999997</v>
      </c>
      <c r="G4" t="s">
        <v>10</v>
      </c>
    </row>
    <row r="5" spans="1:7" x14ac:dyDescent="0.25">
      <c r="A5" s="8">
        <f t="shared" si="0"/>
        <v>103.14999999999998</v>
      </c>
      <c r="B5" s="3">
        <v>8.1971925000000017</v>
      </c>
      <c r="C5" s="4">
        <f t="shared" si="1"/>
        <v>0.92920000000000003</v>
      </c>
      <c r="D5" s="4">
        <v>7.0800000000000002E-2</v>
      </c>
      <c r="E5" s="4">
        <f t="shared" si="2"/>
        <v>3.0000000000000027E-2</v>
      </c>
      <c r="F5" s="4">
        <v>0.97</v>
      </c>
      <c r="G5" t="s">
        <v>10</v>
      </c>
    </row>
    <row r="6" spans="1:7" x14ac:dyDescent="0.25">
      <c r="A6" s="8">
        <f t="shared" si="0"/>
        <v>103.14999999999998</v>
      </c>
      <c r="B6" s="3">
        <v>9.1192499999999992</v>
      </c>
      <c r="C6" s="4">
        <f t="shared" si="1"/>
        <v>0.91810000000000003</v>
      </c>
      <c r="D6" s="4">
        <v>8.1900000000000001E-2</v>
      </c>
      <c r="E6" s="4">
        <f t="shared" si="2"/>
        <v>3.1000000000000028E-2</v>
      </c>
      <c r="F6" s="4">
        <v>0.96899999999999997</v>
      </c>
      <c r="G6" t="s">
        <v>10</v>
      </c>
    </row>
    <row r="7" spans="1:7" x14ac:dyDescent="0.25">
      <c r="A7" s="8">
        <f>-150+273.15</f>
        <v>123.14999999999998</v>
      </c>
      <c r="B7" s="3">
        <v>1.0233825000000001</v>
      </c>
      <c r="C7" s="4">
        <f t="shared" si="1"/>
        <v>0.99270000000000003</v>
      </c>
      <c r="D7" s="4">
        <v>7.3000000000000001E-3</v>
      </c>
      <c r="E7" s="4">
        <f t="shared" si="2"/>
        <v>0.31699999999999995</v>
      </c>
      <c r="F7" s="4">
        <v>0.68300000000000005</v>
      </c>
      <c r="G7" t="s">
        <v>10</v>
      </c>
    </row>
    <row r="8" spans="1:7" x14ac:dyDescent="0.25">
      <c r="A8" s="8">
        <f t="shared" ref="A8:A12" si="3">-150+273.15</f>
        <v>123.14999999999998</v>
      </c>
      <c r="B8" s="3">
        <v>2.0265</v>
      </c>
      <c r="C8" s="4">
        <f t="shared" si="1"/>
        <v>0.98080000000000001</v>
      </c>
      <c r="D8" s="4">
        <v>1.9199999999999998E-2</v>
      </c>
      <c r="E8" s="4">
        <f t="shared" si="2"/>
        <v>0.18200000000000005</v>
      </c>
      <c r="F8" s="4">
        <v>0.81799999999999995</v>
      </c>
      <c r="G8" t="s">
        <v>10</v>
      </c>
    </row>
    <row r="9" spans="1:7" x14ac:dyDescent="0.25">
      <c r="A9" s="8">
        <f t="shared" si="3"/>
        <v>123.14999999999998</v>
      </c>
      <c r="B9" s="3">
        <v>4.0327349999999997</v>
      </c>
      <c r="C9" s="4">
        <f t="shared" si="1"/>
        <v>0.96150000000000002</v>
      </c>
      <c r="D9" s="4">
        <v>3.85E-2</v>
      </c>
      <c r="E9" s="4">
        <f t="shared" si="2"/>
        <v>0.11399999999999999</v>
      </c>
      <c r="F9" s="4">
        <v>0.88600000000000001</v>
      </c>
      <c r="G9" t="s">
        <v>10</v>
      </c>
    </row>
    <row r="10" spans="1:7" x14ac:dyDescent="0.25">
      <c r="A10" s="8">
        <f t="shared" si="3"/>
        <v>123.14999999999998</v>
      </c>
      <c r="B10" s="3">
        <v>6.0592350000000001</v>
      </c>
      <c r="C10" s="4">
        <f t="shared" si="1"/>
        <v>0.93840000000000001</v>
      </c>
      <c r="D10" s="4">
        <v>6.1600000000000002E-2</v>
      </c>
      <c r="E10" s="4">
        <f t="shared" si="2"/>
        <v>9.5999999999999974E-2</v>
      </c>
      <c r="F10" s="4">
        <v>0.90400000000000003</v>
      </c>
      <c r="G10" t="s">
        <v>10</v>
      </c>
    </row>
    <row r="11" spans="1:7" x14ac:dyDescent="0.25">
      <c r="A11" s="8">
        <f t="shared" si="3"/>
        <v>123.14999999999998</v>
      </c>
      <c r="B11" s="3">
        <v>8.1769274999999997</v>
      </c>
      <c r="C11" s="4">
        <f t="shared" si="1"/>
        <v>0.91839999999999999</v>
      </c>
      <c r="D11" s="4">
        <v>8.1600000000000006E-2</v>
      </c>
      <c r="E11" s="4">
        <f t="shared" si="2"/>
        <v>8.8999999999999968E-2</v>
      </c>
      <c r="F11" s="4">
        <v>0.91100000000000003</v>
      </c>
      <c r="G11" t="s">
        <v>10</v>
      </c>
    </row>
    <row r="12" spans="1:7" x14ac:dyDescent="0.25">
      <c r="A12" s="8">
        <f t="shared" si="3"/>
        <v>123.14999999999998</v>
      </c>
      <c r="B12" s="3">
        <v>10.1831625</v>
      </c>
      <c r="C12" s="4">
        <f t="shared" si="1"/>
        <v>0.89900000000000002</v>
      </c>
      <c r="D12" s="4">
        <v>0.10100000000000001</v>
      </c>
      <c r="E12" s="4">
        <f t="shared" si="2"/>
        <v>9.1999999999999971E-2</v>
      </c>
      <c r="F12" s="4">
        <v>0.90800000000000003</v>
      </c>
      <c r="G12" t="s">
        <v>10</v>
      </c>
    </row>
    <row r="13" spans="1:7" x14ac:dyDescent="0.25">
      <c r="A13" s="8">
        <f>-130.1+273.15</f>
        <v>143.04999999999998</v>
      </c>
      <c r="B13" s="3">
        <v>1.0740449999999999</v>
      </c>
      <c r="C13" s="4">
        <f t="shared" si="1"/>
        <v>0.99690000000000001</v>
      </c>
      <c r="D13" s="4">
        <v>3.0999999999999999E-3</v>
      </c>
      <c r="E13" s="4">
        <f t="shared" si="2"/>
        <v>0.78600000000000003</v>
      </c>
      <c r="F13" s="4">
        <v>0.214</v>
      </c>
      <c r="G13" t="s">
        <v>10</v>
      </c>
    </row>
    <row r="14" spans="1:7" x14ac:dyDescent="0.25">
      <c r="A14" s="8">
        <f t="shared" ref="A14:A18" si="4">-130.1+273.15</f>
        <v>143.04999999999998</v>
      </c>
      <c r="B14" s="3">
        <v>2.0163674999999999</v>
      </c>
      <c r="C14" s="4">
        <f t="shared" si="1"/>
        <v>0.98319999999999996</v>
      </c>
      <c r="D14" s="4">
        <v>1.6799999999999999E-2</v>
      </c>
      <c r="E14" s="4">
        <f t="shared" si="2"/>
        <v>0.45899999999999996</v>
      </c>
      <c r="F14" s="4">
        <v>0.54100000000000004</v>
      </c>
      <c r="G14" t="s">
        <v>10</v>
      </c>
    </row>
    <row r="15" spans="1:7" x14ac:dyDescent="0.25">
      <c r="A15" s="8">
        <f t="shared" si="4"/>
        <v>143.04999999999998</v>
      </c>
      <c r="B15" s="3">
        <v>4.0732650000000001</v>
      </c>
      <c r="C15" s="4">
        <f t="shared" si="1"/>
        <v>0.95230000000000004</v>
      </c>
      <c r="D15" s="4">
        <v>4.7699999999999999E-2</v>
      </c>
      <c r="E15" s="4">
        <f t="shared" si="2"/>
        <v>0.27900000000000003</v>
      </c>
      <c r="F15" s="4">
        <v>0.72099999999999997</v>
      </c>
      <c r="G15" t="s">
        <v>10</v>
      </c>
    </row>
    <row r="16" spans="1:7" x14ac:dyDescent="0.25">
      <c r="A16" s="8">
        <f t="shared" si="4"/>
        <v>143.04999999999998</v>
      </c>
      <c r="B16" s="3">
        <v>5.9883075000000003</v>
      </c>
      <c r="C16" s="4">
        <f t="shared" si="1"/>
        <v>0.93159999999999998</v>
      </c>
      <c r="D16" s="4">
        <v>6.8400000000000002E-2</v>
      </c>
      <c r="E16" s="4">
        <f t="shared" si="2"/>
        <v>0.22099999999999997</v>
      </c>
      <c r="F16" s="4">
        <v>0.77900000000000003</v>
      </c>
      <c r="G16" t="s">
        <v>10</v>
      </c>
    </row>
    <row r="17" spans="1:7" x14ac:dyDescent="0.25">
      <c r="A17" s="8">
        <f t="shared" si="4"/>
        <v>143.04999999999998</v>
      </c>
      <c r="B17" s="3">
        <v>7.9742775000000004</v>
      </c>
      <c r="C17" s="4">
        <f t="shared" si="1"/>
        <v>0.90080000000000005</v>
      </c>
      <c r="D17" s="4">
        <v>9.9199999999999997E-2</v>
      </c>
      <c r="E17" s="4">
        <f t="shared" si="2"/>
        <v>0.19799999999999995</v>
      </c>
      <c r="F17" s="4">
        <v>0.80200000000000005</v>
      </c>
      <c r="G17" t="s">
        <v>10</v>
      </c>
    </row>
    <row r="18" spans="1:7" x14ac:dyDescent="0.25">
      <c r="A18" s="8">
        <f t="shared" si="4"/>
        <v>143.04999999999998</v>
      </c>
      <c r="B18" s="3">
        <v>10.152765</v>
      </c>
      <c r="C18" s="4">
        <f t="shared" si="1"/>
        <v>0.873</v>
      </c>
      <c r="D18" s="4">
        <v>0.127</v>
      </c>
      <c r="E18" s="4">
        <f t="shared" si="2"/>
        <v>0.18999999999999995</v>
      </c>
      <c r="F18" s="4">
        <v>0.81</v>
      </c>
      <c r="G18" t="s">
        <v>10</v>
      </c>
    </row>
    <row r="19" spans="1:7" x14ac:dyDescent="0.25">
      <c r="A19" s="8">
        <f>-101.1+273.15</f>
        <v>172.04999999999998</v>
      </c>
      <c r="B19" s="3">
        <v>8.7544799999999992</v>
      </c>
      <c r="C19" s="4">
        <f t="shared" si="1"/>
        <v>0.86399999999999999</v>
      </c>
      <c r="D19" s="4">
        <v>0.13600000000000001</v>
      </c>
      <c r="E19" s="4">
        <f t="shared" si="2"/>
        <v>0.56499999999999995</v>
      </c>
      <c r="F19" s="4">
        <v>0.435</v>
      </c>
      <c r="G19" t="s">
        <v>10</v>
      </c>
    </row>
    <row r="20" spans="1:7" x14ac:dyDescent="0.25">
      <c r="A20" s="8">
        <f>-101.1+273.15</f>
        <v>172.04999999999998</v>
      </c>
      <c r="B20" s="3">
        <v>10.355415000000001</v>
      </c>
      <c r="C20" s="4">
        <f t="shared" si="1"/>
        <v>0.79899999999999993</v>
      </c>
      <c r="D20" s="4">
        <v>0.20100000000000001</v>
      </c>
      <c r="E20" s="4">
        <f t="shared" si="2"/>
        <v>0.57099999999999995</v>
      </c>
      <c r="F20" s="4">
        <v>0.42899999999999999</v>
      </c>
      <c r="G20" t="s">
        <v>10</v>
      </c>
    </row>
    <row r="21" spans="1:7" x14ac:dyDescent="0.25">
      <c r="A21" s="8">
        <f>-99.5+273.15</f>
        <v>173.64999999999998</v>
      </c>
      <c r="B21" s="3">
        <v>3.5666400000000005</v>
      </c>
      <c r="C21" s="4">
        <f t="shared" si="1"/>
        <v>0.98319999999999996</v>
      </c>
      <c r="D21" s="4">
        <v>1.6799999999999999E-2</v>
      </c>
      <c r="E21" s="4">
        <f t="shared" si="2"/>
        <v>0.85199999999999998</v>
      </c>
      <c r="F21" s="4">
        <v>0.14799999999999999</v>
      </c>
      <c r="G21" t="s">
        <v>10</v>
      </c>
    </row>
    <row r="22" spans="1:7" x14ac:dyDescent="0.25">
      <c r="A22" s="8">
        <f t="shared" ref="A22:A29" si="5">-99.5+273.15</f>
        <v>173.64999999999998</v>
      </c>
      <c r="B22" s="3">
        <v>4.0631325</v>
      </c>
      <c r="C22" s="4">
        <f t="shared" si="1"/>
        <v>0.97429999999999994</v>
      </c>
      <c r="D22" s="4">
        <v>2.5700000000000001E-2</v>
      </c>
      <c r="E22" s="4">
        <f t="shared" si="2"/>
        <v>0.79400000000000004</v>
      </c>
      <c r="F22" s="4">
        <v>0.20599999999999999</v>
      </c>
      <c r="G22" t="s">
        <v>10</v>
      </c>
    </row>
    <row r="23" spans="1:7" x14ac:dyDescent="0.25">
      <c r="A23" s="8">
        <f t="shared" si="5"/>
        <v>173.64999999999998</v>
      </c>
      <c r="B23" s="3">
        <v>6.0693675000000002</v>
      </c>
      <c r="C23" s="4">
        <f t="shared" si="1"/>
        <v>0.92910000000000004</v>
      </c>
      <c r="D23" s="4">
        <v>7.0900000000000005E-2</v>
      </c>
      <c r="E23" s="4">
        <f t="shared" si="2"/>
        <v>0.63800000000000001</v>
      </c>
      <c r="F23" s="4">
        <v>0.36199999999999999</v>
      </c>
      <c r="G23" t="s">
        <v>10</v>
      </c>
    </row>
    <row r="24" spans="1:7" x14ac:dyDescent="0.25">
      <c r="A24" s="8">
        <f t="shared" si="5"/>
        <v>173.64999999999998</v>
      </c>
      <c r="B24" s="3">
        <v>7.1028824999999989</v>
      </c>
      <c r="C24" s="4">
        <f t="shared" si="1"/>
        <v>0.90620000000000001</v>
      </c>
      <c r="D24" s="4">
        <v>9.3799999999999994E-2</v>
      </c>
      <c r="E24" s="4">
        <f t="shared" si="2"/>
        <v>0.59399999999999997</v>
      </c>
      <c r="F24" s="4">
        <v>0.40600000000000003</v>
      </c>
      <c r="G24" t="s">
        <v>10</v>
      </c>
    </row>
    <row r="25" spans="1:7" x14ac:dyDescent="0.25">
      <c r="A25" s="8">
        <f t="shared" si="5"/>
        <v>173.64999999999998</v>
      </c>
      <c r="B25" s="3">
        <v>8.1667949999999987</v>
      </c>
      <c r="C25" s="4">
        <f t="shared" si="1"/>
        <v>0.876</v>
      </c>
      <c r="D25" s="4">
        <v>0.124</v>
      </c>
      <c r="E25" s="4">
        <f t="shared" si="2"/>
        <v>0.57600000000000007</v>
      </c>
      <c r="F25" s="4">
        <v>0.42399999999999999</v>
      </c>
      <c r="G25" t="s">
        <v>10</v>
      </c>
    </row>
    <row r="26" spans="1:7" x14ac:dyDescent="0.25">
      <c r="A26" s="8">
        <f t="shared" si="5"/>
        <v>173.64999999999998</v>
      </c>
      <c r="B26" s="3">
        <v>8.3795774999999999</v>
      </c>
      <c r="C26" s="4">
        <f t="shared" si="1"/>
        <v>0.86899999999999999</v>
      </c>
      <c r="D26" s="4">
        <v>0.13100000000000001</v>
      </c>
      <c r="E26" s="4">
        <f t="shared" si="2"/>
        <v>0.57600000000000007</v>
      </c>
      <c r="F26" s="4">
        <v>0.42399999999999999</v>
      </c>
      <c r="G26" t="s">
        <v>10</v>
      </c>
    </row>
    <row r="27" spans="1:7" x14ac:dyDescent="0.25">
      <c r="A27" s="8">
        <f t="shared" si="5"/>
        <v>173.64999999999998</v>
      </c>
      <c r="B27" s="3">
        <v>10.051439999999999</v>
      </c>
      <c r="C27" s="4">
        <f t="shared" si="1"/>
        <v>0.81</v>
      </c>
      <c r="D27" s="4">
        <v>0.19</v>
      </c>
      <c r="E27" s="4">
        <f t="shared" si="2"/>
        <v>0.58000000000000007</v>
      </c>
      <c r="F27" s="4">
        <v>0.42</v>
      </c>
      <c r="G27" t="s">
        <v>10</v>
      </c>
    </row>
    <row r="28" spans="1:7" x14ac:dyDescent="0.25">
      <c r="A28" s="8">
        <f t="shared" si="5"/>
        <v>173.64999999999998</v>
      </c>
      <c r="B28" s="3">
        <v>10.335150000000001</v>
      </c>
      <c r="C28" s="4">
        <f t="shared" si="1"/>
        <v>0.79500000000000004</v>
      </c>
      <c r="D28" s="4">
        <v>0.20499999999999999</v>
      </c>
      <c r="E28" s="4">
        <f t="shared" si="2"/>
        <v>0.58899999999999997</v>
      </c>
      <c r="F28" s="4">
        <v>0.41099999999999998</v>
      </c>
      <c r="G28" t="s">
        <v>10</v>
      </c>
    </row>
    <row r="29" spans="1:7" x14ac:dyDescent="0.25">
      <c r="A29" s="9">
        <f t="shared" si="5"/>
        <v>173.64999999999998</v>
      </c>
      <c r="B29" s="6">
        <v>10.831642499999999</v>
      </c>
      <c r="C29" s="7">
        <f t="shared" si="1"/>
        <v>0.77500000000000002</v>
      </c>
      <c r="D29" s="7">
        <v>0.22500000000000001</v>
      </c>
      <c r="E29" s="7">
        <f t="shared" si="2"/>
        <v>0.59899999999999998</v>
      </c>
      <c r="F29" s="7">
        <v>0.40100000000000002</v>
      </c>
      <c r="G29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7"/>
  <sheetViews>
    <sheetView topLeftCell="A180" zoomScale="175" zoomScaleNormal="175" workbookViewId="0">
      <selection activeCell="G2" sqref="G2:G197"/>
    </sheetView>
  </sheetViews>
  <sheetFormatPr defaultRowHeight="15" x14ac:dyDescent="0.25"/>
  <cols>
    <col min="7" max="7" width="14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8">
        <v>92.3</v>
      </c>
      <c r="B2" s="8">
        <v>0.22</v>
      </c>
      <c r="C2" s="4">
        <v>0.99819999999999998</v>
      </c>
      <c r="D2" s="4">
        <v>1.8E-3</v>
      </c>
      <c r="E2" s="4">
        <v>9.1600000000000015E-2</v>
      </c>
      <c r="F2" s="4">
        <v>0.90839999999999999</v>
      </c>
      <c r="G2" t="s">
        <v>11</v>
      </c>
    </row>
    <row r="3" spans="1:7" x14ac:dyDescent="0.25">
      <c r="A3" s="8">
        <v>92.3</v>
      </c>
      <c r="B3" s="8">
        <v>0.31</v>
      </c>
      <c r="C3" s="4">
        <v>0.99770000000000003</v>
      </c>
      <c r="D3" s="4">
        <v>2.3E-3</v>
      </c>
      <c r="E3" s="4">
        <v>7.4300000000000033E-2</v>
      </c>
      <c r="F3" s="4">
        <v>0.92569999999999997</v>
      </c>
      <c r="G3" t="s">
        <v>11</v>
      </c>
    </row>
    <row r="4" spans="1:7" x14ac:dyDescent="0.25">
      <c r="A4" s="8">
        <v>92.3</v>
      </c>
      <c r="B4" s="8">
        <v>0.38</v>
      </c>
      <c r="C4" s="4">
        <v>0.99690000000000001</v>
      </c>
      <c r="D4" s="4">
        <v>3.0999999999999999E-3</v>
      </c>
      <c r="E4" s="4">
        <v>4.9100000000000033E-2</v>
      </c>
      <c r="F4" s="4">
        <v>0.95089999999999997</v>
      </c>
      <c r="G4" t="s">
        <v>11</v>
      </c>
    </row>
    <row r="5" spans="1:7" x14ac:dyDescent="0.25">
      <c r="A5" s="8">
        <v>92.3</v>
      </c>
      <c r="B5" s="8">
        <v>0.45</v>
      </c>
      <c r="C5" s="4">
        <v>0.99650000000000005</v>
      </c>
      <c r="D5" s="4">
        <v>3.5000000000000001E-3</v>
      </c>
      <c r="E5" s="4">
        <v>4.390000000000005E-2</v>
      </c>
      <c r="F5" s="4">
        <v>0.95609999999999995</v>
      </c>
      <c r="G5" t="s">
        <v>11</v>
      </c>
    </row>
    <row r="6" spans="1:7" x14ac:dyDescent="0.25">
      <c r="A6" s="8">
        <v>92.3</v>
      </c>
      <c r="B6" s="8">
        <v>0.52</v>
      </c>
      <c r="C6" s="4">
        <v>0.996</v>
      </c>
      <c r="D6" s="4">
        <v>4.0000000000000001E-3</v>
      </c>
      <c r="E6" s="4">
        <v>3.7499999999999978E-2</v>
      </c>
      <c r="F6" s="4">
        <v>0.96250000000000002</v>
      </c>
      <c r="G6" t="s">
        <v>11</v>
      </c>
    </row>
    <row r="7" spans="1:7" x14ac:dyDescent="0.25">
      <c r="A7" s="8">
        <v>92.3</v>
      </c>
      <c r="B7" s="8">
        <v>0.59</v>
      </c>
      <c r="C7" s="4">
        <v>0.99560000000000004</v>
      </c>
      <c r="D7" s="4">
        <v>4.4000000000000003E-3</v>
      </c>
      <c r="E7" s="4">
        <v>3.2800000000000051E-2</v>
      </c>
      <c r="F7" s="4">
        <v>0.96719999999999995</v>
      </c>
      <c r="G7" t="s">
        <v>11</v>
      </c>
    </row>
    <row r="8" spans="1:7" x14ac:dyDescent="0.25">
      <c r="A8" s="8">
        <v>92.3</v>
      </c>
      <c r="B8" s="8">
        <v>0.65</v>
      </c>
      <c r="C8" s="4">
        <v>0.995</v>
      </c>
      <c r="D8" s="4">
        <v>5.0000000000000001E-3</v>
      </c>
      <c r="E8" s="4">
        <v>2.7800000000000047E-2</v>
      </c>
      <c r="F8" s="4">
        <v>0.97219999999999995</v>
      </c>
      <c r="G8" t="s">
        <v>11</v>
      </c>
    </row>
    <row r="9" spans="1:7" x14ac:dyDescent="0.25">
      <c r="A9" s="8">
        <v>92.3</v>
      </c>
      <c r="B9" s="8">
        <v>0.79</v>
      </c>
      <c r="C9" s="4">
        <v>0.99399999999999999</v>
      </c>
      <c r="D9" s="4">
        <v>6.0000000000000001E-3</v>
      </c>
      <c r="E9" s="4">
        <v>2.300000000000002E-2</v>
      </c>
      <c r="F9" s="4">
        <v>0.97699999999999998</v>
      </c>
      <c r="G9" t="s">
        <v>11</v>
      </c>
    </row>
    <row r="10" spans="1:7" x14ac:dyDescent="0.25">
      <c r="A10" s="8">
        <v>92.3</v>
      </c>
      <c r="B10" s="8">
        <v>1.1399999999999999</v>
      </c>
      <c r="C10" s="4">
        <v>0.99150000000000005</v>
      </c>
      <c r="D10" s="4">
        <v>8.5000000000000006E-3</v>
      </c>
      <c r="E10" s="4">
        <v>1.7900000000000027E-2</v>
      </c>
      <c r="F10" s="4">
        <v>0.98209999999999997</v>
      </c>
      <c r="G10" t="s">
        <v>11</v>
      </c>
    </row>
    <row r="11" spans="1:7" x14ac:dyDescent="0.25">
      <c r="A11" s="8">
        <v>92.3</v>
      </c>
      <c r="B11" s="8">
        <v>1.48</v>
      </c>
      <c r="C11" s="4">
        <v>0.98870000000000002</v>
      </c>
      <c r="D11" s="4">
        <v>1.1299999999999999E-2</v>
      </c>
      <c r="E11" s="4">
        <v>1.4299999999999979E-2</v>
      </c>
      <c r="F11" s="4">
        <v>0.98570000000000002</v>
      </c>
      <c r="G11" t="s">
        <v>11</v>
      </c>
    </row>
    <row r="12" spans="1:7" x14ac:dyDescent="0.25">
      <c r="A12" s="8">
        <v>92.3</v>
      </c>
      <c r="B12" s="8">
        <v>1.83</v>
      </c>
      <c r="C12" s="4">
        <v>0.98599999999999999</v>
      </c>
      <c r="D12" s="4">
        <v>1.4E-2</v>
      </c>
      <c r="E12" s="4">
        <v>1.2499999999999956E-2</v>
      </c>
      <c r="F12" s="4">
        <v>0.98750000000000004</v>
      </c>
      <c r="G12" t="s">
        <v>11</v>
      </c>
    </row>
    <row r="13" spans="1:7" x14ac:dyDescent="0.25">
      <c r="A13" s="8">
        <v>92.3</v>
      </c>
      <c r="B13" s="8">
        <v>2.1800000000000002</v>
      </c>
      <c r="C13" s="4">
        <v>0.98370000000000002</v>
      </c>
      <c r="D13" s="4">
        <v>1.6299999999999999E-2</v>
      </c>
      <c r="E13" s="4">
        <v>1.1199999999999988E-2</v>
      </c>
      <c r="F13" s="4">
        <v>0.98880000000000001</v>
      </c>
      <c r="G13" t="s">
        <v>11</v>
      </c>
    </row>
    <row r="14" spans="1:7" x14ac:dyDescent="0.25">
      <c r="A14" s="8">
        <v>92.3</v>
      </c>
      <c r="B14" s="8">
        <v>2.87</v>
      </c>
      <c r="C14" s="4">
        <v>0.97909999999999997</v>
      </c>
      <c r="D14" s="4">
        <v>2.0899999999999998E-2</v>
      </c>
      <c r="E14" s="4">
        <v>9.6000000000000529E-3</v>
      </c>
      <c r="F14" s="4">
        <v>0.99039999999999995</v>
      </c>
      <c r="G14" t="s">
        <v>11</v>
      </c>
    </row>
    <row r="15" spans="1:7" x14ac:dyDescent="0.25">
      <c r="A15" s="8">
        <v>92.3</v>
      </c>
      <c r="B15" s="8">
        <v>3.56</v>
      </c>
      <c r="C15" s="4">
        <v>0.97489999999999999</v>
      </c>
      <c r="D15" s="4">
        <v>2.5100000000000001E-2</v>
      </c>
      <c r="E15" s="4">
        <v>8.2999999999999741E-3</v>
      </c>
      <c r="F15" s="4">
        <v>0.99170000000000003</v>
      </c>
      <c r="G15" t="s">
        <v>11</v>
      </c>
    </row>
    <row r="16" spans="1:7" x14ac:dyDescent="0.25">
      <c r="A16" s="8">
        <v>92.3</v>
      </c>
      <c r="B16" s="8">
        <v>4.22</v>
      </c>
      <c r="C16" s="4">
        <v>0.97070000000000001</v>
      </c>
      <c r="D16" s="4">
        <v>2.93E-2</v>
      </c>
      <c r="E16" s="4"/>
      <c r="F16" s="4"/>
      <c r="G16" t="s">
        <v>11</v>
      </c>
    </row>
    <row r="17" spans="1:7" x14ac:dyDescent="0.25">
      <c r="A17" s="8">
        <v>92.3</v>
      </c>
      <c r="B17" s="8">
        <v>5.63</v>
      </c>
      <c r="C17" s="4">
        <v>0.96179999999999999</v>
      </c>
      <c r="D17" s="4">
        <v>3.8199999999999998E-2</v>
      </c>
      <c r="E17" s="4">
        <v>8.600000000000052E-3</v>
      </c>
      <c r="F17" s="4">
        <v>0.99139999999999995</v>
      </c>
      <c r="G17" t="s">
        <v>11</v>
      </c>
    </row>
    <row r="18" spans="1:7" x14ac:dyDescent="0.25">
      <c r="A18" s="8">
        <v>92.3</v>
      </c>
      <c r="B18" s="8">
        <v>7.02</v>
      </c>
      <c r="C18" s="4">
        <v>0.95389999999999997</v>
      </c>
      <c r="D18" s="4">
        <v>4.6100000000000002E-2</v>
      </c>
      <c r="E18" s="4">
        <v>9.6000000000000529E-3</v>
      </c>
      <c r="F18" s="4">
        <v>0.99039999999999995</v>
      </c>
      <c r="G18" t="s">
        <v>11</v>
      </c>
    </row>
    <row r="19" spans="1:7" x14ac:dyDescent="0.25">
      <c r="A19" s="8">
        <v>92.3</v>
      </c>
      <c r="B19" s="8">
        <v>10.42</v>
      </c>
      <c r="C19" s="4">
        <v>0.93530000000000002</v>
      </c>
      <c r="D19" s="4">
        <v>6.4699999999999994E-2</v>
      </c>
      <c r="E19" s="4">
        <v>1.0700000000000043E-2</v>
      </c>
      <c r="F19" s="4">
        <v>0.98929999999999996</v>
      </c>
      <c r="G19" t="s">
        <v>11</v>
      </c>
    </row>
    <row r="20" spans="1:7" x14ac:dyDescent="0.25">
      <c r="A20" s="8">
        <v>92.3</v>
      </c>
      <c r="B20" s="8">
        <v>13.91</v>
      </c>
      <c r="C20" s="4">
        <v>0.91739999999999999</v>
      </c>
      <c r="D20" s="4">
        <v>8.2600000000000007E-2</v>
      </c>
      <c r="E20" s="4">
        <v>1.4000000000000012E-2</v>
      </c>
      <c r="F20" s="4">
        <v>0.98599999999999999</v>
      </c>
      <c r="G20" t="s">
        <v>11</v>
      </c>
    </row>
    <row r="21" spans="1:7" x14ac:dyDescent="0.25">
      <c r="A21" s="8">
        <v>92.3</v>
      </c>
      <c r="B21" s="8">
        <v>17.47</v>
      </c>
      <c r="C21" s="4">
        <v>0.9012</v>
      </c>
      <c r="D21" s="4">
        <v>9.8799999999999999E-2</v>
      </c>
      <c r="E21" s="4">
        <v>1.7900000000000027E-2</v>
      </c>
      <c r="F21" s="4">
        <v>0.98209999999999997</v>
      </c>
      <c r="G21" t="s">
        <v>11</v>
      </c>
    </row>
    <row r="22" spans="1:7" x14ac:dyDescent="0.25">
      <c r="A22" s="8">
        <v>92.3</v>
      </c>
      <c r="B22" s="8">
        <v>20.83</v>
      </c>
      <c r="C22" s="4">
        <v>0.88660000000000005</v>
      </c>
      <c r="D22" s="4">
        <v>0.1134</v>
      </c>
      <c r="E22" s="4">
        <v>2.090000000000003E-2</v>
      </c>
      <c r="F22" s="4">
        <v>0.97909999999999997</v>
      </c>
      <c r="G22" t="s">
        <v>11</v>
      </c>
    </row>
    <row r="23" spans="1:7" x14ac:dyDescent="0.25">
      <c r="A23" s="8">
        <v>92.3</v>
      </c>
      <c r="B23" s="8">
        <v>27.87</v>
      </c>
      <c r="C23" s="4">
        <v>0.85840000000000005</v>
      </c>
      <c r="D23" s="4">
        <v>0.1416</v>
      </c>
      <c r="E23" s="4">
        <v>2.9299999999999993E-2</v>
      </c>
      <c r="F23" s="4">
        <v>0.97070000000000001</v>
      </c>
      <c r="G23" t="s">
        <v>11</v>
      </c>
    </row>
    <row r="24" spans="1:7" x14ac:dyDescent="0.25">
      <c r="A24" s="8">
        <v>92.3</v>
      </c>
      <c r="B24" s="8">
        <v>41.56</v>
      </c>
      <c r="C24" s="4">
        <v>0.80740000000000001</v>
      </c>
      <c r="D24" s="4">
        <v>0.19259999999999999</v>
      </c>
      <c r="E24" s="4">
        <v>4.5399999999999996E-2</v>
      </c>
      <c r="F24" s="4">
        <v>0.9546</v>
      </c>
      <c r="G24" t="s">
        <v>11</v>
      </c>
    </row>
    <row r="25" spans="1:7" x14ac:dyDescent="0.25">
      <c r="A25" s="8">
        <v>92.3</v>
      </c>
      <c r="B25" s="8">
        <v>55.26</v>
      </c>
      <c r="C25" s="4">
        <v>0.76069999999999993</v>
      </c>
      <c r="D25" s="4">
        <v>0.23930000000000001</v>
      </c>
      <c r="E25" s="4">
        <v>6.140000000000001E-2</v>
      </c>
      <c r="F25" s="4">
        <v>0.93859999999999999</v>
      </c>
      <c r="G25" t="s">
        <v>11</v>
      </c>
    </row>
    <row r="26" spans="1:7" x14ac:dyDescent="0.25">
      <c r="A26" s="8">
        <v>92.3</v>
      </c>
      <c r="B26" s="8">
        <v>69.069999999999993</v>
      </c>
      <c r="C26" s="4">
        <v>0.71639999999999993</v>
      </c>
      <c r="D26" s="4">
        <v>0.28360000000000002</v>
      </c>
      <c r="E26" s="4">
        <v>7.669999999999999E-2</v>
      </c>
      <c r="F26" s="4">
        <v>0.92330000000000001</v>
      </c>
      <c r="G26" t="s">
        <v>11</v>
      </c>
    </row>
    <row r="27" spans="1:7" x14ac:dyDescent="0.25">
      <c r="A27" s="8">
        <v>92.3</v>
      </c>
      <c r="B27" s="8">
        <v>82.96</v>
      </c>
      <c r="C27" s="4">
        <v>0.66999999999999993</v>
      </c>
      <c r="D27" s="4">
        <v>0.33</v>
      </c>
      <c r="E27" s="4">
        <v>0.10019999999999996</v>
      </c>
      <c r="F27" s="4">
        <v>0.89980000000000004</v>
      </c>
      <c r="G27" t="s">
        <v>11</v>
      </c>
    </row>
    <row r="28" spans="1:7" x14ac:dyDescent="0.25">
      <c r="A28" s="8">
        <v>92.3</v>
      </c>
      <c r="B28" s="8">
        <v>97.01</v>
      </c>
      <c r="C28" s="4">
        <v>0.622</v>
      </c>
      <c r="D28" s="4">
        <v>0.378</v>
      </c>
      <c r="E28" s="4">
        <v>0.11919999999999997</v>
      </c>
      <c r="F28" s="4">
        <v>0.88080000000000003</v>
      </c>
      <c r="G28" t="s">
        <v>11</v>
      </c>
    </row>
    <row r="29" spans="1:7" x14ac:dyDescent="0.25">
      <c r="A29" s="8">
        <v>92.3</v>
      </c>
      <c r="B29" s="8">
        <v>110.77</v>
      </c>
      <c r="C29" s="4">
        <v>0.56759999999999999</v>
      </c>
      <c r="D29" s="4">
        <v>0.43240000000000001</v>
      </c>
      <c r="E29" s="4">
        <v>0.14290000000000003</v>
      </c>
      <c r="F29" s="4">
        <v>0.85709999999999997</v>
      </c>
      <c r="G29" t="s">
        <v>11</v>
      </c>
    </row>
    <row r="30" spans="1:7" x14ac:dyDescent="0.25">
      <c r="A30" s="8">
        <v>92.3</v>
      </c>
      <c r="B30" s="8">
        <v>125.08</v>
      </c>
      <c r="C30" s="4">
        <v>0.50330000000000008</v>
      </c>
      <c r="D30" s="4">
        <v>0.49669999999999997</v>
      </c>
      <c r="E30" s="4">
        <v>0.17359999999999998</v>
      </c>
      <c r="F30" s="4">
        <v>0.82640000000000002</v>
      </c>
      <c r="G30" t="s">
        <v>11</v>
      </c>
    </row>
    <row r="31" spans="1:7" x14ac:dyDescent="0.25">
      <c r="A31" s="8">
        <v>92.3</v>
      </c>
      <c r="B31" s="8">
        <v>131.38</v>
      </c>
      <c r="C31" s="4">
        <v>0.46389999999999998</v>
      </c>
      <c r="D31" s="4">
        <v>0.53610000000000002</v>
      </c>
      <c r="E31" s="4">
        <v>0.20169999999999999</v>
      </c>
      <c r="F31" s="4">
        <v>0.79830000000000001</v>
      </c>
      <c r="G31" t="s">
        <v>11</v>
      </c>
    </row>
    <row r="32" spans="1:7" x14ac:dyDescent="0.25">
      <c r="A32" s="8">
        <v>92.3</v>
      </c>
      <c r="B32" s="8">
        <v>134.58000000000001</v>
      </c>
      <c r="C32" s="4">
        <v>0.44089999999999996</v>
      </c>
      <c r="D32" s="4">
        <v>0.55910000000000004</v>
      </c>
      <c r="E32" s="4">
        <v>0.20820000000000005</v>
      </c>
      <c r="F32" s="4">
        <v>0.79179999999999995</v>
      </c>
      <c r="G32" t="s">
        <v>11</v>
      </c>
    </row>
    <row r="33" spans="1:7" x14ac:dyDescent="0.25">
      <c r="A33" s="8">
        <v>92.3</v>
      </c>
      <c r="B33" s="8">
        <v>137.97999999999999</v>
      </c>
      <c r="C33" s="4">
        <v>0.41249999999999998</v>
      </c>
      <c r="D33" s="4">
        <v>0.58750000000000002</v>
      </c>
      <c r="E33" s="4">
        <v>0.24370000000000003</v>
      </c>
      <c r="F33" s="4">
        <v>0.75629999999999997</v>
      </c>
      <c r="G33" t="s">
        <v>11</v>
      </c>
    </row>
    <row r="34" spans="1:7" x14ac:dyDescent="0.25">
      <c r="A34" s="8">
        <v>100</v>
      </c>
      <c r="B34" s="8">
        <v>0.51</v>
      </c>
      <c r="C34" s="4">
        <v>0.99590000000000001</v>
      </c>
      <c r="D34" s="4">
        <v>4.1000000000000003E-3</v>
      </c>
      <c r="E34" s="4">
        <v>8.2500000000000018E-2</v>
      </c>
      <c r="F34" s="4">
        <v>0.91749999999999998</v>
      </c>
      <c r="G34" t="s">
        <v>11</v>
      </c>
    </row>
    <row r="35" spans="1:7" x14ac:dyDescent="0.25">
      <c r="A35" s="8">
        <v>100</v>
      </c>
      <c r="B35" s="8">
        <v>0.6</v>
      </c>
      <c r="C35" s="4">
        <v>0.995</v>
      </c>
      <c r="D35" s="4">
        <v>5.0000000000000001E-3</v>
      </c>
      <c r="E35" s="4">
        <v>7.1500000000000008E-2</v>
      </c>
      <c r="F35" s="4">
        <v>0.92849999999999999</v>
      </c>
      <c r="G35" t="s">
        <v>11</v>
      </c>
    </row>
    <row r="36" spans="1:7" x14ac:dyDescent="0.25">
      <c r="A36" s="8">
        <v>100</v>
      </c>
      <c r="B36" s="8">
        <v>0.67</v>
      </c>
      <c r="C36" s="4">
        <v>0.99450000000000005</v>
      </c>
      <c r="D36" s="4">
        <v>5.4999999999999997E-3</v>
      </c>
      <c r="E36" s="4">
        <v>6.4200000000000035E-2</v>
      </c>
      <c r="F36" s="4">
        <v>0.93579999999999997</v>
      </c>
      <c r="G36" t="s">
        <v>11</v>
      </c>
    </row>
    <row r="37" spans="1:7" x14ac:dyDescent="0.25">
      <c r="A37" s="8">
        <v>100</v>
      </c>
      <c r="B37" s="8">
        <v>0.77</v>
      </c>
      <c r="C37" s="4">
        <v>0.99370000000000003</v>
      </c>
      <c r="D37" s="4">
        <v>6.3E-3</v>
      </c>
      <c r="E37" s="4">
        <v>5.8000000000000052E-2</v>
      </c>
      <c r="F37" s="4">
        <v>0.94199999999999995</v>
      </c>
      <c r="G37" t="s">
        <v>11</v>
      </c>
    </row>
    <row r="38" spans="1:7" x14ac:dyDescent="0.25">
      <c r="A38" s="8">
        <v>100</v>
      </c>
      <c r="B38" s="8">
        <v>1.1200000000000001</v>
      </c>
      <c r="C38" s="4">
        <v>0.99060000000000004</v>
      </c>
      <c r="D38" s="4">
        <v>9.4000000000000004E-3</v>
      </c>
      <c r="E38" s="4"/>
      <c r="F38" s="4"/>
      <c r="G38" t="s">
        <v>11</v>
      </c>
    </row>
    <row r="39" spans="1:7" x14ac:dyDescent="0.25">
      <c r="A39" s="8">
        <v>100</v>
      </c>
      <c r="B39" s="8">
        <v>1.4</v>
      </c>
      <c r="C39" s="4">
        <v>0.98839999999999995</v>
      </c>
      <c r="D39" s="4">
        <v>1.1599999999999999E-2</v>
      </c>
      <c r="E39" s="4">
        <v>3.9300000000000002E-2</v>
      </c>
      <c r="F39" s="4">
        <v>0.9607</v>
      </c>
      <c r="G39" t="s">
        <v>11</v>
      </c>
    </row>
    <row r="40" spans="1:7" x14ac:dyDescent="0.25">
      <c r="A40" s="8">
        <v>100</v>
      </c>
      <c r="B40" s="8">
        <v>1.67</v>
      </c>
      <c r="C40" s="4">
        <v>0.98599999999999999</v>
      </c>
      <c r="D40" s="4">
        <v>1.4E-2</v>
      </c>
      <c r="E40" s="4">
        <v>3.3299999999999996E-2</v>
      </c>
      <c r="F40" s="4">
        <v>0.9667</v>
      </c>
      <c r="G40" t="s">
        <v>11</v>
      </c>
    </row>
    <row r="41" spans="1:7" x14ac:dyDescent="0.25">
      <c r="A41" s="8">
        <v>100</v>
      </c>
      <c r="B41" s="8">
        <v>1.96</v>
      </c>
      <c r="C41" s="4">
        <v>0.98370000000000002</v>
      </c>
      <c r="D41" s="4">
        <v>1.6299999999999999E-2</v>
      </c>
      <c r="E41" s="4">
        <v>2.8299999999999992E-2</v>
      </c>
      <c r="F41" s="4">
        <v>0.97170000000000001</v>
      </c>
      <c r="G41" t="s">
        <v>11</v>
      </c>
    </row>
    <row r="42" spans="1:7" x14ac:dyDescent="0.25">
      <c r="A42" s="8">
        <v>100</v>
      </c>
      <c r="B42" s="8">
        <v>2.86</v>
      </c>
      <c r="C42" s="4">
        <v>0.97699999999999998</v>
      </c>
      <c r="D42" s="4">
        <v>2.3E-2</v>
      </c>
      <c r="E42" s="4">
        <v>2.4199999999999999E-2</v>
      </c>
      <c r="F42" s="4">
        <v>0.9758</v>
      </c>
      <c r="G42" t="s">
        <v>11</v>
      </c>
    </row>
    <row r="43" spans="1:7" x14ac:dyDescent="0.25">
      <c r="A43" s="8">
        <v>100</v>
      </c>
      <c r="B43" s="8">
        <v>3.56</v>
      </c>
      <c r="C43" s="4">
        <v>0.97170000000000001</v>
      </c>
      <c r="D43" s="4">
        <v>2.8299999999999999E-2</v>
      </c>
      <c r="E43" s="4">
        <v>2.1399999999999975E-2</v>
      </c>
      <c r="F43" s="4">
        <v>0.97860000000000003</v>
      </c>
      <c r="G43" t="s">
        <v>11</v>
      </c>
    </row>
    <row r="44" spans="1:7" x14ac:dyDescent="0.25">
      <c r="A44" s="8">
        <v>100</v>
      </c>
      <c r="B44" s="8">
        <v>4.2300000000000004</v>
      </c>
      <c r="C44" s="4">
        <v>0.96689999999999998</v>
      </c>
      <c r="D44" s="4">
        <v>3.3099999999999997E-2</v>
      </c>
      <c r="E44" s="4">
        <v>1.859999999999995E-2</v>
      </c>
      <c r="F44" s="4">
        <v>0.98140000000000005</v>
      </c>
      <c r="G44" t="s">
        <v>11</v>
      </c>
    </row>
    <row r="45" spans="1:7" x14ac:dyDescent="0.25">
      <c r="A45" s="8">
        <v>100</v>
      </c>
      <c r="B45" s="8">
        <v>4.92</v>
      </c>
      <c r="C45" s="4">
        <v>0.96120000000000005</v>
      </c>
      <c r="D45" s="4">
        <v>3.8800000000000001E-2</v>
      </c>
      <c r="E45" s="4">
        <v>1.8100000000000005E-2</v>
      </c>
      <c r="F45" s="4">
        <v>0.9819</v>
      </c>
      <c r="G45" t="s">
        <v>11</v>
      </c>
    </row>
    <row r="46" spans="1:7" x14ac:dyDescent="0.25">
      <c r="A46" s="8">
        <v>100</v>
      </c>
      <c r="B46" s="8">
        <v>5.63</v>
      </c>
      <c r="C46" s="4">
        <v>0.95640000000000003</v>
      </c>
      <c r="D46" s="4">
        <v>4.36E-2</v>
      </c>
      <c r="E46" s="4">
        <v>1.8100000000000005E-2</v>
      </c>
      <c r="F46" s="4">
        <v>0.9819</v>
      </c>
      <c r="G46" t="s">
        <v>11</v>
      </c>
    </row>
    <row r="47" spans="1:7" x14ac:dyDescent="0.25">
      <c r="A47" s="8">
        <v>100</v>
      </c>
      <c r="B47" s="8">
        <v>7.04</v>
      </c>
      <c r="C47" s="4">
        <v>0.94699999999999995</v>
      </c>
      <c r="D47" s="4">
        <v>5.2999999999999999E-2</v>
      </c>
      <c r="E47" s="4">
        <v>1.7599999999999949E-2</v>
      </c>
      <c r="F47" s="4">
        <v>0.98240000000000005</v>
      </c>
      <c r="G47" t="s">
        <v>11</v>
      </c>
    </row>
    <row r="48" spans="1:7" x14ac:dyDescent="0.25">
      <c r="A48" s="8">
        <v>100</v>
      </c>
      <c r="B48" s="8">
        <v>10.42</v>
      </c>
      <c r="C48" s="4">
        <v>0.92469999999999997</v>
      </c>
      <c r="D48" s="4">
        <v>7.5300000000000006E-2</v>
      </c>
      <c r="E48" s="4">
        <v>2.0399999999999974E-2</v>
      </c>
      <c r="F48" s="4">
        <v>0.97960000000000003</v>
      </c>
      <c r="G48" t="s">
        <v>11</v>
      </c>
    </row>
    <row r="49" spans="1:7" x14ac:dyDescent="0.25">
      <c r="A49" s="8">
        <v>100</v>
      </c>
      <c r="B49" s="8">
        <v>13.94</v>
      </c>
      <c r="C49" s="4">
        <v>0.90349999999999997</v>
      </c>
      <c r="D49" s="4">
        <v>9.6500000000000002E-2</v>
      </c>
      <c r="E49" s="4">
        <v>2.5800000000000045E-2</v>
      </c>
      <c r="F49" s="4">
        <v>0.97419999999999995</v>
      </c>
      <c r="G49" t="s">
        <v>11</v>
      </c>
    </row>
    <row r="50" spans="1:7" x14ac:dyDescent="0.25">
      <c r="A50" s="8">
        <v>100</v>
      </c>
      <c r="B50" s="8">
        <v>17.32</v>
      </c>
      <c r="C50" s="4">
        <v>0.88380000000000003</v>
      </c>
      <c r="D50" s="4">
        <v>0.1162</v>
      </c>
      <c r="E50" s="4">
        <v>2.9499999999999971E-2</v>
      </c>
      <c r="F50" s="4">
        <v>0.97050000000000003</v>
      </c>
      <c r="G50" t="s">
        <v>11</v>
      </c>
    </row>
    <row r="51" spans="1:7" x14ac:dyDescent="0.25">
      <c r="A51" s="8">
        <v>100</v>
      </c>
      <c r="B51" s="8">
        <v>20.91</v>
      </c>
      <c r="C51" s="4">
        <v>0.86040000000000005</v>
      </c>
      <c r="D51" s="4">
        <v>0.1396</v>
      </c>
      <c r="E51" s="4">
        <v>3.400000000000003E-2</v>
      </c>
      <c r="F51" s="4">
        <v>0.96599999999999997</v>
      </c>
      <c r="G51" t="s">
        <v>11</v>
      </c>
    </row>
    <row r="52" spans="1:7" x14ac:dyDescent="0.25">
      <c r="A52" s="8">
        <v>100</v>
      </c>
      <c r="B52" s="8">
        <v>24.35</v>
      </c>
      <c r="C52" s="4">
        <v>0.84209999999999996</v>
      </c>
      <c r="D52" s="4">
        <v>0.15790000000000001</v>
      </c>
      <c r="E52" s="4">
        <v>3.9300000000000002E-2</v>
      </c>
      <c r="F52" s="4">
        <v>0.9607</v>
      </c>
      <c r="G52" t="s">
        <v>11</v>
      </c>
    </row>
    <row r="53" spans="1:7" x14ac:dyDescent="0.25">
      <c r="A53" s="8">
        <v>100</v>
      </c>
      <c r="B53" s="8">
        <v>27.71</v>
      </c>
      <c r="C53" s="4">
        <v>0.82450000000000001</v>
      </c>
      <c r="D53" s="4">
        <v>0.17549999999999999</v>
      </c>
      <c r="E53" s="4">
        <v>4.4699999999999962E-2</v>
      </c>
      <c r="F53" s="4">
        <v>0.95530000000000004</v>
      </c>
      <c r="G53" t="s">
        <v>11</v>
      </c>
    </row>
    <row r="54" spans="1:7" x14ac:dyDescent="0.25">
      <c r="A54" s="8">
        <v>100</v>
      </c>
      <c r="B54" s="8">
        <v>41.74</v>
      </c>
      <c r="C54" s="4">
        <v>0.75509999999999999</v>
      </c>
      <c r="D54" s="4">
        <v>0.24490000000000001</v>
      </c>
      <c r="E54" s="4">
        <v>7.1999999999999953E-2</v>
      </c>
      <c r="F54" s="4">
        <v>0.92800000000000005</v>
      </c>
      <c r="G54" t="s">
        <v>11</v>
      </c>
    </row>
    <row r="55" spans="1:7" x14ac:dyDescent="0.25">
      <c r="A55" s="8">
        <v>100</v>
      </c>
      <c r="B55" s="8">
        <v>55.37</v>
      </c>
      <c r="C55" s="4">
        <v>0.69199999999999995</v>
      </c>
      <c r="D55" s="4">
        <v>0.308</v>
      </c>
      <c r="E55" s="4">
        <v>9.8400000000000043E-2</v>
      </c>
      <c r="F55" s="4">
        <v>0.90159999999999996</v>
      </c>
      <c r="G55" t="s">
        <v>11</v>
      </c>
    </row>
    <row r="56" spans="1:7" x14ac:dyDescent="0.25">
      <c r="A56" s="8">
        <v>100</v>
      </c>
      <c r="B56" s="8">
        <v>68.95</v>
      </c>
      <c r="C56" s="4">
        <v>0.61870000000000003</v>
      </c>
      <c r="D56" s="4">
        <v>0.38129999999999997</v>
      </c>
      <c r="E56" s="4">
        <v>0.12670000000000003</v>
      </c>
      <c r="F56" s="4">
        <v>0.87329999999999997</v>
      </c>
      <c r="G56" t="s">
        <v>11</v>
      </c>
    </row>
    <row r="57" spans="1:7" x14ac:dyDescent="0.25">
      <c r="A57" s="8">
        <v>100</v>
      </c>
      <c r="B57" s="8">
        <v>82.44</v>
      </c>
      <c r="C57" s="4">
        <v>0.5363</v>
      </c>
      <c r="D57" s="4">
        <v>0.4637</v>
      </c>
      <c r="E57" s="4">
        <v>0.1673</v>
      </c>
      <c r="F57" s="4">
        <v>0.8327</v>
      </c>
      <c r="G57" t="s">
        <v>11</v>
      </c>
    </row>
    <row r="58" spans="1:7" x14ac:dyDescent="0.25">
      <c r="A58" s="8">
        <v>100</v>
      </c>
      <c r="B58" s="8">
        <v>89.78</v>
      </c>
      <c r="C58" s="4">
        <v>0.46760000000000002</v>
      </c>
      <c r="D58" s="4">
        <v>0.53239999999999998</v>
      </c>
      <c r="E58" s="4">
        <v>0.19630000000000003</v>
      </c>
      <c r="F58" s="4">
        <v>0.80369999999999997</v>
      </c>
      <c r="G58" t="s">
        <v>11</v>
      </c>
    </row>
    <row r="59" spans="1:7" x14ac:dyDescent="0.25">
      <c r="A59" s="8">
        <v>100</v>
      </c>
      <c r="B59" s="8">
        <v>93.17</v>
      </c>
      <c r="C59" s="4">
        <v>0.42230000000000001</v>
      </c>
      <c r="D59" s="4">
        <v>0.57769999999999999</v>
      </c>
      <c r="E59" s="4">
        <v>0.24260000000000004</v>
      </c>
      <c r="F59" s="4">
        <v>0.75739999999999996</v>
      </c>
      <c r="G59" t="s">
        <v>11</v>
      </c>
    </row>
    <row r="60" spans="1:7" x14ac:dyDescent="0.25">
      <c r="A60" s="8">
        <v>100</v>
      </c>
      <c r="B60" s="8">
        <v>94.58</v>
      </c>
      <c r="C60" s="4">
        <v>0.38970000000000005</v>
      </c>
      <c r="D60" s="4">
        <v>0.61029999999999995</v>
      </c>
      <c r="E60" s="4">
        <v>0.26039999999999996</v>
      </c>
      <c r="F60" s="4">
        <v>0.73960000000000004</v>
      </c>
      <c r="G60" t="s">
        <v>11</v>
      </c>
    </row>
    <row r="61" spans="1:7" x14ac:dyDescent="0.25">
      <c r="A61" s="8">
        <v>100</v>
      </c>
      <c r="B61" s="8">
        <v>95.61</v>
      </c>
      <c r="C61" s="4"/>
      <c r="D61" s="4"/>
      <c r="E61" s="4">
        <v>0.29039999999999999</v>
      </c>
      <c r="F61" s="4">
        <v>0.70960000000000001</v>
      </c>
      <c r="G61" t="s">
        <v>11</v>
      </c>
    </row>
    <row r="62" spans="1:7" x14ac:dyDescent="0.25">
      <c r="A62" s="8">
        <v>110</v>
      </c>
      <c r="B62" s="8">
        <v>0.34</v>
      </c>
      <c r="C62" s="4">
        <v>0.99790000000000001</v>
      </c>
      <c r="D62" s="4">
        <v>2.0999999999999999E-3</v>
      </c>
      <c r="E62" s="4">
        <v>0.27480000000000004</v>
      </c>
      <c r="F62" s="4">
        <v>0.72519999999999996</v>
      </c>
      <c r="G62" t="s">
        <v>11</v>
      </c>
    </row>
    <row r="63" spans="1:7" x14ac:dyDescent="0.25">
      <c r="A63" s="8">
        <v>110</v>
      </c>
      <c r="B63" s="8">
        <v>0.45</v>
      </c>
      <c r="C63" s="4">
        <v>0.99680000000000002</v>
      </c>
      <c r="D63" s="4">
        <v>3.2000000000000002E-3</v>
      </c>
      <c r="E63" s="4">
        <v>0.16449999999999998</v>
      </c>
      <c r="F63" s="4">
        <v>0.83550000000000002</v>
      </c>
      <c r="G63" t="s">
        <v>11</v>
      </c>
    </row>
    <row r="64" spans="1:7" x14ac:dyDescent="0.25">
      <c r="A64" s="8">
        <v>110</v>
      </c>
      <c r="B64" s="8">
        <v>0.56000000000000005</v>
      </c>
      <c r="C64" s="4"/>
      <c r="D64" s="4"/>
      <c r="E64" s="4">
        <v>0.1351</v>
      </c>
      <c r="F64" s="4">
        <v>0.8649</v>
      </c>
      <c r="G64" t="s">
        <v>11</v>
      </c>
    </row>
    <row r="65" spans="1:7" x14ac:dyDescent="0.25">
      <c r="A65" s="8">
        <v>110</v>
      </c>
      <c r="B65" s="8">
        <v>0.57999999999999996</v>
      </c>
      <c r="C65" s="4">
        <v>0.99539999999999995</v>
      </c>
      <c r="D65" s="4">
        <v>4.5999999999999999E-3</v>
      </c>
      <c r="E65" s="4"/>
      <c r="F65" s="4"/>
      <c r="G65" t="s">
        <v>11</v>
      </c>
    </row>
    <row r="66" spans="1:7" x14ac:dyDescent="0.25">
      <c r="A66" s="8">
        <v>110</v>
      </c>
      <c r="B66" s="8">
        <v>0.78</v>
      </c>
      <c r="C66" s="4">
        <v>0.99319999999999997</v>
      </c>
      <c r="D66" s="4">
        <v>6.7999999999999996E-3</v>
      </c>
      <c r="E66" s="4">
        <v>0.11329999999999996</v>
      </c>
      <c r="F66" s="4">
        <v>0.88670000000000004</v>
      </c>
      <c r="G66" t="s">
        <v>11</v>
      </c>
    </row>
    <row r="67" spans="1:7" x14ac:dyDescent="0.25">
      <c r="A67" s="8">
        <v>110</v>
      </c>
      <c r="B67" s="8">
        <v>1.1100000000000001</v>
      </c>
      <c r="C67" s="4">
        <v>0.99039999999999995</v>
      </c>
      <c r="D67" s="4">
        <v>9.5999999999999992E-3</v>
      </c>
      <c r="E67" s="4">
        <v>0.10419999999999996</v>
      </c>
      <c r="F67" s="4">
        <v>0.89580000000000004</v>
      </c>
      <c r="G67" t="s">
        <v>11</v>
      </c>
    </row>
    <row r="68" spans="1:7" x14ac:dyDescent="0.25">
      <c r="A68" s="8">
        <v>110</v>
      </c>
      <c r="B68" s="8">
        <v>1.49</v>
      </c>
      <c r="C68" s="4">
        <v>0.98640000000000005</v>
      </c>
      <c r="D68" s="4">
        <v>1.3599999999999999E-2</v>
      </c>
      <c r="E68" s="4">
        <v>7.7200000000000046E-2</v>
      </c>
      <c r="F68" s="4">
        <v>0.92279999999999995</v>
      </c>
      <c r="G68" t="s">
        <v>11</v>
      </c>
    </row>
    <row r="69" spans="1:7" x14ac:dyDescent="0.25">
      <c r="A69" s="8">
        <v>110</v>
      </c>
      <c r="B69" s="8">
        <v>1.83</v>
      </c>
      <c r="C69" s="4">
        <v>0.98350000000000004</v>
      </c>
      <c r="D69" s="4">
        <v>1.6500000000000001E-2</v>
      </c>
      <c r="E69" s="4">
        <v>6.9200000000000039E-2</v>
      </c>
      <c r="F69" s="4">
        <v>0.93079999999999996</v>
      </c>
      <c r="G69" t="s">
        <v>11</v>
      </c>
    </row>
    <row r="70" spans="1:7" x14ac:dyDescent="0.25">
      <c r="A70" s="8">
        <v>110</v>
      </c>
      <c r="B70" s="8">
        <v>2.1800000000000002</v>
      </c>
      <c r="C70" s="4">
        <v>0.98019999999999996</v>
      </c>
      <c r="D70" s="4">
        <v>1.9800000000000002E-2</v>
      </c>
      <c r="E70" s="4">
        <v>6.0899999999999954E-2</v>
      </c>
      <c r="F70" s="4">
        <v>0.93910000000000005</v>
      </c>
      <c r="G70" t="s">
        <v>11</v>
      </c>
    </row>
    <row r="71" spans="1:7" x14ac:dyDescent="0.25">
      <c r="A71" s="8">
        <v>110</v>
      </c>
      <c r="B71" s="8">
        <v>2.82</v>
      </c>
      <c r="C71" s="4">
        <v>0.9748</v>
      </c>
      <c r="D71" s="4">
        <v>2.52E-2</v>
      </c>
      <c r="E71" s="4">
        <v>5.149999999999999E-2</v>
      </c>
      <c r="F71" s="4">
        <v>0.94850000000000001</v>
      </c>
      <c r="G71" t="s">
        <v>11</v>
      </c>
    </row>
    <row r="72" spans="1:7" x14ac:dyDescent="0.25">
      <c r="A72" s="8">
        <v>110</v>
      </c>
      <c r="B72" s="8">
        <v>3.56</v>
      </c>
      <c r="C72" s="4">
        <v>0.96819999999999995</v>
      </c>
      <c r="D72" s="4">
        <v>3.1800000000000002E-2</v>
      </c>
      <c r="E72" s="4">
        <v>4.5900000000000052E-2</v>
      </c>
      <c r="F72" s="4">
        <v>0.95409999999999995</v>
      </c>
      <c r="G72" t="s">
        <v>11</v>
      </c>
    </row>
    <row r="73" spans="1:7" x14ac:dyDescent="0.25">
      <c r="A73" s="8">
        <v>110</v>
      </c>
      <c r="B73" s="8">
        <v>4.9800000000000004</v>
      </c>
      <c r="C73" s="4">
        <v>0.95579999999999998</v>
      </c>
      <c r="D73" s="4">
        <v>4.4200000000000003E-2</v>
      </c>
      <c r="E73" s="4">
        <v>3.9300000000000002E-2</v>
      </c>
      <c r="F73" s="4">
        <v>0.9607</v>
      </c>
      <c r="G73" t="s">
        <v>11</v>
      </c>
    </row>
    <row r="74" spans="1:7" x14ac:dyDescent="0.25">
      <c r="A74" s="8">
        <v>110</v>
      </c>
      <c r="B74" s="8">
        <v>6.37</v>
      </c>
      <c r="C74" s="4">
        <v>0.94440000000000002</v>
      </c>
      <c r="D74" s="4">
        <v>5.5599999999999997E-2</v>
      </c>
      <c r="E74" s="4"/>
      <c r="F74" s="4"/>
      <c r="G74" t="s">
        <v>11</v>
      </c>
    </row>
    <row r="75" spans="1:7" x14ac:dyDescent="0.25">
      <c r="A75" s="8">
        <v>110</v>
      </c>
      <c r="B75" s="8">
        <v>7.78</v>
      </c>
      <c r="C75" s="4">
        <v>0.93279999999999996</v>
      </c>
      <c r="D75" s="4">
        <v>6.7199999999999996E-2</v>
      </c>
      <c r="E75" s="4">
        <v>3.6800000000000055E-2</v>
      </c>
      <c r="F75" s="4">
        <v>0.96319999999999995</v>
      </c>
      <c r="G75" t="s">
        <v>11</v>
      </c>
    </row>
    <row r="76" spans="1:7" x14ac:dyDescent="0.25">
      <c r="A76" s="8">
        <v>110</v>
      </c>
      <c r="B76" s="8">
        <v>9.07</v>
      </c>
      <c r="C76" s="4">
        <v>0.92200000000000004</v>
      </c>
      <c r="D76" s="4">
        <v>7.8E-2</v>
      </c>
      <c r="E76" s="4">
        <v>3.6800000000000055E-2</v>
      </c>
      <c r="F76" s="4">
        <v>0.96319999999999995</v>
      </c>
      <c r="G76" t="s">
        <v>11</v>
      </c>
    </row>
    <row r="77" spans="1:7" x14ac:dyDescent="0.25">
      <c r="A77" s="8">
        <v>110</v>
      </c>
      <c r="B77" s="8">
        <v>13.97</v>
      </c>
      <c r="C77" s="4">
        <v>0.88470000000000004</v>
      </c>
      <c r="D77" s="4">
        <v>0.1153</v>
      </c>
      <c r="E77" s="4">
        <v>4.0699999999999958E-2</v>
      </c>
      <c r="F77" s="4">
        <v>0.95930000000000004</v>
      </c>
      <c r="G77" t="s">
        <v>11</v>
      </c>
    </row>
    <row r="78" spans="1:7" x14ac:dyDescent="0.25">
      <c r="A78" s="8">
        <v>110</v>
      </c>
      <c r="B78" s="8">
        <v>17.34</v>
      </c>
      <c r="C78" s="4">
        <v>0.85830000000000006</v>
      </c>
      <c r="D78" s="4">
        <v>0.14169999999999999</v>
      </c>
      <c r="E78" s="4">
        <v>5.0300000000000011E-2</v>
      </c>
      <c r="F78" s="4">
        <v>0.94969999999999999</v>
      </c>
      <c r="G78" t="s">
        <v>11</v>
      </c>
    </row>
    <row r="79" spans="1:7" x14ac:dyDescent="0.25">
      <c r="A79" s="8">
        <v>110</v>
      </c>
      <c r="B79" s="8">
        <v>20.86</v>
      </c>
      <c r="C79" s="4">
        <v>0.83160000000000001</v>
      </c>
      <c r="D79" s="4">
        <v>0.16839999999999999</v>
      </c>
      <c r="E79" s="4">
        <v>5.8000000000000052E-2</v>
      </c>
      <c r="F79" s="4">
        <v>0.94199999999999995</v>
      </c>
      <c r="G79" t="s">
        <v>11</v>
      </c>
    </row>
    <row r="80" spans="1:7" x14ac:dyDescent="0.25">
      <c r="A80" s="8">
        <v>110</v>
      </c>
      <c r="B80" s="8">
        <v>27.64</v>
      </c>
      <c r="C80" s="4">
        <v>0.78359999999999996</v>
      </c>
      <c r="D80" s="4">
        <v>0.21640000000000001</v>
      </c>
      <c r="E80" s="4">
        <v>7.3599999999999999E-2</v>
      </c>
      <c r="F80" s="4">
        <v>0.9264</v>
      </c>
      <c r="G80" t="s">
        <v>11</v>
      </c>
    </row>
    <row r="81" spans="1:7" x14ac:dyDescent="0.25">
      <c r="A81" s="8">
        <v>110</v>
      </c>
      <c r="B81" s="8">
        <v>34.700000000000003</v>
      </c>
      <c r="C81" s="4">
        <v>0.73259999999999992</v>
      </c>
      <c r="D81" s="4">
        <v>0.26740000000000003</v>
      </c>
      <c r="E81" s="4">
        <v>9.4999999999999973E-2</v>
      </c>
      <c r="F81" s="4">
        <v>0.90500000000000003</v>
      </c>
      <c r="G81" t="s">
        <v>11</v>
      </c>
    </row>
    <row r="82" spans="1:7" x14ac:dyDescent="0.25">
      <c r="A82" s="8">
        <v>110</v>
      </c>
      <c r="B82" s="8">
        <v>41.54</v>
      </c>
      <c r="C82" s="4">
        <v>0.68480000000000008</v>
      </c>
      <c r="D82" s="4">
        <v>0.31519999999999998</v>
      </c>
      <c r="E82" s="4">
        <v>0.11629999999999996</v>
      </c>
      <c r="F82" s="4">
        <v>0.88370000000000004</v>
      </c>
      <c r="G82" t="s">
        <v>11</v>
      </c>
    </row>
    <row r="83" spans="1:7" x14ac:dyDescent="0.25">
      <c r="A83" s="8">
        <v>110</v>
      </c>
      <c r="B83" s="8">
        <v>44.89</v>
      </c>
      <c r="C83" s="4">
        <v>0.65870000000000006</v>
      </c>
      <c r="D83" s="4">
        <v>0.34129999999999999</v>
      </c>
      <c r="E83" s="4">
        <v>0.13100000000000001</v>
      </c>
      <c r="F83" s="4">
        <v>0.86899999999999999</v>
      </c>
      <c r="G83" t="s">
        <v>11</v>
      </c>
    </row>
    <row r="84" spans="1:7" x14ac:dyDescent="0.25">
      <c r="A84" s="8">
        <v>110</v>
      </c>
      <c r="B84" s="8">
        <v>48.31</v>
      </c>
      <c r="C84" s="4">
        <v>0.62969999999999993</v>
      </c>
      <c r="D84" s="4">
        <v>0.37030000000000002</v>
      </c>
      <c r="E84" s="4">
        <v>0.14949999999999997</v>
      </c>
      <c r="F84" s="4">
        <v>0.85050000000000003</v>
      </c>
      <c r="G84" t="s">
        <v>11</v>
      </c>
    </row>
    <row r="85" spans="1:7" x14ac:dyDescent="0.25">
      <c r="A85" s="8">
        <v>110</v>
      </c>
      <c r="B85" s="8">
        <v>48.86</v>
      </c>
      <c r="C85" s="4">
        <v>0.62450000000000006</v>
      </c>
      <c r="D85" s="4">
        <v>0.3755</v>
      </c>
      <c r="E85" s="4">
        <v>0.14910000000000001</v>
      </c>
      <c r="F85" s="4">
        <v>0.85089999999999999</v>
      </c>
      <c r="G85" t="s">
        <v>11</v>
      </c>
    </row>
    <row r="86" spans="1:7" x14ac:dyDescent="0.25">
      <c r="A86" s="8">
        <v>110</v>
      </c>
      <c r="B86" s="8">
        <v>51.86</v>
      </c>
      <c r="C86" s="4">
        <v>0.5988</v>
      </c>
      <c r="D86" s="4">
        <v>0.4012</v>
      </c>
      <c r="E86" s="4">
        <v>0.16749999999999998</v>
      </c>
      <c r="F86" s="4">
        <v>0.83250000000000002</v>
      </c>
      <c r="G86" t="s">
        <v>11</v>
      </c>
    </row>
    <row r="87" spans="1:7" x14ac:dyDescent="0.25">
      <c r="A87" s="8">
        <v>110</v>
      </c>
      <c r="B87" s="8">
        <v>53.2</v>
      </c>
      <c r="C87" s="4">
        <v>0.58550000000000002</v>
      </c>
      <c r="D87" s="4">
        <v>0.41449999999999998</v>
      </c>
      <c r="E87" s="4">
        <v>0.17710000000000004</v>
      </c>
      <c r="F87" s="4">
        <v>0.82289999999999996</v>
      </c>
      <c r="G87" t="s">
        <v>11</v>
      </c>
    </row>
    <row r="88" spans="1:7" x14ac:dyDescent="0.25">
      <c r="A88" s="8">
        <v>110</v>
      </c>
      <c r="B88" s="8">
        <v>55.29</v>
      </c>
      <c r="C88" s="4">
        <v>0.56390000000000007</v>
      </c>
      <c r="D88" s="4">
        <v>0.43609999999999999</v>
      </c>
      <c r="E88" s="4">
        <v>0.18189999999999995</v>
      </c>
      <c r="F88" s="4">
        <v>0.81810000000000005</v>
      </c>
      <c r="G88" t="s">
        <v>11</v>
      </c>
    </row>
    <row r="89" spans="1:7" x14ac:dyDescent="0.25">
      <c r="A89" s="8">
        <v>110</v>
      </c>
      <c r="B89" s="8">
        <v>55.39</v>
      </c>
      <c r="C89" s="4">
        <v>0.56279999999999997</v>
      </c>
      <c r="D89" s="4">
        <v>0.43719999999999998</v>
      </c>
      <c r="E89" s="4">
        <v>0.18920000000000003</v>
      </c>
      <c r="F89" s="4">
        <v>0.81079999999999997</v>
      </c>
      <c r="G89" t="s">
        <v>11</v>
      </c>
    </row>
    <row r="90" spans="1:7" x14ac:dyDescent="0.25">
      <c r="A90" s="8">
        <v>110</v>
      </c>
      <c r="B90" s="8">
        <v>57.32</v>
      </c>
      <c r="C90" s="4">
        <v>0.54079999999999995</v>
      </c>
      <c r="D90" s="4">
        <v>0.4592</v>
      </c>
      <c r="E90" s="4">
        <v>0.19830000000000003</v>
      </c>
      <c r="F90" s="4">
        <v>0.80169999999999997</v>
      </c>
      <c r="G90" t="s">
        <v>11</v>
      </c>
    </row>
    <row r="91" spans="1:7" x14ac:dyDescent="0.25">
      <c r="A91" s="8">
        <v>110</v>
      </c>
      <c r="B91" s="8">
        <v>58.85</v>
      </c>
      <c r="C91" s="4">
        <v>0.5232</v>
      </c>
      <c r="D91" s="4">
        <v>0.4768</v>
      </c>
      <c r="E91" s="4">
        <v>0.20269999999999999</v>
      </c>
      <c r="F91" s="4">
        <v>0.79730000000000001</v>
      </c>
      <c r="G91" t="s">
        <v>11</v>
      </c>
    </row>
    <row r="92" spans="1:7" x14ac:dyDescent="0.25">
      <c r="A92" s="8">
        <v>110</v>
      </c>
      <c r="B92" s="8">
        <v>62.28</v>
      </c>
      <c r="C92" s="4">
        <v>0.45999999999999996</v>
      </c>
      <c r="D92" s="4">
        <v>0.54</v>
      </c>
      <c r="E92" s="4">
        <v>0.23660000000000003</v>
      </c>
      <c r="F92" s="4">
        <v>0.76339999999999997</v>
      </c>
      <c r="G92" t="s">
        <v>11</v>
      </c>
    </row>
    <row r="93" spans="1:7" x14ac:dyDescent="0.25">
      <c r="A93" s="8">
        <v>110</v>
      </c>
      <c r="B93" s="8">
        <v>63.58</v>
      </c>
      <c r="C93" s="4">
        <v>0.41700000000000004</v>
      </c>
      <c r="D93" s="4">
        <v>0.58299999999999996</v>
      </c>
      <c r="E93" s="4">
        <v>0.29469999999999996</v>
      </c>
      <c r="F93" s="4">
        <v>0.70530000000000004</v>
      </c>
      <c r="G93" t="s">
        <v>11</v>
      </c>
    </row>
    <row r="94" spans="1:7" x14ac:dyDescent="0.25">
      <c r="A94" s="8">
        <v>110</v>
      </c>
      <c r="B94" s="8">
        <v>63.9</v>
      </c>
      <c r="C94" s="4">
        <v>0.39349999999999996</v>
      </c>
      <c r="D94" s="4">
        <v>0.60650000000000004</v>
      </c>
      <c r="E94" s="4">
        <v>0.30979999999999996</v>
      </c>
      <c r="F94" s="4">
        <v>0.69020000000000004</v>
      </c>
      <c r="G94" t="s">
        <v>11</v>
      </c>
    </row>
    <row r="95" spans="1:7" x14ac:dyDescent="0.25">
      <c r="A95" s="8">
        <v>120</v>
      </c>
      <c r="B95" s="8">
        <v>0.79</v>
      </c>
      <c r="C95" s="4">
        <v>0.99380000000000002</v>
      </c>
      <c r="D95" s="4">
        <v>6.1999999999999998E-3</v>
      </c>
      <c r="E95" s="4">
        <v>0.28220000000000001</v>
      </c>
      <c r="F95" s="4">
        <v>0.71779999999999999</v>
      </c>
      <c r="G95" t="s">
        <v>11</v>
      </c>
    </row>
    <row r="96" spans="1:7" x14ac:dyDescent="0.25">
      <c r="A96" s="8">
        <v>120</v>
      </c>
      <c r="B96" s="8">
        <v>1.1299999999999999</v>
      </c>
      <c r="C96" s="4">
        <v>0.9899</v>
      </c>
      <c r="D96" s="4">
        <v>1.01E-2</v>
      </c>
      <c r="E96" s="4">
        <v>0.2107</v>
      </c>
      <c r="F96" s="4">
        <v>0.7893</v>
      </c>
      <c r="G96" t="s">
        <v>11</v>
      </c>
    </row>
    <row r="97" spans="1:7" x14ac:dyDescent="0.25">
      <c r="A97" s="8">
        <v>120</v>
      </c>
      <c r="B97" s="8">
        <v>1.51</v>
      </c>
      <c r="C97" s="4">
        <v>0.98619999999999997</v>
      </c>
      <c r="D97" s="4">
        <v>1.38E-2</v>
      </c>
      <c r="E97" s="4">
        <v>0.17000000000000004</v>
      </c>
      <c r="F97" s="4">
        <v>0.83</v>
      </c>
      <c r="G97" t="s">
        <v>11</v>
      </c>
    </row>
    <row r="98" spans="1:7" x14ac:dyDescent="0.25">
      <c r="A98" s="8">
        <v>120</v>
      </c>
      <c r="B98" s="8">
        <v>2.1800000000000002</v>
      </c>
      <c r="C98" s="4">
        <v>0.97940000000000005</v>
      </c>
      <c r="D98" s="4">
        <v>2.06E-2</v>
      </c>
      <c r="E98" s="4">
        <v>0.12590000000000001</v>
      </c>
      <c r="F98" s="4">
        <v>0.87409999999999999</v>
      </c>
      <c r="G98" t="s">
        <v>11</v>
      </c>
    </row>
    <row r="99" spans="1:7" x14ac:dyDescent="0.25">
      <c r="A99" s="8">
        <v>120</v>
      </c>
      <c r="B99" s="8">
        <v>3.58</v>
      </c>
      <c r="C99" s="4">
        <v>0.96550000000000002</v>
      </c>
      <c r="D99" s="4">
        <v>3.4500000000000003E-2</v>
      </c>
      <c r="E99" s="4">
        <v>8.9600000000000013E-2</v>
      </c>
      <c r="F99" s="4">
        <v>0.91039999999999999</v>
      </c>
      <c r="G99" t="s">
        <v>11</v>
      </c>
    </row>
    <row r="100" spans="1:7" x14ac:dyDescent="0.25">
      <c r="A100" s="8">
        <v>120</v>
      </c>
      <c r="B100" s="8">
        <v>5.65</v>
      </c>
      <c r="C100" s="4">
        <v>0.94510000000000005</v>
      </c>
      <c r="D100" s="4">
        <v>5.4899999999999997E-2</v>
      </c>
      <c r="E100" s="4">
        <v>7.1999999999999953E-2</v>
      </c>
      <c r="F100" s="4">
        <v>0.92800000000000005</v>
      </c>
      <c r="G100" t="s">
        <v>11</v>
      </c>
    </row>
    <row r="101" spans="1:7" x14ac:dyDescent="0.25">
      <c r="A101" s="8">
        <v>120</v>
      </c>
      <c r="B101" s="8">
        <v>7.2</v>
      </c>
      <c r="C101" s="4">
        <v>0.92979999999999996</v>
      </c>
      <c r="D101" s="4">
        <v>7.0199999999999999E-2</v>
      </c>
      <c r="E101" s="4">
        <v>6.7500000000000004E-2</v>
      </c>
      <c r="F101" s="4">
        <v>0.9325</v>
      </c>
      <c r="G101" t="s">
        <v>11</v>
      </c>
    </row>
    <row r="102" spans="1:7" x14ac:dyDescent="0.25">
      <c r="A102" s="8">
        <v>120</v>
      </c>
      <c r="B102" s="8">
        <v>9.5399999999999991</v>
      </c>
      <c r="C102" s="4">
        <v>0.90579999999999994</v>
      </c>
      <c r="D102" s="4">
        <v>9.4200000000000006E-2</v>
      </c>
      <c r="E102" s="4">
        <v>6.8500000000000005E-2</v>
      </c>
      <c r="F102" s="4">
        <v>0.93149999999999999</v>
      </c>
      <c r="G102" t="s">
        <v>11</v>
      </c>
    </row>
    <row r="103" spans="1:7" x14ac:dyDescent="0.25">
      <c r="A103" s="8">
        <v>120</v>
      </c>
      <c r="B103" s="8">
        <v>12.22</v>
      </c>
      <c r="C103" s="4">
        <v>0.87960000000000005</v>
      </c>
      <c r="D103" s="4">
        <v>0.12039999999999999</v>
      </c>
      <c r="E103" s="4">
        <v>6.4899999999999958E-2</v>
      </c>
      <c r="F103" s="4">
        <v>0.93510000000000004</v>
      </c>
      <c r="G103" t="s">
        <v>11</v>
      </c>
    </row>
    <row r="104" spans="1:7" x14ac:dyDescent="0.25">
      <c r="A104" s="8">
        <v>120</v>
      </c>
      <c r="B104" s="8">
        <v>13.95</v>
      </c>
      <c r="C104" s="4">
        <v>0.86380000000000001</v>
      </c>
      <c r="D104" s="4">
        <v>0.13619999999999999</v>
      </c>
      <c r="E104" s="4">
        <v>7.0799999999999974E-2</v>
      </c>
      <c r="F104" s="4">
        <v>0.92920000000000003</v>
      </c>
      <c r="G104" t="s">
        <v>11</v>
      </c>
    </row>
    <row r="105" spans="1:7" x14ac:dyDescent="0.25">
      <c r="A105" s="8">
        <v>120</v>
      </c>
      <c r="B105" s="8">
        <v>17.53</v>
      </c>
      <c r="C105" s="4">
        <v>0.82899999999999996</v>
      </c>
      <c r="D105" s="4">
        <v>0.17100000000000001</v>
      </c>
      <c r="E105" s="4">
        <v>8.1799999999999984E-2</v>
      </c>
      <c r="F105" s="4">
        <v>0.91820000000000002</v>
      </c>
      <c r="G105" t="s">
        <v>11</v>
      </c>
    </row>
    <row r="106" spans="1:7" x14ac:dyDescent="0.25">
      <c r="A106" s="8">
        <v>120</v>
      </c>
      <c r="B106" s="8">
        <v>20.94</v>
      </c>
      <c r="C106" s="4">
        <v>0.79730000000000001</v>
      </c>
      <c r="D106" s="4">
        <v>0.20269999999999999</v>
      </c>
      <c r="E106" s="4">
        <v>8.9600000000000013E-2</v>
      </c>
      <c r="F106" s="4">
        <v>0.91039999999999999</v>
      </c>
      <c r="G106" t="s">
        <v>11</v>
      </c>
    </row>
    <row r="107" spans="1:7" x14ac:dyDescent="0.25">
      <c r="A107" s="8">
        <v>120</v>
      </c>
      <c r="B107" s="8">
        <v>24.21</v>
      </c>
      <c r="C107" s="4">
        <v>0.76680000000000004</v>
      </c>
      <c r="D107" s="4">
        <v>0.23319999999999999</v>
      </c>
      <c r="E107" s="4">
        <v>0.1018</v>
      </c>
      <c r="F107" s="4">
        <v>0.8982</v>
      </c>
      <c r="G107" t="s">
        <v>11</v>
      </c>
    </row>
    <row r="108" spans="1:7" x14ac:dyDescent="0.25">
      <c r="A108" s="8">
        <v>120</v>
      </c>
      <c r="B108" s="8">
        <v>27.82</v>
      </c>
      <c r="C108" s="4">
        <v>0.73070000000000002</v>
      </c>
      <c r="D108" s="4">
        <v>0.26929999999999998</v>
      </c>
      <c r="E108" s="4">
        <v>0.11219999999999997</v>
      </c>
      <c r="F108" s="4">
        <v>0.88780000000000003</v>
      </c>
      <c r="G108" t="s">
        <v>11</v>
      </c>
    </row>
    <row r="109" spans="1:7" x14ac:dyDescent="0.25">
      <c r="A109" s="8">
        <v>120</v>
      </c>
      <c r="B109" s="8">
        <v>31.29</v>
      </c>
      <c r="C109" s="4">
        <v>0.69690000000000007</v>
      </c>
      <c r="D109" s="4">
        <v>0.30309999999999998</v>
      </c>
      <c r="E109" s="4">
        <v>0.13149999999999995</v>
      </c>
      <c r="F109" s="4">
        <v>0.86850000000000005</v>
      </c>
      <c r="G109" t="s">
        <v>11</v>
      </c>
    </row>
    <row r="110" spans="1:7" x14ac:dyDescent="0.25">
      <c r="A110" s="8">
        <v>120</v>
      </c>
      <c r="B110" s="8">
        <v>34.58</v>
      </c>
      <c r="C110" s="4">
        <v>0.66159999999999997</v>
      </c>
      <c r="D110" s="4">
        <v>0.33839999999999998</v>
      </c>
      <c r="E110" s="4">
        <v>0.15629999999999999</v>
      </c>
      <c r="F110" s="4">
        <v>0.84370000000000001</v>
      </c>
      <c r="G110" t="s">
        <v>11</v>
      </c>
    </row>
    <row r="111" spans="1:7" x14ac:dyDescent="0.25">
      <c r="A111" s="8">
        <v>120</v>
      </c>
      <c r="B111" s="8">
        <v>38.17</v>
      </c>
      <c r="C111" s="4">
        <v>0.61809999999999998</v>
      </c>
      <c r="D111" s="4">
        <v>0.38190000000000002</v>
      </c>
      <c r="E111" s="4">
        <v>0.16749999999999998</v>
      </c>
      <c r="F111" s="4">
        <v>0.83250000000000002</v>
      </c>
      <c r="G111" t="s">
        <v>11</v>
      </c>
    </row>
    <row r="112" spans="1:7" x14ac:dyDescent="0.25">
      <c r="A112" s="8">
        <v>120</v>
      </c>
      <c r="B112" s="8">
        <v>42.51</v>
      </c>
      <c r="C112" s="4">
        <v>0.57069999999999999</v>
      </c>
      <c r="D112" s="4">
        <v>0.42930000000000001</v>
      </c>
      <c r="E112" s="4">
        <v>0.19650000000000001</v>
      </c>
      <c r="F112" s="4">
        <v>0.80349999999999999</v>
      </c>
      <c r="G112" t="s">
        <v>11</v>
      </c>
    </row>
    <row r="113" spans="1:7" x14ac:dyDescent="0.25">
      <c r="A113" s="8">
        <v>120</v>
      </c>
      <c r="B113" s="8">
        <v>43.51</v>
      </c>
      <c r="C113" s="4">
        <v>0.53489999999999993</v>
      </c>
      <c r="D113" s="4">
        <v>0.46510000000000001</v>
      </c>
      <c r="E113" s="4">
        <v>0.21609999999999996</v>
      </c>
      <c r="F113" s="4">
        <v>0.78390000000000004</v>
      </c>
      <c r="G113" t="s">
        <v>11</v>
      </c>
    </row>
    <row r="114" spans="1:7" x14ac:dyDescent="0.25">
      <c r="A114" s="8">
        <v>120</v>
      </c>
      <c r="B114" s="8">
        <v>44.87</v>
      </c>
      <c r="C114" s="4">
        <v>0.50370000000000004</v>
      </c>
      <c r="D114" s="4">
        <v>0.49630000000000002</v>
      </c>
      <c r="E114" s="4">
        <v>0.24399999999999999</v>
      </c>
      <c r="F114" s="4">
        <v>0.75600000000000001</v>
      </c>
      <c r="G114" t="s">
        <v>11</v>
      </c>
    </row>
    <row r="115" spans="1:7" x14ac:dyDescent="0.25">
      <c r="A115" s="8">
        <v>120</v>
      </c>
      <c r="B115" s="8">
        <v>46.73</v>
      </c>
      <c r="C115" s="4">
        <v>0.4254</v>
      </c>
      <c r="D115" s="4">
        <v>0.5746</v>
      </c>
      <c r="E115" s="4">
        <v>0.30589999999999995</v>
      </c>
      <c r="F115" s="4">
        <v>0.69410000000000005</v>
      </c>
      <c r="G115" t="s">
        <v>11</v>
      </c>
    </row>
    <row r="116" spans="1:7" x14ac:dyDescent="0.25">
      <c r="A116" s="8">
        <v>130</v>
      </c>
      <c r="B116" s="8">
        <v>0.81</v>
      </c>
      <c r="C116" s="4">
        <v>0.99470000000000003</v>
      </c>
      <c r="D116" s="4">
        <v>5.3E-3</v>
      </c>
      <c r="E116" s="4">
        <v>0.37549999999999994</v>
      </c>
      <c r="F116" s="4">
        <v>0.62450000000000006</v>
      </c>
      <c r="G116" t="s">
        <v>11</v>
      </c>
    </row>
    <row r="117" spans="1:7" x14ac:dyDescent="0.25">
      <c r="A117" s="8">
        <v>130</v>
      </c>
      <c r="B117" s="8">
        <v>1.48</v>
      </c>
      <c r="C117" s="4">
        <v>0.98609999999999998</v>
      </c>
      <c r="D117" s="4">
        <v>1.3899999999999999E-2</v>
      </c>
      <c r="E117" s="4">
        <v>0.24280000000000002</v>
      </c>
      <c r="F117" s="4">
        <v>0.75719999999999998</v>
      </c>
      <c r="G117" t="s">
        <v>11</v>
      </c>
    </row>
    <row r="118" spans="1:7" x14ac:dyDescent="0.25">
      <c r="A118" s="8">
        <v>130</v>
      </c>
      <c r="B118" s="8">
        <v>2.17</v>
      </c>
      <c r="C118" s="4">
        <v>0.9788</v>
      </c>
      <c r="D118" s="4">
        <v>2.12E-2</v>
      </c>
      <c r="E118" s="4">
        <v>0.18720000000000003</v>
      </c>
      <c r="F118" s="4">
        <v>0.81279999999999997</v>
      </c>
      <c r="G118" t="s">
        <v>11</v>
      </c>
    </row>
    <row r="119" spans="1:7" x14ac:dyDescent="0.25">
      <c r="A119" s="8">
        <v>130</v>
      </c>
      <c r="B119" s="8">
        <v>2.87</v>
      </c>
      <c r="C119" s="4">
        <v>0.97109999999999996</v>
      </c>
      <c r="D119" s="4">
        <v>2.8899999999999999E-2</v>
      </c>
      <c r="E119" s="4">
        <v>0.1522</v>
      </c>
      <c r="F119" s="4">
        <v>0.8478</v>
      </c>
      <c r="G119" t="s">
        <v>11</v>
      </c>
    </row>
    <row r="120" spans="1:7" x14ac:dyDescent="0.25">
      <c r="A120" s="8">
        <v>130</v>
      </c>
      <c r="B120" s="8">
        <v>4.2</v>
      </c>
      <c r="C120" s="4">
        <v>0.9556</v>
      </c>
      <c r="D120" s="4">
        <v>4.4400000000000002E-2</v>
      </c>
      <c r="E120" s="4">
        <v>0.13439999999999996</v>
      </c>
      <c r="F120" s="4">
        <v>0.86560000000000004</v>
      </c>
      <c r="G120" t="s">
        <v>11</v>
      </c>
    </row>
    <row r="121" spans="1:7" x14ac:dyDescent="0.25">
      <c r="A121" s="8">
        <v>130</v>
      </c>
      <c r="B121" s="8">
        <v>5.66</v>
      </c>
      <c r="C121" s="4">
        <v>0.93979999999999997</v>
      </c>
      <c r="D121" s="4">
        <v>6.0199999999999997E-2</v>
      </c>
      <c r="E121" s="4">
        <v>0.12260000000000004</v>
      </c>
      <c r="F121" s="4">
        <v>0.87739999999999996</v>
      </c>
      <c r="G121" t="s">
        <v>11</v>
      </c>
    </row>
    <row r="122" spans="1:7" x14ac:dyDescent="0.25">
      <c r="A122" s="8">
        <v>130</v>
      </c>
      <c r="B122" s="8">
        <v>6.99</v>
      </c>
      <c r="C122" s="4">
        <v>0.92520000000000002</v>
      </c>
      <c r="D122" s="4">
        <v>7.4800000000000005E-2</v>
      </c>
      <c r="E122" s="4">
        <v>0.11499999999999999</v>
      </c>
      <c r="F122" s="4">
        <v>0.88500000000000001</v>
      </c>
      <c r="G122" t="s">
        <v>11</v>
      </c>
    </row>
    <row r="123" spans="1:7" x14ac:dyDescent="0.25">
      <c r="A123" s="8">
        <v>130</v>
      </c>
      <c r="B123" s="8">
        <v>9.75</v>
      </c>
      <c r="C123" s="4">
        <v>0.89300000000000002</v>
      </c>
      <c r="D123" s="4">
        <v>0.107</v>
      </c>
      <c r="E123" s="4">
        <v>0.10729999999999995</v>
      </c>
      <c r="F123" s="4">
        <v>0.89270000000000005</v>
      </c>
      <c r="G123" t="s">
        <v>11</v>
      </c>
    </row>
    <row r="124" spans="1:7" x14ac:dyDescent="0.25">
      <c r="A124" s="8">
        <v>130</v>
      </c>
      <c r="B124" s="8">
        <v>12.49</v>
      </c>
      <c r="C124" s="4">
        <v>0.86060000000000003</v>
      </c>
      <c r="D124" s="4">
        <v>0.1394</v>
      </c>
      <c r="E124" s="4">
        <v>0.11060000000000003</v>
      </c>
      <c r="F124" s="4">
        <v>0.88939999999999997</v>
      </c>
      <c r="G124" t="s">
        <v>11</v>
      </c>
    </row>
    <row r="125" spans="1:7" x14ac:dyDescent="0.25">
      <c r="A125" s="8">
        <v>130</v>
      </c>
      <c r="B125" s="8">
        <v>15.26</v>
      </c>
      <c r="C125" s="4">
        <v>0.82810000000000006</v>
      </c>
      <c r="D125" s="4">
        <v>0.1719</v>
      </c>
      <c r="E125" s="4">
        <v>0.11329999999999996</v>
      </c>
      <c r="F125" s="4">
        <v>0.88670000000000004</v>
      </c>
      <c r="G125" t="s">
        <v>11</v>
      </c>
    </row>
    <row r="126" spans="1:7" x14ac:dyDescent="0.25">
      <c r="A126" s="8">
        <v>130</v>
      </c>
      <c r="B126" s="8">
        <v>20.97</v>
      </c>
      <c r="C126" s="4">
        <v>0.76139999999999997</v>
      </c>
      <c r="D126" s="4">
        <v>0.23860000000000001</v>
      </c>
      <c r="E126" s="4">
        <v>0.1351</v>
      </c>
      <c r="F126" s="4">
        <v>0.8649</v>
      </c>
      <c r="G126" t="s">
        <v>11</v>
      </c>
    </row>
    <row r="127" spans="1:7" x14ac:dyDescent="0.25">
      <c r="A127" s="8">
        <v>130</v>
      </c>
      <c r="B127" s="8">
        <v>24.41</v>
      </c>
      <c r="C127" s="4">
        <v>0.71660000000000001</v>
      </c>
      <c r="D127" s="4">
        <v>0.28339999999999999</v>
      </c>
      <c r="E127" s="4">
        <v>0.15529999999999999</v>
      </c>
      <c r="F127" s="4">
        <v>0.84470000000000001</v>
      </c>
      <c r="G127" t="s">
        <v>11</v>
      </c>
    </row>
    <row r="128" spans="1:7" x14ac:dyDescent="0.25">
      <c r="A128" s="8">
        <v>130</v>
      </c>
      <c r="B128" s="8">
        <v>27.63</v>
      </c>
      <c r="C128" s="4">
        <v>0.67049999999999998</v>
      </c>
      <c r="D128" s="4">
        <v>0.32950000000000002</v>
      </c>
      <c r="E128" s="4">
        <v>0.17459999999999998</v>
      </c>
      <c r="F128" s="4">
        <v>0.82540000000000002</v>
      </c>
      <c r="G128" t="s">
        <v>11</v>
      </c>
    </row>
    <row r="129" spans="1:7" x14ac:dyDescent="0.25">
      <c r="A129" s="8">
        <v>130</v>
      </c>
      <c r="B129" s="8">
        <v>31.07</v>
      </c>
      <c r="C129" s="4">
        <v>0.61260000000000003</v>
      </c>
      <c r="D129" s="4">
        <v>0.38740000000000002</v>
      </c>
      <c r="E129" s="4">
        <v>0.20650000000000002</v>
      </c>
      <c r="F129" s="4">
        <v>0.79349999999999998</v>
      </c>
      <c r="G129" t="s">
        <v>11</v>
      </c>
    </row>
    <row r="130" spans="1:7" x14ac:dyDescent="0.25">
      <c r="A130" s="8">
        <v>130</v>
      </c>
      <c r="B130" s="8">
        <v>33.200000000000003</v>
      </c>
      <c r="C130" s="4">
        <v>0.56800000000000006</v>
      </c>
      <c r="D130" s="4">
        <v>0.432</v>
      </c>
      <c r="E130" s="4">
        <v>0.23829999999999996</v>
      </c>
      <c r="F130" s="4">
        <v>0.76170000000000004</v>
      </c>
      <c r="G130" t="s">
        <v>11</v>
      </c>
    </row>
    <row r="131" spans="1:7" x14ac:dyDescent="0.25">
      <c r="A131" s="8">
        <v>130</v>
      </c>
      <c r="B131" s="8">
        <v>34.01</v>
      </c>
      <c r="C131" s="4">
        <v>0.54790000000000005</v>
      </c>
      <c r="D131" s="4">
        <v>0.4521</v>
      </c>
      <c r="E131" s="4">
        <v>0.25439999999999996</v>
      </c>
      <c r="F131" s="4">
        <v>0.74560000000000004</v>
      </c>
      <c r="G131" t="s">
        <v>11</v>
      </c>
    </row>
    <row r="132" spans="1:7" x14ac:dyDescent="0.25">
      <c r="A132" s="8">
        <v>130</v>
      </c>
      <c r="B132" s="8">
        <v>34.6</v>
      </c>
      <c r="C132" s="4"/>
      <c r="D132" s="4"/>
      <c r="E132" s="4">
        <v>0.26949999999999996</v>
      </c>
      <c r="F132" s="4">
        <v>0.73050000000000004</v>
      </c>
      <c r="G132" t="s">
        <v>11</v>
      </c>
    </row>
    <row r="133" spans="1:7" x14ac:dyDescent="0.25">
      <c r="A133" s="8">
        <v>130</v>
      </c>
      <c r="B133" s="8">
        <v>36.270000000000003</v>
      </c>
      <c r="C133" s="4"/>
      <c r="D133" s="4"/>
      <c r="E133" s="4">
        <v>0.36370000000000002</v>
      </c>
      <c r="F133" s="4">
        <v>0.63629999999999998</v>
      </c>
      <c r="G133" t="s">
        <v>11</v>
      </c>
    </row>
    <row r="134" spans="1:7" x14ac:dyDescent="0.25">
      <c r="A134" s="8">
        <v>140</v>
      </c>
      <c r="B134" s="8">
        <v>1.59</v>
      </c>
      <c r="C134" s="4">
        <v>0.98760000000000003</v>
      </c>
      <c r="D134" s="4">
        <v>1.24E-2</v>
      </c>
      <c r="E134" s="4"/>
      <c r="F134" s="4"/>
      <c r="G134" t="s">
        <v>11</v>
      </c>
    </row>
    <row r="135" spans="1:7" x14ac:dyDescent="0.25">
      <c r="A135" s="8">
        <v>140</v>
      </c>
      <c r="B135" s="8">
        <v>1.85</v>
      </c>
      <c r="C135" s="4">
        <v>0.98480000000000001</v>
      </c>
      <c r="D135" s="4">
        <v>1.52E-2</v>
      </c>
      <c r="E135" s="4">
        <v>0.42179999999999995</v>
      </c>
      <c r="F135" s="4">
        <v>0.57820000000000005</v>
      </c>
      <c r="G135" t="s">
        <v>11</v>
      </c>
    </row>
    <row r="136" spans="1:7" x14ac:dyDescent="0.25">
      <c r="A136" s="8">
        <v>140</v>
      </c>
      <c r="B136" s="8">
        <v>2.4900000000000002</v>
      </c>
      <c r="C136" s="4"/>
      <c r="D136" s="4"/>
      <c r="E136" s="4">
        <v>0.34419999999999995</v>
      </c>
      <c r="F136" s="4">
        <v>0.65580000000000005</v>
      </c>
      <c r="G136" t="s">
        <v>11</v>
      </c>
    </row>
    <row r="137" spans="1:7" x14ac:dyDescent="0.25">
      <c r="A137" s="8">
        <v>140</v>
      </c>
      <c r="B137" s="8">
        <v>2.89</v>
      </c>
      <c r="C137" s="4">
        <v>0.97150000000000003</v>
      </c>
      <c r="D137" s="4">
        <v>2.8500000000000001E-2</v>
      </c>
      <c r="E137" s="4"/>
      <c r="F137" s="4"/>
      <c r="G137" t="s">
        <v>11</v>
      </c>
    </row>
    <row r="138" spans="1:7" x14ac:dyDescent="0.25">
      <c r="A138" s="8">
        <v>140</v>
      </c>
      <c r="B138" s="8">
        <v>3.18</v>
      </c>
      <c r="C138" s="4"/>
      <c r="D138" s="4"/>
      <c r="E138" s="4">
        <v>0.27090000000000003</v>
      </c>
      <c r="F138" s="4">
        <v>0.72909999999999997</v>
      </c>
      <c r="G138" t="s">
        <v>11</v>
      </c>
    </row>
    <row r="139" spans="1:7" x14ac:dyDescent="0.25">
      <c r="A139" s="8">
        <v>140</v>
      </c>
      <c r="B139" s="8">
        <v>2.89</v>
      </c>
      <c r="C139" s="4">
        <v>0.97150000000000003</v>
      </c>
      <c r="D139" s="4">
        <v>2.8500000000000001E-2</v>
      </c>
      <c r="E139" s="4">
        <v>0.28000000000000003</v>
      </c>
      <c r="F139" s="4">
        <v>0.72</v>
      </c>
      <c r="G139" t="s">
        <v>11</v>
      </c>
    </row>
    <row r="140" spans="1:7" x14ac:dyDescent="0.25">
      <c r="A140" s="8">
        <v>140</v>
      </c>
      <c r="B140" s="8">
        <v>4.26</v>
      </c>
      <c r="C140" s="4">
        <v>0.9536</v>
      </c>
      <c r="D140" s="4">
        <v>4.6399999999999997E-2</v>
      </c>
      <c r="E140" s="4">
        <v>0.23719999999999997</v>
      </c>
      <c r="F140" s="4">
        <v>0.76280000000000003</v>
      </c>
      <c r="G140" t="s">
        <v>11</v>
      </c>
    </row>
    <row r="141" spans="1:7" x14ac:dyDescent="0.25">
      <c r="A141" s="8">
        <v>140</v>
      </c>
      <c r="B141" s="8">
        <v>5.66</v>
      </c>
      <c r="C141" s="4">
        <v>0.9365</v>
      </c>
      <c r="D141" s="4">
        <v>6.3500000000000001E-2</v>
      </c>
      <c r="E141" s="4">
        <v>0.20289999999999997</v>
      </c>
      <c r="F141" s="4">
        <v>0.79710000000000003</v>
      </c>
      <c r="G141" t="s">
        <v>11</v>
      </c>
    </row>
    <row r="142" spans="1:7" x14ac:dyDescent="0.25">
      <c r="A142" s="8">
        <v>140</v>
      </c>
      <c r="B142" s="8">
        <v>8.33</v>
      </c>
      <c r="C142" s="4">
        <v>0.9002</v>
      </c>
      <c r="D142" s="4">
        <v>9.98E-2</v>
      </c>
      <c r="E142" s="4">
        <v>0.17569999999999997</v>
      </c>
      <c r="F142" s="4">
        <v>0.82430000000000003</v>
      </c>
      <c r="G142" t="s">
        <v>11</v>
      </c>
    </row>
    <row r="143" spans="1:7" x14ac:dyDescent="0.25">
      <c r="A143" s="8">
        <v>140</v>
      </c>
      <c r="B143" s="8">
        <v>11.15</v>
      </c>
      <c r="C143" s="4">
        <v>0.86139999999999994</v>
      </c>
      <c r="D143" s="4">
        <v>0.1386</v>
      </c>
      <c r="E143" s="4">
        <v>0.16949999999999998</v>
      </c>
      <c r="F143" s="4">
        <v>0.83050000000000002</v>
      </c>
      <c r="G143" t="s">
        <v>11</v>
      </c>
    </row>
    <row r="144" spans="1:7" x14ac:dyDescent="0.25">
      <c r="A144" s="8">
        <v>140</v>
      </c>
      <c r="B144" s="8">
        <v>13.9</v>
      </c>
      <c r="C144" s="4">
        <v>0.82200000000000006</v>
      </c>
      <c r="D144" s="4">
        <v>0.17799999999999999</v>
      </c>
      <c r="E144" s="4">
        <v>0.1724</v>
      </c>
      <c r="F144" s="4">
        <v>0.8276</v>
      </c>
      <c r="G144" t="s">
        <v>11</v>
      </c>
    </row>
    <row r="145" spans="1:7" x14ac:dyDescent="0.25">
      <c r="A145" s="8">
        <v>140</v>
      </c>
      <c r="B145" s="8">
        <v>17.28</v>
      </c>
      <c r="C145" s="4">
        <v>0.7722</v>
      </c>
      <c r="D145" s="4">
        <v>0.2278</v>
      </c>
      <c r="E145" s="4">
        <v>0.18620000000000003</v>
      </c>
      <c r="F145" s="4">
        <v>0.81379999999999997</v>
      </c>
      <c r="G145" t="s">
        <v>11</v>
      </c>
    </row>
    <row r="146" spans="1:7" x14ac:dyDescent="0.25">
      <c r="A146" s="8">
        <v>140</v>
      </c>
      <c r="B146" s="8">
        <v>20.239999999999998</v>
      </c>
      <c r="C146" s="4">
        <v>0.72540000000000004</v>
      </c>
      <c r="D146" s="4">
        <v>0.27460000000000001</v>
      </c>
      <c r="E146" s="4">
        <v>0.20709999999999995</v>
      </c>
      <c r="F146" s="4">
        <v>0.79290000000000005</v>
      </c>
      <c r="G146" t="s">
        <v>11</v>
      </c>
    </row>
    <row r="147" spans="1:7" x14ac:dyDescent="0.25">
      <c r="A147" s="8">
        <v>140</v>
      </c>
      <c r="B147" s="8">
        <v>21.17</v>
      </c>
      <c r="C147" s="4">
        <v>0.70879999999999999</v>
      </c>
      <c r="D147" s="4">
        <v>0.29120000000000001</v>
      </c>
      <c r="E147" s="4">
        <v>0.21440000000000003</v>
      </c>
      <c r="F147" s="4">
        <v>0.78559999999999997</v>
      </c>
      <c r="G147" t="s">
        <v>11</v>
      </c>
    </row>
    <row r="148" spans="1:7" x14ac:dyDescent="0.25">
      <c r="A148" s="8">
        <v>140</v>
      </c>
      <c r="B148" s="8">
        <v>22.95</v>
      </c>
      <c r="C148" s="4">
        <v>0.67579999999999996</v>
      </c>
      <c r="D148" s="4">
        <v>0.32419999999999999</v>
      </c>
      <c r="E148" s="4">
        <v>0.23260000000000003</v>
      </c>
      <c r="F148" s="4">
        <v>0.76739999999999997</v>
      </c>
      <c r="G148" t="s">
        <v>11</v>
      </c>
    </row>
    <row r="149" spans="1:7" x14ac:dyDescent="0.25">
      <c r="A149" s="8">
        <v>140</v>
      </c>
      <c r="B149" s="8">
        <v>25.83</v>
      </c>
      <c r="C149" s="4">
        <v>0.60770000000000002</v>
      </c>
      <c r="D149" s="4">
        <v>0.39229999999999998</v>
      </c>
      <c r="E149" s="4">
        <v>0.2712</v>
      </c>
      <c r="F149" s="4">
        <v>0.7288</v>
      </c>
      <c r="G149" t="s">
        <v>11</v>
      </c>
    </row>
    <row r="150" spans="1:7" x14ac:dyDescent="0.25">
      <c r="A150" s="8">
        <v>140</v>
      </c>
      <c r="B150" s="8">
        <v>27.85</v>
      </c>
      <c r="C150" s="4">
        <v>0.52489999999999992</v>
      </c>
      <c r="D150" s="4">
        <v>0.47510000000000002</v>
      </c>
      <c r="E150" s="4">
        <v>0.33479999999999999</v>
      </c>
      <c r="F150" s="4">
        <v>0.66520000000000001</v>
      </c>
      <c r="G150" t="s">
        <v>11</v>
      </c>
    </row>
    <row r="151" spans="1:7" x14ac:dyDescent="0.25">
      <c r="A151" s="8">
        <v>150</v>
      </c>
      <c r="B151" s="8">
        <v>1.55</v>
      </c>
      <c r="C151" s="4">
        <v>0.99109999999999998</v>
      </c>
      <c r="D151" s="4">
        <v>8.8999999999999999E-3</v>
      </c>
      <c r="E151" s="4">
        <v>0.55719999999999992</v>
      </c>
      <c r="F151" s="4">
        <v>0.44280000000000003</v>
      </c>
      <c r="G151" t="s">
        <v>11</v>
      </c>
    </row>
    <row r="152" spans="1:7" x14ac:dyDescent="0.25">
      <c r="A152" s="8">
        <v>150</v>
      </c>
      <c r="B152" s="8">
        <v>3.22</v>
      </c>
      <c r="C152" s="4">
        <v>0.96750000000000003</v>
      </c>
      <c r="D152" s="4">
        <v>3.2500000000000001E-2</v>
      </c>
      <c r="E152" s="4">
        <v>0.34889999999999999</v>
      </c>
      <c r="F152" s="4">
        <v>0.65110000000000001</v>
      </c>
      <c r="G152" t="s">
        <v>11</v>
      </c>
    </row>
    <row r="153" spans="1:7" x14ac:dyDescent="0.25">
      <c r="A153" s="8">
        <v>150</v>
      </c>
      <c r="B153" s="8">
        <v>4.26</v>
      </c>
      <c r="C153" s="4">
        <v>0.95320000000000005</v>
      </c>
      <c r="D153" s="4">
        <v>4.6800000000000001E-2</v>
      </c>
      <c r="E153" s="4">
        <v>0.30900000000000005</v>
      </c>
      <c r="F153" s="4">
        <v>0.69099999999999995</v>
      </c>
      <c r="G153" t="s">
        <v>11</v>
      </c>
    </row>
    <row r="154" spans="1:7" x14ac:dyDescent="0.25">
      <c r="A154" s="8">
        <v>150</v>
      </c>
      <c r="B154" s="8">
        <v>5.58</v>
      </c>
      <c r="C154" s="4">
        <v>0.93430000000000002</v>
      </c>
      <c r="D154" s="4">
        <v>6.5699999999999995E-2</v>
      </c>
      <c r="E154" s="4">
        <v>0.28069999999999995</v>
      </c>
      <c r="F154" s="4">
        <v>0.71930000000000005</v>
      </c>
      <c r="G154" t="s">
        <v>11</v>
      </c>
    </row>
    <row r="155" spans="1:7" x14ac:dyDescent="0.25">
      <c r="A155" s="8">
        <v>150</v>
      </c>
      <c r="B155" s="8">
        <v>7.01</v>
      </c>
      <c r="C155" s="4">
        <v>0.91290000000000004</v>
      </c>
      <c r="D155" s="4">
        <v>8.7099999999999997E-2</v>
      </c>
      <c r="E155" s="4">
        <v>0.2671</v>
      </c>
      <c r="F155" s="4">
        <v>0.7329</v>
      </c>
      <c r="G155" t="s">
        <v>11</v>
      </c>
    </row>
    <row r="156" spans="1:7" x14ac:dyDescent="0.25">
      <c r="A156" s="8">
        <v>150</v>
      </c>
      <c r="B156" s="8">
        <v>8.4700000000000006</v>
      </c>
      <c r="C156" s="4">
        <v>0.88980000000000004</v>
      </c>
      <c r="D156" s="4">
        <v>0.11020000000000001</v>
      </c>
      <c r="E156" s="4">
        <v>0.25509999999999999</v>
      </c>
      <c r="F156" s="4">
        <v>0.74490000000000001</v>
      </c>
      <c r="G156" t="s">
        <v>11</v>
      </c>
    </row>
    <row r="157" spans="1:7" x14ac:dyDescent="0.25">
      <c r="A157" s="8">
        <v>150</v>
      </c>
      <c r="B157" s="8">
        <v>9.6999999999999993</v>
      </c>
      <c r="C157" s="4">
        <v>0.86890000000000001</v>
      </c>
      <c r="D157" s="4">
        <v>0.13109999999999999</v>
      </c>
      <c r="E157" s="4">
        <v>0.25080000000000002</v>
      </c>
      <c r="F157" s="4">
        <v>0.74919999999999998</v>
      </c>
      <c r="G157" t="s">
        <v>11</v>
      </c>
    </row>
    <row r="158" spans="1:7" x14ac:dyDescent="0.25">
      <c r="A158" s="8">
        <v>150</v>
      </c>
      <c r="B158" s="8">
        <v>12.52</v>
      </c>
      <c r="C158" s="4">
        <v>0.8216</v>
      </c>
      <c r="D158" s="4">
        <v>0.1784</v>
      </c>
      <c r="E158" s="4">
        <v>0.25319999999999998</v>
      </c>
      <c r="F158" s="4">
        <v>0.74680000000000002</v>
      </c>
      <c r="G158" t="s">
        <v>11</v>
      </c>
    </row>
    <row r="159" spans="1:7" x14ac:dyDescent="0.25">
      <c r="A159" s="8">
        <v>150</v>
      </c>
      <c r="B159" s="8">
        <v>15.38</v>
      </c>
      <c r="C159" s="4">
        <v>0.76949999999999996</v>
      </c>
      <c r="D159" s="4">
        <v>0.23050000000000001</v>
      </c>
      <c r="E159" s="4">
        <v>0.26339999999999997</v>
      </c>
      <c r="F159" s="4">
        <v>0.73660000000000003</v>
      </c>
      <c r="G159" t="s">
        <v>11</v>
      </c>
    </row>
    <row r="160" spans="1:7" x14ac:dyDescent="0.25">
      <c r="A160" s="8">
        <v>150</v>
      </c>
      <c r="B160" s="8">
        <v>17.77</v>
      </c>
      <c r="C160" s="4">
        <v>0.7218</v>
      </c>
      <c r="D160" s="4">
        <v>0.2782</v>
      </c>
      <c r="E160" s="4">
        <v>0.28849999999999998</v>
      </c>
      <c r="F160" s="4">
        <v>0.71150000000000002</v>
      </c>
      <c r="G160" t="s">
        <v>11</v>
      </c>
    </row>
    <row r="161" spans="1:7" x14ac:dyDescent="0.25">
      <c r="A161" s="8">
        <v>150</v>
      </c>
      <c r="B161" s="8">
        <v>20.21</v>
      </c>
      <c r="C161" s="4">
        <v>0.65510000000000002</v>
      </c>
      <c r="D161" s="4">
        <v>0.34489999999999998</v>
      </c>
      <c r="E161" s="4">
        <v>0.32199999999999995</v>
      </c>
      <c r="F161" s="4">
        <v>0.67800000000000005</v>
      </c>
      <c r="G161" t="s">
        <v>11</v>
      </c>
    </row>
    <row r="162" spans="1:7" x14ac:dyDescent="0.25">
      <c r="A162" s="8">
        <v>150</v>
      </c>
      <c r="B162" s="8">
        <v>20.9</v>
      </c>
      <c r="C162" s="4">
        <v>0.63050000000000006</v>
      </c>
      <c r="D162" s="4">
        <v>0.3695</v>
      </c>
      <c r="E162" s="4">
        <v>0.33950000000000002</v>
      </c>
      <c r="F162" s="4">
        <v>0.66049999999999998</v>
      </c>
      <c r="G162" t="s">
        <v>11</v>
      </c>
    </row>
    <row r="163" spans="1:7" x14ac:dyDescent="0.25">
      <c r="A163" s="8">
        <v>150</v>
      </c>
      <c r="B163" s="8">
        <v>21.59</v>
      </c>
      <c r="C163" s="4">
        <v>0.60149999999999992</v>
      </c>
      <c r="D163" s="4">
        <v>0.39850000000000002</v>
      </c>
      <c r="E163" s="4">
        <v>0.36080000000000001</v>
      </c>
      <c r="F163" s="4">
        <v>0.63919999999999999</v>
      </c>
      <c r="G163" t="s">
        <v>11</v>
      </c>
    </row>
    <row r="164" spans="1:7" x14ac:dyDescent="0.25">
      <c r="A164" s="8">
        <v>150</v>
      </c>
      <c r="B164" s="8">
        <v>22.41</v>
      </c>
      <c r="C164" s="4">
        <v>0.5292</v>
      </c>
      <c r="D164" s="4">
        <v>0.4708</v>
      </c>
      <c r="E164" s="4">
        <v>0.41400000000000003</v>
      </c>
      <c r="F164" s="4">
        <v>0.58599999999999997</v>
      </c>
      <c r="G164" t="s">
        <v>11</v>
      </c>
    </row>
    <row r="165" spans="1:7" x14ac:dyDescent="0.25">
      <c r="A165" s="8">
        <v>159.19999999999999</v>
      </c>
      <c r="B165" s="8">
        <v>2.4300000000000002</v>
      </c>
      <c r="C165" s="4">
        <v>0.98540000000000005</v>
      </c>
      <c r="D165" s="4">
        <v>1.46E-2</v>
      </c>
      <c r="E165" s="4">
        <v>0.7339</v>
      </c>
      <c r="F165" s="4">
        <v>0.2661</v>
      </c>
      <c r="G165" t="s">
        <v>11</v>
      </c>
    </row>
    <row r="166" spans="1:7" x14ac:dyDescent="0.25">
      <c r="A166" s="8">
        <v>159.19999999999999</v>
      </c>
      <c r="B166" s="8">
        <v>2.84</v>
      </c>
      <c r="C166" s="4">
        <v>0.97960000000000003</v>
      </c>
      <c r="D166" s="4">
        <v>2.0400000000000001E-2</v>
      </c>
      <c r="E166" s="4">
        <v>0.66369999999999996</v>
      </c>
      <c r="F166" s="4">
        <v>0.33629999999999999</v>
      </c>
      <c r="G166" t="s">
        <v>11</v>
      </c>
    </row>
    <row r="167" spans="1:7" x14ac:dyDescent="0.25">
      <c r="A167" s="8">
        <v>159.19999999999999</v>
      </c>
      <c r="B167" s="8">
        <v>3.68</v>
      </c>
      <c r="C167" s="4">
        <v>0.96450000000000002</v>
      </c>
      <c r="D167" s="4">
        <v>3.5499999999999997E-2</v>
      </c>
      <c r="E167" s="4">
        <v>0.54949999999999999</v>
      </c>
      <c r="F167" s="4">
        <v>0.45050000000000001</v>
      </c>
      <c r="G167" t="s">
        <v>11</v>
      </c>
    </row>
    <row r="168" spans="1:7" x14ac:dyDescent="0.25">
      <c r="A168" s="8">
        <v>159.19999999999999</v>
      </c>
      <c r="B168" s="8">
        <v>5.07</v>
      </c>
      <c r="C168" s="4">
        <v>0.94179999999999997</v>
      </c>
      <c r="D168" s="4">
        <v>5.8200000000000002E-2</v>
      </c>
      <c r="E168" s="4">
        <v>0.45430000000000004</v>
      </c>
      <c r="F168" s="4">
        <v>0.54569999999999996</v>
      </c>
      <c r="G168" t="s">
        <v>11</v>
      </c>
    </row>
    <row r="169" spans="1:7" x14ac:dyDescent="0.25">
      <c r="A169" s="8">
        <v>159.19999999999999</v>
      </c>
      <c r="B169" s="8">
        <v>6.26</v>
      </c>
      <c r="C169" s="4">
        <v>0.92069999999999996</v>
      </c>
      <c r="D169" s="4">
        <v>7.9299999999999995E-2</v>
      </c>
      <c r="E169" s="4">
        <v>0.40500000000000003</v>
      </c>
      <c r="F169" s="4">
        <v>0.59499999999999997</v>
      </c>
      <c r="G169" t="s">
        <v>11</v>
      </c>
    </row>
    <row r="170" spans="1:7" x14ac:dyDescent="0.25">
      <c r="A170" s="8">
        <v>159.19999999999999</v>
      </c>
      <c r="B170" s="8">
        <v>8.7100000000000009</v>
      </c>
      <c r="C170" s="4">
        <v>0.87690000000000001</v>
      </c>
      <c r="D170" s="4">
        <v>0.1231</v>
      </c>
      <c r="E170" s="4">
        <v>0.36160000000000003</v>
      </c>
      <c r="F170" s="4">
        <v>0.63839999999999997</v>
      </c>
      <c r="G170" t="s">
        <v>11</v>
      </c>
    </row>
    <row r="171" spans="1:7" x14ac:dyDescent="0.25">
      <c r="A171" s="8">
        <v>159.19999999999999</v>
      </c>
      <c r="B171" s="8">
        <v>10.43</v>
      </c>
      <c r="C171" s="4">
        <v>0.84309999999999996</v>
      </c>
      <c r="D171" s="4">
        <v>0.15690000000000001</v>
      </c>
      <c r="E171" s="4">
        <v>0.35089999999999999</v>
      </c>
      <c r="F171" s="4">
        <v>0.64910000000000001</v>
      </c>
      <c r="G171" t="s">
        <v>11</v>
      </c>
    </row>
    <row r="172" spans="1:7" x14ac:dyDescent="0.25">
      <c r="A172" s="8">
        <v>159.19999999999999</v>
      </c>
      <c r="B172" s="8">
        <v>11.75</v>
      </c>
      <c r="C172" s="4">
        <v>0.81620000000000004</v>
      </c>
      <c r="D172" s="4">
        <v>0.18379999999999999</v>
      </c>
      <c r="E172" s="4">
        <v>0.35089999999999999</v>
      </c>
      <c r="F172" s="4">
        <v>0.64910000000000001</v>
      </c>
      <c r="G172" t="s">
        <v>11</v>
      </c>
    </row>
    <row r="173" spans="1:7" x14ac:dyDescent="0.25">
      <c r="A173" s="8">
        <v>159.19999999999999</v>
      </c>
      <c r="B173" s="8">
        <v>12.79</v>
      </c>
      <c r="C173" s="4">
        <v>0.79410000000000003</v>
      </c>
      <c r="D173" s="4">
        <v>0.2059</v>
      </c>
      <c r="E173" s="4">
        <v>0.35340000000000005</v>
      </c>
      <c r="F173" s="4">
        <v>0.64659999999999995</v>
      </c>
      <c r="G173" t="s">
        <v>11</v>
      </c>
    </row>
    <row r="174" spans="1:7" x14ac:dyDescent="0.25">
      <c r="A174" s="8">
        <v>159.19999999999999</v>
      </c>
      <c r="B174" s="8">
        <v>14.03</v>
      </c>
      <c r="C174" s="4">
        <v>0.76360000000000006</v>
      </c>
      <c r="D174" s="4">
        <v>0.2364</v>
      </c>
      <c r="E174" s="4">
        <v>0.36429999999999996</v>
      </c>
      <c r="F174" s="4">
        <v>0.63570000000000004</v>
      </c>
      <c r="G174" t="s">
        <v>11</v>
      </c>
    </row>
    <row r="175" spans="1:7" x14ac:dyDescent="0.25">
      <c r="A175" s="8">
        <v>159.19999999999999</v>
      </c>
      <c r="B175" s="8">
        <v>15.27</v>
      </c>
      <c r="C175" s="4">
        <v>0.72750000000000004</v>
      </c>
      <c r="D175" s="4">
        <v>0.27250000000000002</v>
      </c>
      <c r="E175" s="4">
        <v>0.38190000000000002</v>
      </c>
      <c r="F175" s="4">
        <v>0.61809999999999998</v>
      </c>
      <c r="G175" t="s">
        <v>11</v>
      </c>
    </row>
    <row r="176" spans="1:7" x14ac:dyDescent="0.25">
      <c r="A176" s="8">
        <v>159.19999999999999</v>
      </c>
      <c r="B176" s="8">
        <v>16.059999999999999</v>
      </c>
      <c r="C176" s="4">
        <v>0.69940000000000002</v>
      </c>
      <c r="D176" s="4">
        <v>0.30059999999999998</v>
      </c>
      <c r="E176" s="4">
        <v>0.39700000000000002</v>
      </c>
      <c r="F176" s="4">
        <v>0.60299999999999998</v>
      </c>
      <c r="G176" t="s">
        <v>11</v>
      </c>
    </row>
    <row r="177" spans="1:7" x14ac:dyDescent="0.25">
      <c r="A177" s="8">
        <v>159.19999999999999</v>
      </c>
      <c r="B177" s="8">
        <v>16.64</v>
      </c>
      <c r="C177" s="4">
        <v>0.67620000000000002</v>
      </c>
      <c r="D177" s="4">
        <v>0.32379999999999998</v>
      </c>
      <c r="E177" s="4">
        <v>0.41579999999999995</v>
      </c>
      <c r="F177" s="4">
        <v>0.58420000000000005</v>
      </c>
      <c r="G177" t="s">
        <v>11</v>
      </c>
    </row>
    <row r="178" spans="1:7" x14ac:dyDescent="0.25">
      <c r="A178" s="8">
        <v>159.19999999999999</v>
      </c>
      <c r="B178" s="8">
        <v>17.32</v>
      </c>
      <c r="C178" s="4">
        <v>0.6371</v>
      </c>
      <c r="D178" s="4">
        <v>0.3629</v>
      </c>
      <c r="E178" s="4">
        <v>0.44730000000000003</v>
      </c>
      <c r="F178" s="4">
        <v>0.55269999999999997</v>
      </c>
      <c r="G178" t="s">
        <v>11</v>
      </c>
    </row>
    <row r="179" spans="1:7" x14ac:dyDescent="0.25">
      <c r="A179" s="8">
        <v>170</v>
      </c>
      <c r="B179" s="8">
        <v>3.74</v>
      </c>
      <c r="C179" s="4">
        <v>0.97289999999999999</v>
      </c>
      <c r="D179" s="4">
        <v>2.7099999999999999E-2</v>
      </c>
      <c r="E179" s="4">
        <v>0.75639999999999996</v>
      </c>
      <c r="F179" s="4">
        <v>0.24360000000000001</v>
      </c>
      <c r="G179" t="s">
        <v>11</v>
      </c>
    </row>
    <row r="180" spans="1:7" x14ac:dyDescent="0.25">
      <c r="A180" s="8">
        <v>170</v>
      </c>
      <c r="B180" s="8">
        <v>4.4400000000000004</v>
      </c>
      <c r="C180" s="4">
        <v>0.95950000000000002</v>
      </c>
      <c r="D180" s="4">
        <v>4.0500000000000001E-2</v>
      </c>
      <c r="E180" s="4">
        <v>0.68630000000000002</v>
      </c>
      <c r="F180" s="4">
        <v>0.31369999999999998</v>
      </c>
      <c r="G180" t="s">
        <v>11</v>
      </c>
    </row>
    <row r="181" spans="1:7" x14ac:dyDescent="0.25">
      <c r="A181" s="8">
        <v>170</v>
      </c>
      <c r="B181" s="8">
        <v>5.76</v>
      </c>
      <c r="C181" s="4">
        <v>0.93379999999999996</v>
      </c>
      <c r="D181" s="4">
        <v>6.6199999999999995E-2</v>
      </c>
      <c r="E181" s="4">
        <v>0.60050000000000003</v>
      </c>
      <c r="F181" s="4">
        <v>0.39950000000000002</v>
      </c>
      <c r="G181" t="s">
        <v>11</v>
      </c>
    </row>
    <row r="182" spans="1:7" x14ac:dyDescent="0.25">
      <c r="A182" s="8">
        <v>170</v>
      </c>
      <c r="B182" s="8">
        <v>7.1</v>
      </c>
      <c r="C182" s="4">
        <v>0.90510000000000002</v>
      </c>
      <c r="D182" s="4">
        <v>9.4899999999999998E-2</v>
      </c>
      <c r="E182" s="4">
        <v>0.55190000000000006</v>
      </c>
      <c r="F182" s="4">
        <v>0.4481</v>
      </c>
      <c r="G182" t="s">
        <v>11</v>
      </c>
    </row>
    <row r="183" spans="1:7" x14ac:dyDescent="0.25">
      <c r="A183" s="8">
        <v>170</v>
      </c>
      <c r="B183" s="8">
        <v>8.56</v>
      </c>
      <c r="C183" s="4">
        <v>0.86929999999999996</v>
      </c>
      <c r="D183" s="4">
        <v>0.13070000000000001</v>
      </c>
      <c r="E183" s="4">
        <v>0.52500000000000002</v>
      </c>
      <c r="F183" s="4">
        <v>0.47499999999999998</v>
      </c>
      <c r="G183" t="s">
        <v>11</v>
      </c>
    </row>
    <row r="184" spans="1:7" x14ac:dyDescent="0.25">
      <c r="A184" s="8">
        <v>170</v>
      </c>
      <c r="B184" s="8">
        <v>9.7799999999999994</v>
      </c>
      <c r="C184" s="4">
        <v>0.83830000000000005</v>
      </c>
      <c r="D184" s="4">
        <v>0.16170000000000001</v>
      </c>
      <c r="E184" s="4">
        <v>0.51839999999999997</v>
      </c>
      <c r="F184" s="4">
        <v>0.48159999999999997</v>
      </c>
      <c r="G184" t="s">
        <v>11</v>
      </c>
    </row>
    <row r="185" spans="1:7" x14ac:dyDescent="0.25">
      <c r="A185" s="8">
        <v>170</v>
      </c>
      <c r="B185" s="8">
        <v>11.14</v>
      </c>
      <c r="C185" s="4">
        <v>0.79339999999999999</v>
      </c>
      <c r="D185" s="4">
        <v>0.20660000000000001</v>
      </c>
      <c r="E185" s="4">
        <v>0.52459999999999996</v>
      </c>
      <c r="F185" s="4">
        <v>0.47539999999999999</v>
      </c>
      <c r="G185" t="s">
        <v>11</v>
      </c>
    </row>
    <row r="186" spans="1:7" x14ac:dyDescent="0.25">
      <c r="A186" s="8">
        <v>170</v>
      </c>
      <c r="B186" s="8">
        <v>11.79</v>
      </c>
      <c r="C186" s="4">
        <v>0.77249999999999996</v>
      </c>
      <c r="D186" s="4">
        <v>0.22750000000000001</v>
      </c>
      <c r="E186" s="4">
        <v>0.5353</v>
      </c>
      <c r="F186" s="4">
        <v>0.4647</v>
      </c>
      <c r="G186" t="s">
        <v>11</v>
      </c>
    </row>
    <row r="187" spans="1:7" x14ac:dyDescent="0.25">
      <c r="A187" s="8">
        <v>170</v>
      </c>
      <c r="B187" s="8">
        <v>12.58</v>
      </c>
      <c r="C187" s="4">
        <v>0.7298</v>
      </c>
      <c r="D187" s="4">
        <v>0.2702</v>
      </c>
      <c r="E187" s="4">
        <v>0.56159999999999999</v>
      </c>
      <c r="F187" s="4">
        <v>0.43840000000000001</v>
      </c>
      <c r="G187" t="s">
        <v>11</v>
      </c>
    </row>
    <row r="188" spans="1:7" x14ac:dyDescent="0.25">
      <c r="A188" s="8">
        <v>170</v>
      </c>
      <c r="B188" s="8">
        <v>12.82</v>
      </c>
      <c r="C188" s="4">
        <v>0.70669999999999999</v>
      </c>
      <c r="D188" s="4">
        <v>0.29330000000000001</v>
      </c>
      <c r="E188" s="4">
        <v>0.58529999999999993</v>
      </c>
      <c r="F188" s="4">
        <v>0.41470000000000001</v>
      </c>
      <c r="G188" t="s">
        <v>11</v>
      </c>
    </row>
    <row r="189" spans="1:7" x14ac:dyDescent="0.25">
      <c r="A189" s="8">
        <v>180</v>
      </c>
      <c r="B189" s="8">
        <v>4.76</v>
      </c>
      <c r="C189" s="4">
        <v>0.96679999999999999</v>
      </c>
      <c r="D189" s="4">
        <v>3.32E-2</v>
      </c>
      <c r="E189" s="4">
        <v>0.83919999999999995</v>
      </c>
      <c r="F189" s="4">
        <v>0.1608</v>
      </c>
      <c r="G189" t="s">
        <v>11</v>
      </c>
    </row>
    <row r="190" spans="1:7" x14ac:dyDescent="0.25">
      <c r="A190" s="8">
        <v>180</v>
      </c>
      <c r="B190" s="8">
        <v>5.3</v>
      </c>
      <c r="C190" s="4">
        <v>0.95399999999999996</v>
      </c>
      <c r="D190" s="4">
        <v>4.5999999999999999E-2</v>
      </c>
      <c r="E190" s="4">
        <v>0.80469999999999997</v>
      </c>
      <c r="F190" s="4">
        <v>0.1953</v>
      </c>
      <c r="G190" t="s">
        <v>11</v>
      </c>
    </row>
    <row r="191" spans="1:7" x14ac:dyDescent="0.25">
      <c r="A191" s="8">
        <v>180</v>
      </c>
      <c r="B191" s="8">
        <v>5.8</v>
      </c>
      <c r="C191" s="4">
        <v>0.94110000000000005</v>
      </c>
      <c r="D191" s="4">
        <v>5.8900000000000001E-2</v>
      </c>
      <c r="E191" s="4">
        <v>0.77580000000000005</v>
      </c>
      <c r="F191" s="4">
        <v>0.22420000000000001</v>
      </c>
      <c r="G191" t="s">
        <v>11</v>
      </c>
    </row>
    <row r="192" spans="1:7" x14ac:dyDescent="0.25">
      <c r="A192" s="8">
        <v>180</v>
      </c>
      <c r="B192" s="8">
        <v>6.19</v>
      </c>
      <c r="C192" s="4">
        <v>0.92999999999999994</v>
      </c>
      <c r="D192" s="4">
        <v>7.0000000000000007E-2</v>
      </c>
      <c r="E192" s="4">
        <v>0.7601</v>
      </c>
      <c r="F192" s="4">
        <v>0.2399</v>
      </c>
      <c r="G192" t="s">
        <v>11</v>
      </c>
    </row>
    <row r="193" spans="1:7" x14ac:dyDescent="0.25">
      <c r="A193" s="8">
        <v>180</v>
      </c>
      <c r="B193" s="8">
        <v>6.73</v>
      </c>
      <c r="C193" s="4">
        <v>0.91269999999999996</v>
      </c>
      <c r="D193" s="4">
        <v>8.7300000000000003E-2</v>
      </c>
      <c r="E193" s="4">
        <v>0.7419</v>
      </c>
      <c r="F193" s="4">
        <v>0.2581</v>
      </c>
      <c r="G193" t="s">
        <v>11</v>
      </c>
    </row>
    <row r="194" spans="1:7" x14ac:dyDescent="0.25">
      <c r="A194" s="8">
        <v>180</v>
      </c>
      <c r="B194" s="8">
        <v>7.21</v>
      </c>
      <c r="C194" s="4">
        <v>0.89769999999999994</v>
      </c>
      <c r="D194" s="4">
        <v>0.1023</v>
      </c>
      <c r="E194" s="4">
        <v>0.48409999999999997</v>
      </c>
      <c r="F194" s="4">
        <v>0.51590000000000003</v>
      </c>
      <c r="G194" t="s">
        <v>11</v>
      </c>
    </row>
    <row r="195" spans="1:7" x14ac:dyDescent="0.25">
      <c r="A195" s="8">
        <v>180</v>
      </c>
      <c r="B195" s="8">
        <v>7.77</v>
      </c>
      <c r="C195" s="4">
        <v>0.87590000000000001</v>
      </c>
      <c r="D195" s="4">
        <v>0.1241</v>
      </c>
      <c r="E195" s="4">
        <v>0.72740000000000005</v>
      </c>
      <c r="F195" s="4">
        <v>0.27260000000000001</v>
      </c>
      <c r="G195" t="s">
        <v>11</v>
      </c>
    </row>
    <row r="196" spans="1:7" x14ac:dyDescent="0.25">
      <c r="A196" s="8">
        <v>180</v>
      </c>
      <c r="B196" s="8">
        <v>8.33</v>
      </c>
      <c r="C196" s="4">
        <v>0.84830000000000005</v>
      </c>
      <c r="D196" s="4">
        <v>0.1517</v>
      </c>
      <c r="E196" s="4">
        <v>0.73330000000000006</v>
      </c>
      <c r="F196" s="4">
        <v>0.26669999999999999</v>
      </c>
      <c r="G196" t="s">
        <v>11</v>
      </c>
    </row>
    <row r="197" spans="1:7" x14ac:dyDescent="0.25">
      <c r="A197" s="9">
        <v>180</v>
      </c>
      <c r="B197" s="9">
        <v>8.67</v>
      </c>
      <c r="C197" s="7">
        <v>0.81899999999999995</v>
      </c>
      <c r="D197" s="7">
        <v>0.18099999999999999</v>
      </c>
      <c r="E197" s="7">
        <v>0.74719999999999998</v>
      </c>
      <c r="F197" s="7">
        <v>0.25280000000000002</v>
      </c>
      <c r="G197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F8D3D-0A3B-423C-B258-A1C65191CBCF}">
  <dimension ref="A1:G4"/>
  <sheetViews>
    <sheetView zoomScale="175" zoomScaleNormal="175" workbookViewId="0">
      <selection activeCell="E9" sqref="E9"/>
    </sheetView>
  </sheetViews>
  <sheetFormatPr defaultRowHeight="15" x14ac:dyDescent="0.25"/>
  <cols>
    <col min="7" max="7" width="24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8">
        <f>-180+273.15</f>
        <v>93.149999999999977</v>
      </c>
      <c r="B2" s="8">
        <f>100*101325/1000000</f>
        <v>10.1325</v>
      </c>
      <c r="C2" s="4">
        <f>1-D2</f>
        <v>0.95399999999999996</v>
      </c>
      <c r="D2" s="4">
        <v>4.5999999999999999E-2</v>
      </c>
      <c r="E2" s="4">
        <f>1-F2</f>
        <v>1.3499999999999956E-2</v>
      </c>
      <c r="F2" s="4">
        <v>0.98650000000000004</v>
      </c>
      <c r="G2" t="s">
        <v>12</v>
      </c>
    </row>
    <row r="3" spans="1:7" x14ac:dyDescent="0.25">
      <c r="A3" s="8">
        <f>-180+273.15</f>
        <v>93.149999999999977</v>
      </c>
      <c r="B3" s="8">
        <f>125*101325/1000000</f>
        <v>12.665625</v>
      </c>
      <c r="C3" s="4">
        <f t="shared" ref="C3:C4" si="0">1-D3</f>
        <v>0.91989999999999994</v>
      </c>
      <c r="D3" s="4">
        <v>8.0100000000000005E-2</v>
      </c>
      <c r="E3" s="4">
        <f t="shared" ref="E3:E4" si="1">1-F3</f>
        <v>1.9000000000000017E-2</v>
      </c>
      <c r="F3" s="4">
        <v>0.98099999999999998</v>
      </c>
      <c r="G3" t="s">
        <v>12</v>
      </c>
    </row>
    <row r="4" spans="1:7" x14ac:dyDescent="0.25">
      <c r="A4" s="9">
        <f>-180+273.15</f>
        <v>93.149999999999977</v>
      </c>
      <c r="B4" s="9">
        <f>150*101325/1000000</f>
        <v>15.19875</v>
      </c>
      <c r="C4" s="7">
        <f t="shared" si="0"/>
        <v>0.92999999999999994</v>
      </c>
      <c r="D4" s="7">
        <v>7.0000000000000007E-2</v>
      </c>
      <c r="E4" s="7">
        <f t="shared" si="1"/>
        <v>2.3399999999999976E-2</v>
      </c>
      <c r="F4" s="7">
        <v>0.97660000000000002</v>
      </c>
      <c r="G4" s="10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AA1D-D6F2-42CF-8CA7-DA4F3E13B8FB}">
  <dimension ref="A1:G145"/>
  <sheetViews>
    <sheetView topLeftCell="A138" zoomScale="175" zoomScaleNormal="175" workbookViewId="0">
      <selection activeCell="A145" sqref="A145:F145"/>
    </sheetView>
  </sheetViews>
  <sheetFormatPr defaultRowHeight="15" x14ac:dyDescent="0.25"/>
  <cols>
    <col min="7" max="7" width="17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183.12</v>
      </c>
      <c r="B2" s="8">
        <v>3.6389999999999998</v>
      </c>
      <c r="C2" s="4">
        <v>1</v>
      </c>
      <c r="D2" s="4">
        <f>1-C2</f>
        <v>0</v>
      </c>
      <c r="E2" s="4">
        <v>1</v>
      </c>
      <c r="F2" s="4">
        <f>1-E2</f>
        <v>0</v>
      </c>
      <c r="G2" t="s">
        <v>13</v>
      </c>
    </row>
    <row r="3" spans="1:7" x14ac:dyDescent="0.25">
      <c r="A3" s="2">
        <v>183.12</v>
      </c>
      <c r="B3" s="8">
        <v>3.9159999999999999</v>
      </c>
      <c r="C3" s="4">
        <v>0.99319999999999997</v>
      </c>
      <c r="D3" s="4">
        <f t="shared" ref="D3:D66" si="0">1-C3</f>
        <v>6.8000000000000282E-3</v>
      </c>
      <c r="E3" s="4">
        <v>0.96619999999999995</v>
      </c>
      <c r="F3" s="4">
        <f t="shared" ref="F3:F66" si="1">1-E3</f>
        <v>3.3800000000000052E-2</v>
      </c>
      <c r="G3" t="s">
        <v>13</v>
      </c>
    </row>
    <row r="4" spans="1:7" x14ac:dyDescent="0.25">
      <c r="A4" s="2">
        <v>183.12</v>
      </c>
      <c r="B4" s="8">
        <v>4.016</v>
      </c>
      <c r="C4" s="4">
        <v>0.98929999999999996</v>
      </c>
      <c r="D4" s="4">
        <f t="shared" si="0"/>
        <v>1.0700000000000043E-2</v>
      </c>
      <c r="E4" s="4">
        <v>0.95209999999999995</v>
      </c>
      <c r="F4" s="4">
        <f t="shared" si="1"/>
        <v>4.7900000000000054E-2</v>
      </c>
      <c r="G4" t="s">
        <v>13</v>
      </c>
    </row>
    <row r="5" spans="1:7" x14ac:dyDescent="0.25">
      <c r="A5" s="2">
        <v>183.12</v>
      </c>
      <c r="B5" s="8">
        <v>4.016</v>
      </c>
      <c r="C5" s="4">
        <v>0.98929999999999996</v>
      </c>
      <c r="D5" s="4">
        <f t="shared" si="0"/>
        <v>1.0700000000000043E-2</v>
      </c>
      <c r="E5" s="4">
        <v>0.95109999999999995</v>
      </c>
      <c r="F5" s="4">
        <f t="shared" si="1"/>
        <v>4.8900000000000055E-2</v>
      </c>
      <c r="G5" t="s">
        <v>13</v>
      </c>
    </row>
    <row r="6" spans="1:7" x14ac:dyDescent="0.25">
      <c r="A6" s="2">
        <v>183.12</v>
      </c>
      <c r="B6" s="8">
        <v>4.1989999999999998</v>
      </c>
      <c r="C6" s="4">
        <v>0.98829999999999996</v>
      </c>
      <c r="D6" s="4">
        <f t="shared" si="0"/>
        <v>1.1700000000000044E-2</v>
      </c>
      <c r="E6" s="4">
        <v>0.94110000000000005</v>
      </c>
      <c r="F6" s="4">
        <f t="shared" si="1"/>
        <v>5.8899999999999952E-2</v>
      </c>
      <c r="G6" t="s">
        <v>13</v>
      </c>
    </row>
    <row r="7" spans="1:7" x14ac:dyDescent="0.25">
      <c r="A7" s="2">
        <v>183.12</v>
      </c>
      <c r="B7" s="8">
        <v>4.3440000000000003</v>
      </c>
      <c r="C7" s="4">
        <v>0.98270000000000002</v>
      </c>
      <c r="D7" s="4">
        <f t="shared" si="0"/>
        <v>1.7299999999999982E-2</v>
      </c>
      <c r="E7" s="4">
        <v>0.92110000000000003</v>
      </c>
      <c r="F7" s="4">
        <f t="shared" si="1"/>
        <v>7.889999999999997E-2</v>
      </c>
      <c r="G7" t="s">
        <v>13</v>
      </c>
    </row>
    <row r="8" spans="1:7" x14ac:dyDescent="0.25">
      <c r="A8" s="2">
        <v>183.12</v>
      </c>
      <c r="B8" s="8">
        <v>4.4880000000000004</v>
      </c>
      <c r="C8" s="4">
        <v>0.97970000000000002</v>
      </c>
      <c r="D8" s="4">
        <f t="shared" si="0"/>
        <v>2.0299999999999985E-2</v>
      </c>
      <c r="E8" s="4">
        <v>0.9093</v>
      </c>
      <c r="F8" s="4">
        <f t="shared" si="1"/>
        <v>9.0700000000000003E-2</v>
      </c>
      <c r="G8" t="s">
        <v>13</v>
      </c>
    </row>
    <row r="9" spans="1:7" x14ac:dyDescent="0.25">
      <c r="A9" s="2">
        <v>183.12</v>
      </c>
      <c r="B9" s="8">
        <v>4.9260000000000002</v>
      </c>
      <c r="C9" s="4">
        <v>0.96719999999999995</v>
      </c>
      <c r="D9" s="4">
        <f t="shared" si="0"/>
        <v>3.2800000000000051E-2</v>
      </c>
      <c r="E9" s="4">
        <v>0.87080000000000002</v>
      </c>
      <c r="F9" s="4">
        <f t="shared" si="1"/>
        <v>0.12919999999999998</v>
      </c>
      <c r="G9" t="s">
        <v>13</v>
      </c>
    </row>
    <row r="10" spans="1:7" x14ac:dyDescent="0.25">
      <c r="A10" s="2">
        <v>183.12</v>
      </c>
      <c r="B10" s="8">
        <v>5.6189999999999998</v>
      </c>
      <c r="C10" s="4">
        <v>0.94710000000000005</v>
      </c>
      <c r="D10" s="4">
        <f t="shared" si="0"/>
        <v>5.2899999999999947E-2</v>
      </c>
      <c r="E10" s="4">
        <v>0.82940000000000003</v>
      </c>
      <c r="F10" s="4">
        <f t="shared" si="1"/>
        <v>0.17059999999999997</v>
      </c>
      <c r="G10" t="s">
        <v>13</v>
      </c>
    </row>
    <row r="11" spans="1:7" x14ac:dyDescent="0.25">
      <c r="A11" s="2">
        <v>183.12</v>
      </c>
      <c r="B11" s="8">
        <v>6.3090000000000002</v>
      </c>
      <c r="C11" s="4">
        <v>0.92600000000000005</v>
      </c>
      <c r="D11" s="4">
        <f t="shared" si="0"/>
        <v>7.3999999999999955E-2</v>
      </c>
      <c r="E11" s="4">
        <v>0.80320000000000003</v>
      </c>
      <c r="F11" s="4">
        <f t="shared" si="1"/>
        <v>0.19679999999999997</v>
      </c>
      <c r="G11" t="s">
        <v>13</v>
      </c>
    </row>
    <row r="12" spans="1:7" x14ac:dyDescent="0.25">
      <c r="A12" s="2">
        <v>183.12</v>
      </c>
      <c r="B12" s="8">
        <v>6.343</v>
      </c>
      <c r="C12" s="4">
        <v>0.92659999999999998</v>
      </c>
      <c r="D12" s="4">
        <f t="shared" si="0"/>
        <v>7.3400000000000021E-2</v>
      </c>
      <c r="E12" s="4">
        <v>0.80930000000000002</v>
      </c>
      <c r="F12" s="4">
        <f t="shared" si="1"/>
        <v>0.19069999999999998</v>
      </c>
      <c r="G12" t="s">
        <v>13</v>
      </c>
    </row>
    <row r="13" spans="1:7" x14ac:dyDescent="0.25">
      <c r="A13" s="2">
        <v>183.12</v>
      </c>
      <c r="B13" s="8">
        <v>6.9020000000000001</v>
      </c>
      <c r="C13" s="4">
        <v>0.90059999999999996</v>
      </c>
      <c r="D13" s="4">
        <f t="shared" si="0"/>
        <v>9.9400000000000044E-2</v>
      </c>
      <c r="E13" s="4">
        <v>0.79720000000000002</v>
      </c>
      <c r="F13" s="4">
        <f t="shared" si="1"/>
        <v>0.20279999999999998</v>
      </c>
      <c r="G13" t="s">
        <v>13</v>
      </c>
    </row>
    <row r="14" spans="1:7" x14ac:dyDescent="0.25">
      <c r="A14" s="2">
        <v>183.12</v>
      </c>
      <c r="B14" s="8">
        <v>7.1050000000000004</v>
      </c>
      <c r="C14" s="4">
        <v>0.89159999999999995</v>
      </c>
      <c r="D14" s="4">
        <f t="shared" si="0"/>
        <v>0.10840000000000005</v>
      </c>
      <c r="E14" s="4">
        <v>0.80100000000000005</v>
      </c>
      <c r="F14" s="4">
        <f t="shared" si="1"/>
        <v>0.19899999999999995</v>
      </c>
      <c r="G14" t="s">
        <v>13</v>
      </c>
    </row>
    <row r="15" spans="1:7" x14ac:dyDescent="0.25">
      <c r="A15" s="2">
        <v>183.12</v>
      </c>
      <c r="B15" s="8">
        <v>7.3419999999999996</v>
      </c>
      <c r="C15" s="4">
        <v>0.87660000000000005</v>
      </c>
      <c r="D15" s="4">
        <f t="shared" si="0"/>
        <v>0.12339999999999995</v>
      </c>
      <c r="E15" s="4">
        <v>0.80069999999999997</v>
      </c>
      <c r="F15" s="4">
        <f t="shared" si="1"/>
        <v>0.19930000000000003</v>
      </c>
      <c r="G15" t="s">
        <v>13</v>
      </c>
    </row>
    <row r="16" spans="1:7" x14ac:dyDescent="0.25">
      <c r="A16" s="2">
        <v>183.12</v>
      </c>
      <c r="B16" s="8">
        <v>7.4119999999999999</v>
      </c>
      <c r="C16" s="4">
        <v>0.87309999999999999</v>
      </c>
      <c r="D16" s="4">
        <f t="shared" si="0"/>
        <v>0.12690000000000001</v>
      </c>
      <c r="E16" s="4">
        <v>0.81040000000000001</v>
      </c>
      <c r="F16" s="4">
        <f t="shared" si="1"/>
        <v>0.18959999999999999</v>
      </c>
      <c r="G16" t="s">
        <v>13</v>
      </c>
    </row>
    <row r="17" spans="1:7" x14ac:dyDescent="0.25">
      <c r="A17" s="2">
        <v>183.12</v>
      </c>
      <c r="B17" s="8">
        <v>7.4329999999999998</v>
      </c>
      <c r="C17" s="4">
        <v>0.87429999999999997</v>
      </c>
      <c r="D17" s="4">
        <f t="shared" si="0"/>
        <v>0.12570000000000003</v>
      </c>
      <c r="E17" s="4">
        <v>0.8115</v>
      </c>
      <c r="F17" s="4">
        <f t="shared" si="1"/>
        <v>0.1885</v>
      </c>
      <c r="G17" t="s">
        <v>13</v>
      </c>
    </row>
    <row r="18" spans="1:7" x14ac:dyDescent="0.25">
      <c r="A18" s="2">
        <v>183.12</v>
      </c>
      <c r="B18" s="8">
        <v>7.5389999999999997</v>
      </c>
      <c r="C18" s="4">
        <v>0.85129999999999995</v>
      </c>
      <c r="D18" s="4">
        <f t="shared" si="0"/>
        <v>0.14870000000000005</v>
      </c>
      <c r="E18" s="4">
        <v>0.81830000000000003</v>
      </c>
      <c r="F18" s="4">
        <f t="shared" si="1"/>
        <v>0.18169999999999997</v>
      </c>
      <c r="G18" t="s">
        <v>13</v>
      </c>
    </row>
    <row r="19" spans="1:7" x14ac:dyDescent="0.25">
      <c r="A19" s="2">
        <v>173.25</v>
      </c>
      <c r="B19" s="8">
        <v>2.6160000000000001</v>
      </c>
      <c r="C19" s="4">
        <v>1</v>
      </c>
      <c r="D19" s="4">
        <f t="shared" si="0"/>
        <v>0</v>
      </c>
      <c r="E19" s="4">
        <v>1</v>
      </c>
      <c r="F19" s="4">
        <f t="shared" si="1"/>
        <v>0</v>
      </c>
      <c r="G19" t="s">
        <v>13</v>
      </c>
    </row>
    <row r="20" spans="1:7" x14ac:dyDescent="0.25">
      <c r="A20" s="2">
        <v>173.25</v>
      </c>
      <c r="B20" s="8">
        <v>3.0640000000000001</v>
      </c>
      <c r="C20" s="4">
        <v>0.99129999999999996</v>
      </c>
      <c r="D20" s="4">
        <f t="shared" si="0"/>
        <v>8.700000000000041E-3</v>
      </c>
      <c r="E20" s="4">
        <v>0.91180000000000005</v>
      </c>
      <c r="F20" s="4">
        <f t="shared" si="1"/>
        <v>8.8199999999999945E-2</v>
      </c>
      <c r="G20" t="s">
        <v>13</v>
      </c>
    </row>
    <row r="21" spans="1:7" x14ac:dyDescent="0.25">
      <c r="A21" s="2">
        <v>173.25</v>
      </c>
      <c r="B21" s="8">
        <v>3.6440000000000001</v>
      </c>
      <c r="C21" s="4">
        <v>0.98040000000000005</v>
      </c>
      <c r="D21" s="4">
        <f t="shared" si="0"/>
        <v>1.9599999999999951E-2</v>
      </c>
      <c r="E21" s="4">
        <v>0.82450000000000001</v>
      </c>
      <c r="F21" s="4">
        <f t="shared" si="1"/>
        <v>0.17549999999999999</v>
      </c>
      <c r="G21" t="s">
        <v>13</v>
      </c>
    </row>
    <row r="22" spans="1:7" x14ac:dyDescent="0.25">
      <c r="A22" s="2">
        <v>173.25</v>
      </c>
      <c r="B22" s="8">
        <v>4.2370000000000001</v>
      </c>
      <c r="C22" s="4">
        <v>0.96730000000000005</v>
      </c>
      <c r="D22" s="4">
        <f t="shared" si="0"/>
        <v>3.2699999999999951E-2</v>
      </c>
      <c r="E22" s="4">
        <v>0.75780000000000003</v>
      </c>
      <c r="F22" s="4">
        <f t="shared" si="1"/>
        <v>0.24219999999999997</v>
      </c>
      <c r="G22" t="s">
        <v>13</v>
      </c>
    </row>
    <row r="23" spans="1:7" x14ac:dyDescent="0.25">
      <c r="A23" s="2">
        <v>173.25</v>
      </c>
      <c r="B23" s="8">
        <v>4.9059999999999997</v>
      </c>
      <c r="C23" s="4">
        <v>0.95579999999999998</v>
      </c>
      <c r="D23" s="4">
        <f t="shared" si="0"/>
        <v>4.4200000000000017E-2</v>
      </c>
      <c r="E23" s="4">
        <v>0.70489999999999997</v>
      </c>
      <c r="F23" s="4">
        <f t="shared" si="1"/>
        <v>0.29510000000000003</v>
      </c>
      <c r="G23" t="s">
        <v>13</v>
      </c>
    </row>
    <row r="24" spans="1:7" x14ac:dyDescent="0.25">
      <c r="A24" s="2">
        <v>173.25</v>
      </c>
      <c r="B24" s="8">
        <v>5.5330000000000004</v>
      </c>
      <c r="C24" s="4">
        <v>0.94099999999999995</v>
      </c>
      <c r="D24" s="4">
        <f t="shared" si="0"/>
        <v>5.9000000000000052E-2</v>
      </c>
      <c r="E24" s="4">
        <v>0.66359999999999997</v>
      </c>
      <c r="F24" s="4">
        <f t="shared" si="1"/>
        <v>0.33640000000000003</v>
      </c>
      <c r="G24" t="s">
        <v>13</v>
      </c>
    </row>
    <row r="25" spans="1:7" x14ac:dyDescent="0.25">
      <c r="A25" s="2">
        <v>173.25</v>
      </c>
      <c r="B25" s="8">
        <v>6.2050000000000001</v>
      </c>
      <c r="C25" s="4">
        <v>0.92549999999999999</v>
      </c>
      <c r="D25" s="4">
        <f t="shared" si="0"/>
        <v>7.4500000000000011E-2</v>
      </c>
      <c r="E25" s="4">
        <v>0.63439999999999996</v>
      </c>
      <c r="F25" s="4">
        <f t="shared" si="1"/>
        <v>0.36560000000000004</v>
      </c>
      <c r="G25" t="s">
        <v>13</v>
      </c>
    </row>
    <row r="26" spans="1:7" x14ac:dyDescent="0.25">
      <c r="A26" s="2">
        <v>173.25</v>
      </c>
      <c r="B26" s="8">
        <v>6.9950000000000001</v>
      </c>
      <c r="C26" s="4">
        <v>0.90269999999999995</v>
      </c>
      <c r="D26" s="4">
        <f t="shared" si="0"/>
        <v>9.7300000000000053E-2</v>
      </c>
      <c r="E26" s="4">
        <v>0.60340000000000005</v>
      </c>
      <c r="F26" s="4">
        <f t="shared" si="1"/>
        <v>0.39659999999999995</v>
      </c>
      <c r="G26" t="s">
        <v>13</v>
      </c>
    </row>
    <row r="27" spans="1:7" x14ac:dyDescent="0.25">
      <c r="A27" s="2">
        <v>173.25</v>
      </c>
      <c r="B27" s="8">
        <v>8.3740000000000006</v>
      </c>
      <c r="C27" s="4">
        <v>0.86419999999999997</v>
      </c>
      <c r="D27" s="4">
        <f t="shared" si="0"/>
        <v>0.13580000000000003</v>
      </c>
      <c r="E27" s="4">
        <v>0.57399999999999995</v>
      </c>
      <c r="F27" s="4">
        <f t="shared" si="1"/>
        <v>0.42600000000000005</v>
      </c>
      <c r="G27" t="s">
        <v>13</v>
      </c>
    </row>
    <row r="28" spans="1:7" x14ac:dyDescent="0.25">
      <c r="A28" s="2">
        <v>173.25</v>
      </c>
      <c r="B28" s="8">
        <v>9.7560000000000002</v>
      </c>
      <c r="C28" s="4">
        <v>0.83150000000000002</v>
      </c>
      <c r="D28" s="4">
        <f t="shared" si="0"/>
        <v>0.16849999999999998</v>
      </c>
      <c r="E28" s="4">
        <v>0.57709999999999995</v>
      </c>
      <c r="F28" s="4">
        <f t="shared" si="1"/>
        <v>0.42290000000000005</v>
      </c>
      <c r="G28" t="s">
        <v>13</v>
      </c>
    </row>
    <row r="29" spans="1:7" x14ac:dyDescent="0.25">
      <c r="A29" s="2">
        <v>173.25</v>
      </c>
      <c r="B29" s="8">
        <v>10.342000000000001</v>
      </c>
      <c r="C29" s="4">
        <v>0.80589999999999995</v>
      </c>
      <c r="D29" s="4">
        <f>1-C29</f>
        <v>0.19410000000000005</v>
      </c>
      <c r="E29" s="4">
        <v>0.5837</v>
      </c>
      <c r="F29" s="4">
        <f t="shared" si="1"/>
        <v>0.4163</v>
      </c>
      <c r="G29" t="s">
        <v>13</v>
      </c>
    </row>
    <row r="30" spans="1:7" x14ac:dyDescent="0.25">
      <c r="A30" s="2">
        <v>173.25</v>
      </c>
      <c r="B30" s="8">
        <v>11.032</v>
      </c>
      <c r="C30" s="4">
        <v>0.77280000000000004</v>
      </c>
      <c r="D30" s="4">
        <f t="shared" si="0"/>
        <v>0.22719999999999996</v>
      </c>
      <c r="E30" s="4">
        <v>0.60509999999999997</v>
      </c>
      <c r="F30" s="4">
        <f t="shared" si="1"/>
        <v>0.39490000000000003</v>
      </c>
      <c r="G30" t="s">
        <v>13</v>
      </c>
    </row>
    <row r="31" spans="1:7" x14ac:dyDescent="0.25">
      <c r="A31" s="2">
        <v>173.25</v>
      </c>
      <c r="B31" s="8">
        <v>11.4</v>
      </c>
      <c r="C31" s="4">
        <v>0.75129999999999997</v>
      </c>
      <c r="D31" s="4">
        <f t="shared" si="0"/>
        <v>0.24870000000000003</v>
      </c>
      <c r="E31" s="4">
        <v>0.63790000000000002</v>
      </c>
      <c r="F31" s="4">
        <f t="shared" si="1"/>
        <v>0.36209999999999998</v>
      </c>
      <c r="G31" t="s">
        <v>13</v>
      </c>
    </row>
    <row r="32" spans="1:7" x14ac:dyDescent="0.25">
      <c r="A32" s="2">
        <v>173.25</v>
      </c>
      <c r="B32" s="8">
        <v>11.483000000000001</v>
      </c>
      <c r="C32" s="4">
        <v>0.73770000000000002</v>
      </c>
      <c r="D32" s="4">
        <f t="shared" si="0"/>
        <v>0.26229999999999998</v>
      </c>
      <c r="E32" s="4">
        <v>0.6371</v>
      </c>
      <c r="F32" s="4">
        <f t="shared" si="1"/>
        <v>0.3629</v>
      </c>
      <c r="G32" t="s">
        <v>13</v>
      </c>
    </row>
    <row r="33" spans="1:7" x14ac:dyDescent="0.25">
      <c r="A33" s="2">
        <v>173.25</v>
      </c>
      <c r="B33" s="8">
        <v>11.625</v>
      </c>
      <c r="C33" s="4"/>
      <c r="D33" s="4"/>
      <c r="E33" s="4">
        <v>0.69179999999999997</v>
      </c>
      <c r="F33" s="4">
        <f t="shared" si="1"/>
        <v>0.30820000000000003</v>
      </c>
      <c r="G33" t="s">
        <v>13</v>
      </c>
    </row>
    <row r="34" spans="1:7" x14ac:dyDescent="0.25">
      <c r="A34" s="2">
        <v>163.16999999999999</v>
      </c>
      <c r="B34" s="8">
        <v>1.806</v>
      </c>
      <c r="C34" s="4">
        <v>1</v>
      </c>
      <c r="D34" s="4">
        <f t="shared" si="0"/>
        <v>0</v>
      </c>
      <c r="E34" s="4">
        <v>1</v>
      </c>
      <c r="F34" s="4">
        <f t="shared" si="1"/>
        <v>0</v>
      </c>
      <c r="G34" t="s">
        <v>13</v>
      </c>
    </row>
    <row r="35" spans="1:7" x14ac:dyDescent="0.25">
      <c r="A35" s="2">
        <v>163.16999999999999</v>
      </c>
      <c r="B35" s="8">
        <v>2.1680000000000001</v>
      </c>
      <c r="C35" s="4">
        <v>0.99370000000000003</v>
      </c>
      <c r="D35" s="4">
        <f t="shared" si="0"/>
        <v>6.2999999999999723E-3</v>
      </c>
      <c r="E35" s="4">
        <v>0.88080000000000003</v>
      </c>
      <c r="F35" s="4">
        <f t="shared" si="1"/>
        <v>0.11919999999999997</v>
      </c>
      <c r="G35" t="s">
        <v>13</v>
      </c>
    </row>
    <row r="36" spans="1:7" x14ac:dyDescent="0.25">
      <c r="A36" s="2">
        <v>163.16999999999999</v>
      </c>
      <c r="B36" s="8">
        <v>2.444</v>
      </c>
      <c r="C36" s="4">
        <v>0.9889</v>
      </c>
      <c r="D36" s="4">
        <f t="shared" si="0"/>
        <v>1.1099999999999999E-2</v>
      </c>
      <c r="E36" s="4">
        <v>0.80820000000000003</v>
      </c>
      <c r="F36" s="4">
        <f t="shared" si="1"/>
        <v>0.19179999999999997</v>
      </c>
      <c r="G36" t="s">
        <v>13</v>
      </c>
    </row>
    <row r="37" spans="1:7" x14ac:dyDescent="0.25">
      <c r="A37" s="2">
        <v>163.16999999999999</v>
      </c>
      <c r="B37" s="8">
        <v>2.8719999999999999</v>
      </c>
      <c r="C37" s="4">
        <v>0.98119999999999996</v>
      </c>
      <c r="D37" s="4">
        <f t="shared" si="0"/>
        <v>1.8800000000000039E-2</v>
      </c>
      <c r="E37" s="4">
        <v>0.73140000000000005</v>
      </c>
      <c r="F37" s="4">
        <f t="shared" si="1"/>
        <v>0.26859999999999995</v>
      </c>
      <c r="G37" t="s">
        <v>13</v>
      </c>
    </row>
    <row r="38" spans="1:7" x14ac:dyDescent="0.25">
      <c r="A38" s="2">
        <v>163.16999999999999</v>
      </c>
      <c r="B38" s="8">
        <v>4.04</v>
      </c>
      <c r="C38" s="4">
        <v>0.9597</v>
      </c>
      <c r="D38" s="4">
        <f t="shared" si="0"/>
        <v>4.0300000000000002E-2</v>
      </c>
      <c r="E38" s="4">
        <v>0.58479999999999999</v>
      </c>
      <c r="F38" s="4">
        <f t="shared" si="1"/>
        <v>0.41520000000000001</v>
      </c>
      <c r="G38" t="s">
        <v>13</v>
      </c>
    </row>
    <row r="39" spans="1:7" x14ac:dyDescent="0.25">
      <c r="A39" s="2">
        <v>163.16999999999999</v>
      </c>
      <c r="B39" s="8">
        <v>5.6159999999999997</v>
      </c>
      <c r="C39" s="4">
        <v>0.93120000000000003</v>
      </c>
      <c r="D39" s="4">
        <f t="shared" si="0"/>
        <v>6.8799999999999972E-2</v>
      </c>
      <c r="E39" s="4">
        <v>0.4869</v>
      </c>
      <c r="F39" s="4">
        <f t="shared" si="1"/>
        <v>0.5131</v>
      </c>
      <c r="G39" t="s">
        <v>13</v>
      </c>
    </row>
    <row r="40" spans="1:7" x14ac:dyDescent="0.25">
      <c r="A40" s="2">
        <v>163.16999999999999</v>
      </c>
      <c r="B40" s="8">
        <v>6.9950000000000001</v>
      </c>
      <c r="C40" s="4">
        <v>0.90300000000000002</v>
      </c>
      <c r="D40" s="4">
        <f t="shared" si="0"/>
        <v>9.6999999999999975E-2</v>
      </c>
      <c r="E40" s="4">
        <v>0.442</v>
      </c>
      <c r="F40" s="4">
        <f t="shared" si="1"/>
        <v>0.55800000000000005</v>
      </c>
      <c r="G40" t="s">
        <v>13</v>
      </c>
    </row>
    <row r="41" spans="1:7" x14ac:dyDescent="0.25">
      <c r="A41" s="2">
        <v>163.16999999999999</v>
      </c>
      <c r="B41" s="8">
        <v>8.3740000000000006</v>
      </c>
      <c r="C41" s="4">
        <v>0.87780000000000002</v>
      </c>
      <c r="D41" s="4">
        <f t="shared" si="0"/>
        <v>0.12219999999999998</v>
      </c>
      <c r="E41" s="4">
        <v>0.41749999999999998</v>
      </c>
      <c r="F41" s="4">
        <f t="shared" si="1"/>
        <v>0.58250000000000002</v>
      </c>
      <c r="G41" t="s">
        <v>13</v>
      </c>
    </row>
    <row r="42" spans="1:7" x14ac:dyDescent="0.25">
      <c r="A42" s="2">
        <v>163.16999999999999</v>
      </c>
      <c r="B42" s="8">
        <v>9.7530000000000001</v>
      </c>
      <c r="C42" s="4">
        <v>0.85050000000000003</v>
      </c>
      <c r="D42" s="4">
        <f t="shared" si="0"/>
        <v>0.14949999999999997</v>
      </c>
      <c r="E42" s="4">
        <v>0.40529999999999999</v>
      </c>
      <c r="F42" s="4">
        <f t="shared" si="1"/>
        <v>0.59470000000000001</v>
      </c>
      <c r="G42" t="s">
        <v>13</v>
      </c>
    </row>
    <row r="43" spans="1:7" x14ac:dyDescent="0.25">
      <c r="A43" s="2">
        <v>163.16999999999999</v>
      </c>
      <c r="B43" s="8">
        <v>11.132</v>
      </c>
      <c r="C43" s="4">
        <v>0.81979999999999997</v>
      </c>
      <c r="D43" s="4">
        <f t="shared" si="0"/>
        <v>0.18020000000000003</v>
      </c>
      <c r="E43" s="4">
        <v>0.40379999999999999</v>
      </c>
      <c r="F43" s="4">
        <f t="shared" si="1"/>
        <v>0.59620000000000006</v>
      </c>
      <c r="G43" t="s">
        <v>13</v>
      </c>
    </row>
    <row r="44" spans="1:7" x14ac:dyDescent="0.25">
      <c r="A44" s="2">
        <v>163.16999999999999</v>
      </c>
      <c r="B44" s="8">
        <v>12.510999999999999</v>
      </c>
      <c r="C44" s="4">
        <v>0.78449999999999998</v>
      </c>
      <c r="D44" s="4">
        <f t="shared" si="0"/>
        <v>0.21550000000000002</v>
      </c>
      <c r="E44" s="4">
        <v>0.40760000000000002</v>
      </c>
      <c r="F44" s="4">
        <f t="shared" si="1"/>
        <v>0.59240000000000004</v>
      </c>
      <c r="G44" t="s">
        <v>13</v>
      </c>
    </row>
    <row r="45" spans="1:7" x14ac:dyDescent="0.25">
      <c r="A45" s="2">
        <v>163.16999999999999</v>
      </c>
      <c r="B45" s="8">
        <v>13.82</v>
      </c>
      <c r="C45" s="4">
        <v>0.74939999999999996</v>
      </c>
      <c r="D45" s="4">
        <f t="shared" si="0"/>
        <v>0.25060000000000004</v>
      </c>
      <c r="E45" s="4">
        <v>0.42549999999999999</v>
      </c>
      <c r="F45" s="4">
        <f t="shared" si="1"/>
        <v>0.57450000000000001</v>
      </c>
      <c r="G45" t="s">
        <v>13</v>
      </c>
    </row>
    <row r="46" spans="1:7" x14ac:dyDescent="0.25">
      <c r="A46" s="2">
        <v>163.16999999999999</v>
      </c>
      <c r="B46" s="8">
        <v>15.199</v>
      </c>
      <c r="C46" s="4">
        <v>0.6905</v>
      </c>
      <c r="D46" s="4">
        <f t="shared" si="0"/>
        <v>0.3095</v>
      </c>
      <c r="E46" s="4">
        <v>0.47099999999999997</v>
      </c>
      <c r="F46" s="4">
        <f t="shared" si="1"/>
        <v>0.52900000000000003</v>
      </c>
      <c r="G46" t="s">
        <v>13</v>
      </c>
    </row>
    <row r="47" spans="1:7" x14ac:dyDescent="0.25">
      <c r="A47" s="2">
        <v>163.16999999999999</v>
      </c>
      <c r="B47" s="8">
        <v>15.544</v>
      </c>
      <c r="C47" s="4">
        <v>0.67169999999999996</v>
      </c>
      <c r="D47" s="4">
        <f t="shared" si="0"/>
        <v>0.32830000000000004</v>
      </c>
      <c r="E47" s="4">
        <v>0.4844</v>
      </c>
      <c r="F47" s="4">
        <f t="shared" si="1"/>
        <v>0.51560000000000006</v>
      </c>
      <c r="G47" t="s">
        <v>13</v>
      </c>
    </row>
    <row r="48" spans="1:7" x14ac:dyDescent="0.25">
      <c r="A48" s="2">
        <v>163.16999999999999</v>
      </c>
      <c r="B48" s="8">
        <v>15.888999999999999</v>
      </c>
      <c r="C48" s="4">
        <v>0.63390000000000002</v>
      </c>
      <c r="D48" s="4">
        <f t="shared" si="0"/>
        <v>0.36609999999999998</v>
      </c>
      <c r="E48" s="4">
        <v>0.51729999999999998</v>
      </c>
      <c r="F48" s="4">
        <f t="shared" si="1"/>
        <v>0.48270000000000002</v>
      </c>
      <c r="G48" t="s">
        <v>13</v>
      </c>
    </row>
    <row r="49" spans="1:7" x14ac:dyDescent="0.25">
      <c r="A49" s="2">
        <v>163.16999999999999</v>
      </c>
      <c r="B49" s="8">
        <v>15.958</v>
      </c>
      <c r="C49" s="4">
        <v>0.62</v>
      </c>
      <c r="D49" s="4">
        <f t="shared" si="0"/>
        <v>0.38</v>
      </c>
      <c r="E49" s="4">
        <v>0.52669999999999995</v>
      </c>
      <c r="F49" s="4">
        <f t="shared" si="1"/>
        <v>0.47330000000000005</v>
      </c>
      <c r="G49" t="s">
        <v>13</v>
      </c>
    </row>
    <row r="50" spans="1:7" x14ac:dyDescent="0.25">
      <c r="A50" s="2">
        <v>163.16999999999999</v>
      </c>
      <c r="B50" s="8">
        <v>15.992000000000001</v>
      </c>
      <c r="C50" s="4"/>
      <c r="D50" s="4"/>
      <c r="E50" s="4">
        <v>0.55349999999999999</v>
      </c>
      <c r="F50" s="4">
        <f t="shared" si="1"/>
        <v>0.44650000000000001</v>
      </c>
      <c r="G50" t="s">
        <v>13</v>
      </c>
    </row>
    <row r="51" spans="1:7" x14ac:dyDescent="0.25">
      <c r="A51" s="2">
        <v>153.21</v>
      </c>
      <c r="B51" s="8">
        <v>1.2</v>
      </c>
      <c r="C51" s="4">
        <v>1</v>
      </c>
      <c r="D51" s="4">
        <f t="shared" si="0"/>
        <v>0</v>
      </c>
      <c r="E51" s="4">
        <v>1</v>
      </c>
      <c r="F51" s="4">
        <f t="shared" si="1"/>
        <v>0</v>
      </c>
      <c r="G51" t="s">
        <v>13</v>
      </c>
    </row>
    <row r="52" spans="1:7" x14ac:dyDescent="0.25">
      <c r="A52" s="2">
        <v>153.21</v>
      </c>
      <c r="B52" s="8">
        <v>3.6160000000000001</v>
      </c>
      <c r="C52" s="4">
        <v>0.96430000000000005</v>
      </c>
      <c r="D52" s="4">
        <f t="shared" si="0"/>
        <v>3.5699999999999954E-2</v>
      </c>
      <c r="E52" s="4">
        <v>0.44350000000000001</v>
      </c>
      <c r="F52" s="4">
        <f t="shared" si="1"/>
        <v>0.55649999999999999</v>
      </c>
      <c r="G52" t="s">
        <v>13</v>
      </c>
    </row>
    <row r="53" spans="1:7" x14ac:dyDescent="0.25">
      <c r="A53" s="2">
        <v>153.21</v>
      </c>
      <c r="B53" s="8">
        <v>4.1369999999999996</v>
      </c>
      <c r="C53" s="4">
        <v>0.95569999999999999</v>
      </c>
      <c r="D53" s="4">
        <f t="shared" si="0"/>
        <v>4.4300000000000006E-2</v>
      </c>
      <c r="E53" s="4">
        <v>0.40460000000000002</v>
      </c>
      <c r="F53" s="4">
        <f t="shared" si="1"/>
        <v>0.59539999999999993</v>
      </c>
      <c r="G53" t="s">
        <v>13</v>
      </c>
    </row>
    <row r="54" spans="1:7" x14ac:dyDescent="0.25">
      <c r="A54" s="2">
        <v>153.21</v>
      </c>
      <c r="B54" s="8">
        <v>4.1369999999999996</v>
      </c>
      <c r="C54" s="4">
        <v>0.95540000000000003</v>
      </c>
      <c r="D54" s="4">
        <f t="shared" si="0"/>
        <v>4.4599999999999973E-2</v>
      </c>
      <c r="E54" s="4">
        <v>0.40839999999999999</v>
      </c>
      <c r="F54" s="4">
        <f t="shared" si="1"/>
        <v>0.59160000000000001</v>
      </c>
      <c r="G54" t="s">
        <v>13</v>
      </c>
    </row>
    <row r="55" spans="1:7" x14ac:dyDescent="0.25">
      <c r="A55" s="2">
        <v>153.21</v>
      </c>
      <c r="B55" s="8">
        <v>5.2370000000000001</v>
      </c>
      <c r="C55" s="4">
        <v>0.93779999999999997</v>
      </c>
      <c r="D55" s="4">
        <f t="shared" si="0"/>
        <v>6.2200000000000033E-2</v>
      </c>
      <c r="E55" s="4">
        <v>0.35699999999999998</v>
      </c>
      <c r="F55" s="4">
        <f t="shared" si="1"/>
        <v>0.64300000000000002</v>
      </c>
      <c r="G55" t="s">
        <v>13</v>
      </c>
    </row>
    <row r="56" spans="1:7" x14ac:dyDescent="0.25">
      <c r="A56" s="2">
        <v>153.21</v>
      </c>
      <c r="B56" s="8">
        <v>6.2050000000000001</v>
      </c>
      <c r="C56" s="4">
        <v>0.92559999999999998</v>
      </c>
      <c r="D56" s="4">
        <f t="shared" si="0"/>
        <v>7.4400000000000022E-2</v>
      </c>
      <c r="E56" s="4">
        <v>0.32679999999999998</v>
      </c>
      <c r="F56" s="4">
        <f t="shared" si="1"/>
        <v>0.67320000000000002</v>
      </c>
      <c r="G56" t="s">
        <v>13</v>
      </c>
    </row>
    <row r="57" spans="1:7" x14ac:dyDescent="0.25">
      <c r="A57" s="2">
        <v>153.21</v>
      </c>
      <c r="B57" s="8">
        <v>6.3739999999999997</v>
      </c>
      <c r="C57" s="4">
        <v>0.92049999999999998</v>
      </c>
      <c r="D57" s="4">
        <f t="shared" si="0"/>
        <v>7.9500000000000015E-2</v>
      </c>
      <c r="E57" s="4">
        <v>0.32479999999999998</v>
      </c>
      <c r="F57" s="4">
        <f t="shared" si="1"/>
        <v>0.67520000000000002</v>
      </c>
      <c r="G57" t="s">
        <v>13</v>
      </c>
    </row>
    <row r="58" spans="1:7" x14ac:dyDescent="0.25">
      <c r="A58" s="2">
        <v>153.21</v>
      </c>
      <c r="B58" s="8">
        <v>7.5910000000000002</v>
      </c>
      <c r="C58" s="4">
        <v>0.90259999999999996</v>
      </c>
      <c r="D58" s="4">
        <f t="shared" si="0"/>
        <v>9.7400000000000042E-2</v>
      </c>
      <c r="E58" s="4">
        <v>0.30270000000000002</v>
      </c>
      <c r="F58" s="4">
        <f t="shared" si="1"/>
        <v>0.69730000000000003</v>
      </c>
      <c r="G58" t="s">
        <v>13</v>
      </c>
    </row>
    <row r="59" spans="1:7" x14ac:dyDescent="0.25">
      <c r="A59" s="2">
        <v>153.21</v>
      </c>
      <c r="B59" s="8">
        <v>8.2739999999999991</v>
      </c>
      <c r="C59" s="4">
        <v>0.89329999999999998</v>
      </c>
      <c r="D59" s="4">
        <f t="shared" si="0"/>
        <v>0.10670000000000002</v>
      </c>
      <c r="E59" s="4">
        <v>0.29849999999999999</v>
      </c>
      <c r="F59" s="4">
        <f t="shared" si="1"/>
        <v>0.70150000000000001</v>
      </c>
      <c r="G59" t="s">
        <v>13</v>
      </c>
    </row>
    <row r="60" spans="1:7" x14ac:dyDescent="0.25">
      <c r="A60" s="2">
        <v>153.21</v>
      </c>
      <c r="B60" s="8">
        <v>8.9629999999999992</v>
      </c>
      <c r="C60" s="4">
        <v>0.87980000000000003</v>
      </c>
      <c r="D60" s="4">
        <f t="shared" si="0"/>
        <v>0.12019999999999997</v>
      </c>
      <c r="E60" s="4">
        <v>0.28949999999999998</v>
      </c>
      <c r="F60" s="4">
        <f t="shared" si="1"/>
        <v>0.71050000000000002</v>
      </c>
      <c r="G60" t="s">
        <v>13</v>
      </c>
    </row>
    <row r="61" spans="1:7" x14ac:dyDescent="0.25">
      <c r="A61" s="2">
        <v>153.21</v>
      </c>
      <c r="B61" s="8">
        <v>10.342000000000001</v>
      </c>
      <c r="C61" s="4">
        <v>0.85829999999999995</v>
      </c>
      <c r="D61" s="4">
        <f t="shared" si="0"/>
        <v>0.14170000000000005</v>
      </c>
      <c r="E61" s="4">
        <v>0.2823</v>
      </c>
      <c r="F61" s="4">
        <f t="shared" si="1"/>
        <v>0.7177</v>
      </c>
      <c r="G61" t="s">
        <v>13</v>
      </c>
    </row>
    <row r="62" spans="1:7" x14ac:dyDescent="0.25">
      <c r="A62" s="2">
        <v>153.21</v>
      </c>
      <c r="B62" s="8">
        <v>11.721</v>
      </c>
      <c r="C62" s="4">
        <v>0.83260000000000001</v>
      </c>
      <c r="D62" s="4">
        <f t="shared" si="0"/>
        <v>0.16739999999999999</v>
      </c>
      <c r="E62" s="4">
        <v>0.2802</v>
      </c>
      <c r="F62" s="4">
        <f t="shared" si="1"/>
        <v>0.7198</v>
      </c>
      <c r="G62" t="s">
        <v>13</v>
      </c>
    </row>
    <row r="63" spans="1:7" x14ac:dyDescent="0.25">
      <c r="A63" s="2">
        <v>153.21</v>
      </c>
      <c r="B63" s="8">
        <v>13.789</v>
      </c>
      <c r="C63" s="4">
        <v>0.79290000000000005</v>
      </c>
      <c r="D63" s="4">
        <f t="shared" si="0"/>
        <v>0.20709999999999995</v>
      </c>
      <c r="E63" s="4">
        <v>0.28860000000000002</v>
      </c>
      <c r="F63" s="4">
        <f t="shared" si="1"/>
        <v>0.71140000000000003</v>
      </c>
      <c r="G63" t="s">
        <v>13</v>
      </c>
    </row>
    <row r="64" spans="1:7" x14ac:dyDescent="0.25">
      <c r="A64" s="2">
        <v>153.21</v>
      </c>
      <c r="B64" s="8">
        <v>15.513</v>
      </c>
      <c r="C64" s="4">
        <v>0.75749999999999995</v>
      </c>
      <c r="D64" s="4">
        <f t="shared" si="0"/>
        <v>0.24250000000000005</v>
      </c>
      <c r="E64" s="4">
        <v>0.3024</v>
      </c>
      <c r="F64" s="4">
        <f t="shared" si="1"/>
        <v>0.6976</v>
      </c>
      <c r="G64" t="s">
        <v>13</v>
      </c>
    </row>
    <row r="65" spans="1:7" x14ac:dyDescent="0.25">
      <c r="A65" s="2">
        <v>153.21</v>
      </c>
      <c r="B65" s="8">
        <v>17.236999999999998</v>
      </c>
      <c r="C65" s="4">
        <v>0.7157</v>
      </c>
      <c r="D65" s="4">
        <f t="shared" si="0"/>
        <v>0.2843</v>
      </c>
      <c r="E65" s="4">
        <v>0.32240000000000002</v>
      </c>
      <c r="F65" s="4">
        <f t="shared" si="1"/>
        <v>0.67759999999999998</v>
      </c>
      <c r="G65" t="s">
        <v>13</v>
      </c>
    </row>
    <row r="66" spans="1:7" x14ac:dyDescent="0.25">
      <c r="A66" s="2">
        <v>153.21</v>
      </c>
      <c r="B66" s="8">
        <v>19.099</v>
      </c>
      <c r="C66" s="4">
        <v>0.66149999999999998</v>
      </c>
      <c r="D66" s="4">
        <f t="shared" si="0"/>
        <v>0.33850000000000002</v>
      </c>
      <c r="E66" s="4">
        <v>0.3594</v>
      </c>
      <c r="F66" s="4">
        <f t="shared" si="1"/>
        <v>0.64060000000000006</v>
      </c>
      <c r="G66" t="s">
        <v>13</v>
      </c>
    </row>
    <row r="67" spans="1:7" x14ac:dyDescent="0.25">
      <c r="A67" s="2">
        <v>153.21</v>
      </c>
      <c r="B67" s="8">
        <v>19.890999999999998</v>
      </c>
      <c r="C67" s="4">
        <v>0.62270000000000003</v>
      </c>
      <c r="D67" s="4">
        <f t="shared" ref="D67:D130" si="2">1-C67</f>
        <v>0.37729999999999997</v>
      </c>
      <c r="E67" s="4">
        <v>0.38569999999999999</v>
      </c>
      <c r="F67" s="4">
        <f t="shared" ref="F67:F130" si="3">1-E67</f>
        <v>0.61430000000000007</v>
      </c>
      <c r="G67" t="s">
        <v>13</v>
      </c>
    </row>
    <row r="68" spans="1:7" x14ac:dyDescent="0.25">
      <c r="A68" s="2">
        <v>153.21</v>
      </c>
      <c r="B68" s="8">
        <v>20.271000000000001</v>
      </c>
      <c r="C68" s="4">
        <v>0.60360000000000003</v>
      </c>
      <c r="D68" s="4">
        <f t="shared" si="2"/>
        <v>0.39639999999999997</v>
      </c>
      <c r="E68" s="4">
        <v>0.4027</v>
      </c>
      <c r="F68" s="4">
        <f t="shared" si="3"/>
        <v>0.59729999999999994</v>
      </c>
      <c r="G68" t="s">
        <v>13</v>
      </c>
    </row>
    <row r="69" spans="1:7" x14ac:dyDescent="0.25">
      <c r="A69" s="2">
        <v>153.21</v>
      </c>
      <c r="B69" s="8">
        <v>20.512</v>
      </c>
      <c r="C69" s="4">
        <v>0.58689999999999998</v>
      </c>
      <c r="D69" s="4">
        <f t="shared" si="2"/>
        <v>0.41310000000000002</v>
      </c>
      <c r="E69" s="4">
        <v>0.42299999999999999</v>
      </c>
      <c r="F69" s="4">
        <f t="shared" si="3"/>
        <v>0.57699999999999996</v>
      </c>
      <c r="G69" t="s">
        <v>13</v>
      </c>
    </row>
    <row r="70" spans="1:7" x14ac:dyDescent="0.25">
      <c r="A70" s="2">
        <v>153.21</v>
      </c>
      <c r="B70" s="8">
        <v>20.719000000000001</v>
      </c>
      <c r="C70" s="4">
        <v>0.55659999999999998</v>
      </c>
      <c r="D70" s="4">
        <f t="shared" si="2"/>
        <v>0.44340000000000002</v>
      </c>
      <c r="E70" s="4">
        <v>0.44319999999999998</v>
      </c>
      <c r="F70" s="4">
        <f t="shared" si="3"/>
        <v>0.55679999999999996</v>
      </c>
      <c r="G70" t="s">
        <v>13</v>
      </c>
    </row>
    <row r="71" spans="1:7" x14ac:dyDescent="0.25">
      <c r="A71" s="2">
        <v>153.21</v>
      </c>
      <c r="B71" s="8">
        <v>20.821999999999999</v>
      </c>
      <c r="C71" s="4"/>
      <c r="D71" s="4"/>
      <c r="E71" s="4">
        <v>0.48430000000000001</v>
      </c>
      <c r="F71" s="4">
        <f t="shared" si="3"/>
        <v>0.51570000000000005</v>
      </c>
      <c r="G71" t="s">
        <v>13</v>
      </c>
    </row>
    <row r="72" spans="1:7" x14ac:dyDescent="0.25">
      <c r="A72" s="2">
        <v>143.47999999999999</v>
      </c>
      <c r="B72" s="8">
        <v>0.751</v>
      </c>
      <c r="C72" s="4">
        <v>1</v>
      </c>
      <c r="D72" s="4">
        <f t="shared" si="2"/>
        <v>0</v>
      </c>
      <c r="E72" s="4">
        <v>1</v>
      </c>
      <c r="F72" s="4">
        <f t="shared" si="3"/>
        <v>0</v>
      </c>
      <c r="G72" t="s">
        <v>13</v>
      </c>
    </row>
    <row r="73" spans="1:7" x14ac:dyDescent="0.25">
      <c r="A73" s="2">
        <v>143.47999999999999</v>
      </c>
      <c r="B73" s="8">
        <v>1.3859999999999999</v>
      </c>
      <c r="C73" s="4">
        <v>0.99209999999999998</v>
      </c>
      <c r="D73" s="4">
        <f t="shared" si="2"/>
        <v>7.9000000000000181E-3</v>
      </c>
      <c r="E73" s="4">
        <v>0.60119999999999996</v>
      </c>
      <c r="F73" s="4">
        <f t="shared" si="3"/>
        <v>0.39880000000000004</v>
      </c>
      <c r="G73" t="s">
        <v>13</v>
      </c>
    </row>
    <row r="74" spans="1:7" x14ac:dyDescent="0.25">
      <c r="A74" s="2">
        <v>143.47999999999999</v>
      </c>
      <c r="B74" s="8">
        <v>3.4510000000000001</v>
      </c>
      <c r="C74" s="4">
        <v>0.96340000000000003</v>
      </c>
      <c r="D74" s="4">
        <f t="shared" si="2"/>
        <v>3.6599999999999966E-2</v>
      </c>
      <c r="E74" s="4">
        <v>0.30380000000000001</v>
      </c>
      <c r="F74" s="4">
        <f t="shared" si="3"/>
        <v>0.69619999999999993</v>
      </c>
      <c r="G74" t="s">
        <v>13</v>
      </c>
    </row>
    <row r="75" spans="1:7" x14ac:dyDescent="0.25">
      <c r="A75" s="2">
        <v>143.47999999999999</v>
      </c>
      <c r="B75" s="8">
        <v>4.1539999999999999</v>
      </c>
      <c r="C75" s="4">
        <v>0.95389999999999997</v>
      </c>
      <c r="D75" s="4">
        <f t="shared" si="2"/>
        <v>4.610000000000003E-2</v>
      </c>
      <c r="E75" s="4">
        <v>0.26929999999999998</v>
      </c>
      <c r="F75" s="4">
        <f t="shared" si="3"/>
        <v>0.73070000000000002</v>
      </c>
      <c r="G75" t="s">
        <v>13</v>
      </c>
    </row>
    <row r="76" spans="1:7" x14ac:dyDescent="0.25">
      <c r="A76" s="2">
        <v>143.47999999999999</v>
      </c>
      <c r="B76" s="8">
        <v>5.5259999999999998</v>
      </c>
      <c r="C76" s="4">
        <v>0.93430000000000002</v>
      </c>
      <c r="D76" s="4">
        <f t="shared" si="2"/>
        <v>6.5699999999999981E-2</v>
      </c>
      <c r="E76" s="4">
        <v>0.2303</v>
      </c>
      <c r="F76" s="4">
        <f t="shared" si="3"/>
        <v>0.76970000000000005</v>
      </c>
      <c r="G76" t="s">
        <v>13</v>
      </c>
    </row>
    <row r="77" spans="1:7" x14ac:dyDescent="0.25">
      <c r="A77" s="2">
        <v>143.47999999999999</v>
      </c>
      <c r="B77" s="8">
        <v>6.891</v>
      </c>
      <c r="C77" s="4">
        <v>0.91579999999999995</v>
      </c>
      <c r="D77" s="4">
        <f t="shared" si="2"/>
        <v>8.4200000000000053E-2</v>
      </c>
      <c r="E77" s="4">
        <v>0.20910000000000001</v>
      </c>
      <c r="F77" s="4">
        <f t="shared" si="3"/>
        <v>0.79089999999999994</v>
      </c>
      <c r="G77" t="s">
        <v>13</v>
      </c>
    </row>
    <row r="78" spans="1:7" x14ac:dyDescent="0.25">
      <c r="A78" s="2">
        <v>143.47999999999999</v>
      </c>
      <c r="B78" s="8">
        <v>8.2739999999999991</v>
      </c>
      <c r="C78" s="4">
        <v>0.89810000000000001</v>
      </c>
      <c r="D78" s="4">
        <f t="shared" si="2"/>
        <v>0.10189999999999999</v>
      </c>
      <c r="E78" s="4">
        <v>0.1938</v>
      </c>
      <c r="F78" s="4">
        <f t="shared" si="3"/>
        <v>0.80620000000000003</v>
      </c>
      <c r="G78" t="s">
        <v>13</v>
      </c>
    </row>
    <row r="79" spans="1:7" x14ac:dyDescent="0.25">
      <c r="A79" s="2">
        <v>143.47999999999999</v>
      </c>
      <c r="B79" s="8">
        <v>8.6180000000000003</v>
      </c>
      <c r="C79" s="4">
        <v>0.89329999999999998</v>
      </c>
      <c r="D79" s="4">
        <f t="shared" si="2"/>
        <v>0.10670000000000002</v>
      </c>
      <c r="E79" s="4">
        <v>0.19670000000000001</v>
      </c>
      <c r="F79" s="4">
        <f t="shared" si="3"/>
        <v>0.80330000000000001</v>
      </c>
      <c r="G79" t="s">
        <v>13</v>
      </c>
    </row>
    <row r="80" spans="1:7" x14ac:dyDescent="0.25">
      <c r="A80" s="2">
        <v>143.47999999999999</v>
      </c>
      <c r="B80" s="8">
        <v>10.342000000000001</v>
      </c>
      <c r="C80" s="4">
        <v>0.87170000000000003</v>
      </c>
      <c r="D80" s="4">
        <f t="shared" si="2"/>
        <v>0.12829999999999997</v>
      </c>
      <c r="E80" s="4">
        <v>0.19170000000000001</v>
      </c>
      <c r="F80" s="4">
        <f t="shared" si="3"/>
        <v>0.80830000000000002</v>
      </c>
      <c r="G80" t="s">
        <v>13</v>
      </c>
    </row>
    <row r="81" spans="1:7" x14ac:dyDescent="0.25">
      <c r="A81" s="2">
        <v>143.47999999999999</v>
      </c>
      <c r="B81" s="8">
        <v>13.789</v>
      </c>
      <c r="C81" s="4">
        <v>0.8206</v>
      </c>
      <c r="D81" s="4">
        <f t="shared" si="2"/>
        <v>0.1794</v>
      </c>
      <c r="E81" s="4">
        <v>0.19370000000000001</v>
      </c>
      <c r="F81" s="4">
        <f t="shared" si="3"/>
        <v>0.80630000000000002</v>
      </c>
      <c r="G81" t="s">
        <v>13</v>
      </c>
    </row>
    <row r="82" spans="1:7" x14ac:dyDescent="0.25">
      <c r="A82" s="2">
        <v>143.47999999999999</v>
      </c>
      <c r="B82" s="8">
        <v>17.236999999999998</v>
      </c>
      <c r="C82" s="4">
        <v>0.76339999999999997</v>
      </c>
      <c r="D82" s="4">
        <f t="shared" si="2"/>
        <v>0.23660000000000003</v>
      </c>
      <c r="E82" s="4">
        <v>0.2099</v>
      </c>
      <c r="F82" s="4">
        <f t="shared" si="3"/>
        <v>0.79010000000000002</v>
      </c>
      <c r="G82" t="s">
        <v>13</v>
      </c>
    </row>
    <row r="83" spans="1:7" x14ac:dyDescent="0.25">
      <c r="A83" s="2">
        <v>143.47999999999999</v>
      </c>
      <c r="B83" s="8">
        <v>20.684000000000001</v>
      </c>
      <c r="C83" s="4">
        <v>0.70169999999999999</v>
      </c>
      <c r="D83" s="4">
        <f t="shared" si="2"/>
        <v>0.29830000000000001</v>
      </c>
      <c r="E83" s="4">
        <v>0.23910000000000001</v>
      </c>
      <c r="F83" s="4">
        <f t="shared" si="3"/>
        <v>0.76090000000000002</v>
      </c>
      <c r="G83" t="s">
        <v>13</v>
      </c>
    </row>
    <row r="84" spans="1:7" x14ac:dyDescent="0.25">
      <c r="A84" s="2">
        <v>143.47999999999999</v>
      </c>
      <c r="B84" s="8">
        <v>22.408000000000001</v>
      </c>
      <c r="C84" s="4">
        <v>0.6673</v>
      </c>
      <c r="D84" s="4">
        <f t="shared" si="2"/>
        <v>0.3327</v>
      </c>
      <c r="E84" s="4">
        <v>0.2606</v>
      </c>
      <c r="F84" s="4">
        <f t="shared" si="3"/>
        <v>0.73940000000000006</v>
      </c>
      <c r="G84" t="s">
        <v>13</v>
      </c>
    </row>
    <row r="85" spans="1:7" x14ac:dyDescent="0.25">
      <c r="A85" s="2">
        <v>143.47999999999999</v>
      </c>
      <c r="B85" s="8">
        <v>24.132000000000001</v>
      </c>
      <c r="C85" s="4">
        <v>0.62119999999999997</v>
      </c>
      <c r="D85" s="4">
        <f t="shared" si="2"/>
        <v>0.37880000000000003</v>
      </c>
      <c r="E85" s="4">
        <v>0.2898</v>
      </c>
      <c r="F85" s="4">
        <f t="shared" si="3"/>
        <v>0.71019999999999994</v>
      </c>
      <c r="G85" t="s">
        <v>13</v>
      </c>
    </row>
    <row r="86" spans="1:7" x14ac:dyDescent="0.25">
      <c r="A86" s="2">
        <v>143.47999999999999</v>
      </c>
      <c r="B86" s="8">
        <v>25.864999999999998</v>
      </c>
      <c r="C86" s="4">
        <v>0.53920000000000001</v>
      </c>
      <c r="D86" s="4">
        <f t="shared" si="2"/>
        <v>0.46079999999999999</v>
      </c>
      <c r="E86" s="4">
        <v>0.3553</v>
      </c>
      <c r="F86" s="4">
        <f t="shared" si="3"/>
        <v>0.64470000000000005</v>
      </c>
      <c r="G86" t="s">
        <v>13</v>
      </c>
    </row>
    <row r="87" spans="1:7" x14ac:dyDescent="0.25">
      <c r="A87" s="2">
        <v>143.47999999999999</v>
      </c>
      <c r="B87" s="8">
        <v>26.303000000000001</v>
      </c>
      <c r="C87" s="4">
        <v>0.51080000000000003</v>
      </c>
      <c r="D87" s="4">
        <f t="shared" si="2"/>
        <v>0.48919999999999997</v>
      </c>
      <c r="E87" s="4">
        <v>0.38329999999999997</v>
      </c>
      <c r="F87" s="4">
        <f t="shared" si="3"/>
        <v>0.61670000000000003</v>
      </c>
      <c r="G87" t="s">
        <v>13</v>
      </c>
    </row>
    <row r="88" spans="1:7" x14ac:dyDescent="0.25">
      <c r="A88" s="2">
        <v>143.47999999999999</v>
      </c>
      <c r="B88" s="8">
        <v>26.407</v>
      </c>
      <c r="C88" s="4"/>
      <c r="D88" s="4"/>
      <c r="E88" s="4">
        <v>0.39539999999999997</v>
      </c>
      <c r="F88" s="4">
        <f t="shared" si="3"/>
        <v>0.60460000000000003</v>
      </c>
      <c r="G88" t="s">
        <v>13</v>
      </c>
    </row>
    <row r="89" spans="1:7" x14ac:dyDescent="0.25">
      <c r="A89" s="2">
        <v>133.13999999999999</v>
      </c>
      <c r="B89" s="8">
        <v>0.442</v>
      </c>
      <c r="C89" s="4">
        <v>1</v>
      </c>
      <c r="D89" s="4">
        <f t="shared" si="2"/>
        <v>0</v>
      </c>
      <c r="E89" s="4">
        <v>1</v>
      </c>
      <c r="F89" s="4">
        <f t="shared" si="3"/>
        <v>0</v>
      </c>
      <c r="G89" t="s">
        <v>13</v>
      </c>
    </row>
    <row r="90" spans="1:7" x14ac:dyDescent="0.25">
      <c r="A90" s="2">
        <v>133.13999999999999</v>
      </c>
      <c r="B90" s="8">
        <v>2.754</v>
      </c>
      <c r="C90" s="4">
        <v>0.97319999999999995</v>
      </c>
      <c r="D90" s="4">
        <f t="shared" si="2"/>
        <v>2.6800000000000046E-2</v>
      </c>
      <c r="E90" s="4">
        <v>0.22</v>
      </c>
      <c r="F90" s="4">
        <f t="shared" si="3"/>
        <v>0.78</v>
      </c>
      <c r="G90" t="s">
        <v>13</v>
      </c>
    </row>
    <row r="91" spans="1:7" x14ac:dyDescent="0.25">
      <c r="A91" s="2">
        <v>133.13999999999999</v>
      </c>
      <c r="B91" s="8">
        <v>3.5510000000000002</v>
      </c>
      <c r="C91" s="4">
        <v>0.96240000000000003</v>
      </c>
      <c r="D91" s="4">
        <f t="shared" si="2"/>
        <v>3.7599999999999967E-2</v>
      </c>
      <c r="E91" s="4">
        <v>0.18390000000000001</v>
      </c>
      <c r="F91" s="4">
        <f t="shared" si="3"/>
        <v>0.81610000000000005</v>
      </c>
      <c r="G91" t="s">
        <v>13</v>
      </c>
    </row>
    <row r="92" spans="1:7" x14ac:dyDescent="0.25">
      <c r="A92" s="2">
        <v>133.13999999999999</v>
      </c>
      <c r="B92" s="8">
        <v>4.1399999999999997</v>
      </c>
      <c r="C92" s="4">
        <v>0.95640000000000003</v>
      </c>
      <c r="D92" s="4">
        <f t="shared" si="2"/>
        <v>4.3599999999999972E-2</v>
      </c>
      <c r="E92" s="4">
        <v>0.16880000000000001</v>
      </c>
      <c r="F92" s="4">
        <f t="shared" si="3"/>
        <v>0.83119999999999994</v>
      </c>
      <c r="G92" t="s">
        <v>13</v>
      </c>
    </row>
    <row r="93" spans="1:7" x14ac:dyDescent="0.25">
      <c r="A93" s="2">
        <v>133.13999999999999</v>
      </c>
      <c r="B93" s="8">
        <v>5.5190000000000001</v>
      </c>
      <c r="C93" s="4">
        <v>0.93959999999999999</v>
      </c>
      <c r="D93" s="4">
        <f t="shared" si="2"/>
        <v>6.0400000000000009E-2</v>
      </c>
      <c r="E93" s="4">
        <v>0.1457</v>
      </c>
      <c r="F93" s="4">
        <f t="shared" si="3"/>
        <v>0.85430000000000006</v>
      </c>
      <c r="G93" t="s">
        <v>13</v>
      </c>
    </row>
    <row r="94" spans="1:7" x14ac:dyDescent="0.25">
      <c r="A94" s="2">
        <v>133.13999999999999</v>
      </c>
      <c r="B94" s="8">
        <v>6.86</v>
      </c>
      <c r="C94" s="4">
        <v>0.92620000000000002</v>
      </c>
      <c r="D94" s="4">
        <f t="shared" si="2"/>
        <v>7.3799999999999977E-2</v>
      </c>
      <c r="E94" s="4">
        <v>0.13370000000000001</v>
      </c>
      <c r="F94" s="4">
        <f t="shared" si="3"/>
        <v>0.86629999999999996</v>
      </c>
      <c r="G94" t="s">
        <v>13</v>
      </c>
    </row>
    <row r="95" spans="1:7" x14ac:dyDescent="0.25">
      <c r="A95" s="2">
        <v>133.13999999999999</v>
      </c>
      <c r="B95" s="8">
        <v>6.9530000000000003</v>
      </c>
      <c r="C95" s="4">
        <v>0.9224</v>
      </c>
      <c r="D95" s="4">
        <f t="shared" si="2"/>
        <v>7.7600000000000002E-2</v>
      </c>
      <c r="E95" s="4">
        <v>0.13420000000000001</v>
      </c>
      <c r="F95" s="4">
        <f t="shared" si="3"/>
        <v>0.86580000000000001</v>
      </c>
      <c r="G95" t="s">
        <v>13</v>
      </c>
    </row>
    <row r="96" spans="1:7" x14ac:dyDescent="0.25">
      <c r="A96" s="2">
        <v>133.13999999999999</v>
      </c>
      <c r="B96" s="8">
        <v>9.6419999999999995</v>
      </c>
      <c r="C96" s="4">
        <v>0.89319999999999999</v>
      </c>
      <c r="D96" s="4">
        <f t="shared" si="2"/>
        <v>0.10680000000000001</v>
      </c>
      <c r="E96" s="4">
        <v>0.1249</v>
      </c>
      <c r="F96" s="4">
        <f t="shared" si="3"/>
        <v>0.87509999999999999</v>
      </c>
      <c r="G96" t="s">
        <v>13</v>
      </c>
    </row>
    <row r="97" spans="1:7" x14ac:dyDescent="0.25">
      <c r="A97" s="2">
        <v>133.13999999999999</v>
      </c>
      <c r="B97" s="8">
        <v>13.755000000000001</v>
      </c>
      <c r="C97" s="4">
        <v>0.85119999999999996</v>
      </c>
      <c r="D97" s="4">
        <f t="shared" si="2"/>
        <v>0.14880000000000004</v>
      </c>
      <c r="E97" s="4">
        <v>0.12889999999999999</v>
      </c>
      <c r="F97" s="4">
        <f t="shared" si="3"/>
        <v>0.87109999999999999</v>
      </c>
      <c r="G97" t="s">
        <v>13</v>
      </c>
    </row>
    <row r="98" spans="1:7" x14ac:dyDescent="0.25">
      <c r="A98" s="2">
        <v>133.13999999999999</v>
      </c>
      <c r="B98" s="8">
        <v>17.236999999999998</v>
      </c>
      <c r="C98" s="4">
        <v>0.80279999999999996</v>
      </c>
      <c r="D98" s="4">
        <f t="shared" si="2"/>
        <v>0.19720000000000004</v>
      </c>
      <c r="E98" s="4">
        <v>0.1411</v>
      </c>
      <c r="F98" s="4">
        <f t="shared" si="3"/>
        <v>0.8589</v>
      </c>
      <c r="G98" t="s">
        <v>13</v>
      </c>
    </row>
    <row r="99" spans="1:7" x14ac:dyDescent="0.25">
      <c r="A99" s="2">
        <v>133.13999999999999</v>
      </c>
      <c r="B99" s="8">
        <v>20.739000000000001</v>
      </c>
      <c r="C99" s="4">
        <v>0.76149999999999995</v>
      </c>
      <c r="D99" s="4">
        <f t="shared" si="2"/>
        <v>0.23850000000000005</v>
      </c>
      <c r="E99" s="4">
        <v>0.159</v>
      </c>
      <c r="F99" s="4">
        <f t="shared" si="3"/>
        <v>0.84099999999999997</v>
      </c>
      <c r="G99" t="s">
        <v>13</v>
      </c>
    </row>
    <row r="100" spans="1:7" x14ac:dyDescent="0.25">
      <c r="A100" s="2">
        <v>133.13999999999999</v>
      </c>
      <c r="B100" s="8">
        <v>24.132000000000001</v>
      </c>
      <c r="C100" s="4">
        <v>0.70409999999999995</v>
      </c>
      <c r="D100" s="4">
        <f t="shared" si="2"/>
        <v>0.29590000000000005</v>
      </c>
      <c r="E100" s="4">
        <v>0.1799</v>
      </c>
      <c r="F100" s="4">
        <f t="shared" si="3"/>
        <v>0.82010000000000005</v>
      </c>
      <c r="G100" t="s">
        <v>13</v>
      </c>
    </row>
    <row r="101" spans="1:7" x14ac:dyDescent="0.25">
      <c r="A101" s="2">
        <v>133.13999999999999</v>
      </c>
      <c r="B101" s="8">
        <v>27.58</v>
      </c>
      <c r="C101" s="4">
        <v>0.64349999999999996</v>
      </c>
      <c r="D101" s="4">
        <f t="shared" si="2"/>
        <v>0.35650000000000004</v>
      </c>
      <c r="E101" s="4">
        <v>0.21060000000000001</v>
      </c>
      <c r="F101" s="4">
        <f t="shared" si="3"/>
        <v>0.78939999999999999</v>
      </c>
      <c r="G101" t="s">
        <v>13</v>
      </c>
    </row>
    <row r="102" spans="1:7" x14ac:dyDescent="0.25">
      <c r="A102" s="2">
        <v>123.05</v>
      </c>
      <c r="B102" s="8">
        <v>0.23699999999999999</v>
      </c>
      <c r="C102" s="4">
        <v>1</v>
      </c>
      <c r="D102" s="4">
        <f t="shared" si="2"/>
        <v>0</v>
      </c>
      <c r="E102" s="4">
        <v>1</v>
      </c>
      <c r="F102" s="4">
        <f t="shared" si="3"/>
        <v>0</v>
      </c>
      <c r="G102" t="s">
        <v>13</v>
      </c>
    </row>
    <row r="103" spans="1:7" x14ac:dyDescent="0.25">
      <c r="A103" s="2">
        <v>123.05</v>
      </c>
      <c r="B103" s="8">
        <v>4.516</v>
      </c>
      <c r="C103" s="4">
        <v>0.95609999999999995</v>
      </c>
      <c r="D103" s="4">
        <f t="shared" si="2"/>
        <v>4.390000000000005E-2</v>
      </c>
      <c r="E103" s="4">
        <v>9.1200000000000003E-2</v>
      </c>
      <c r="F103" s="4">
        <f t="shared" si="3"/>
        <v>0.90880000000000005</v>
      </c>
      <c r="G103" t="s">
        <v>13</v>
      </c>
    </row>
    <row r="104" spans="1:7" x14ac:dyDescent="0.25">
      <c r="A104" s="2">
        <v>123.05</v>
      </c>
      <c r="B104" s="8">
        <v>5.516</v>
      </c>
      <c r="C104" s="4">
        <v>0.9446</v>
      </c>
      <c r="D104" s="4">
        <f t="shared" si="2"/>
        <v>5.5400000000000005E-2</v>
      </c>
      <c r="E104" s="4">
        <v>8.4830000000000003E-2</v>
      </c>
      <c r="F104" s="4">
        <f t="shared" si="3"/>
        <v>0.91517000000000004</v>
      </c>
      <c r="G104" t="s">
        <v>13</v>
      </c>
    </row>
    <row r="105" spans="1:7" x14ac:dyDescent="0.25">
      <c r="A105" s="2">
        <v>123.05</v>
      </c>
      <c r="B105" s="8">
        <v>5.8949999999999996</v>
      </c>
      <c r="C105" s="4">
        <v>0.93889999999999996</v>
      </c>
      <c r="D105" s="4">
        <f t="shared" si="2"/>
        <v>6.1100000000000043E-2</v>
      </c>
      <c r="E105" s="4">
        <v>8.2199999999999995E-2</v>
      </c>
      <c r="F105" s="4">
        <f t="shared" si="3"/>
        <v>0.91779999999999995</v>
      </c>
      <c r="G105" t="s">
        <v>13</v>
      </c>
    </row>
    <row r="106" spans="1:7" x14ac:dyDescent="0.25">
      <c r="A106" s="2">
        <v>123.05</v>
      </c>
      <c r="B106" s="8">
        <v>6.8949999999999996</v>
      </c>
      <c r="C106" s="4">
        <v>0.93089999999999995</v>
      </c>
      <c r="D106" s="4">
        <f t="shared" si="2"/>
        <v>6.910000000000005E-2</v>
      </c>
      <c r="E106" s="4">
        <v>7.9439999999999997E-2</v>
      </c>
      <c r="F106" s="4">
        <f t="shared" si="3"/>
        <v>0.92056000000000004</v>
      </c>
      <c r="G106" t="s">
        <v>13</v>
      </c>
    </row>
    <row r="107" spans="1:7" x14ac:dyDescent="0.25">
      <c r="A107" s="2">
        <v>123.05</v>
      </c>
      <c r="B107" s="8">
        <v>6.8949999999999996</v>
      </c>
      <c r="C107" s="4">
        <v>0.93069999999999997</v>
      </c>
      <c r="D107" s="4">
        <f t="shared" si="2"/>
        <v>6.9300000000000028E-2</v>
      </c>
      <c r="E107" s="4">
        <v>7.8899999999999998E-2</v>
      </c>
      <c r="F107" s="4">
        <f t="shared" si="3"/>
        <v>0.92110000000000003</v>
      </c>
      <c r="G107" t="s">
        <v>13</v>
      </c>
    </row>
    <row r="108" spans="1:7" x14ac:dyDescent="0.25">
      <c r="A108" s="2">
        <v>123.05</v>
      </c>
      <c r="B108" s="8">
        <v>8.6180000000000003</v>
      </c>
      <c r="C108" s="4">
        <v>0.91590000000000005</v>
      </c>
      <c r="D108" s="4">
        <f t="shared" si="2"/>
        <v>8.4099999999999953E-2</v>
      </c>
      <c r="E108" s="4">
        <v>7.8299999999999995E-2</v>
      </c>
      <c r="F108" s="4">
        <f t="shared" si="3"/>
        <v>0.92169999999999996</v>
      </c>
      <c r="G108" t="s">
        <v>13</v>
      </c>
    </row>
    <row r="109" spans="1:7" x14ac:dyDescent="0.25">
      <c r="A109" s="2">
        <v>123.05</v>
      </c>
      <c r="B109" s="8">
        <v>10.342000000000001</v>
      </c>
      <c r="C109" s="4">
        <v>0.89629999999999999</v>
      </c>
      <c r="D109" s="4">
        <f t="shared" si="2"/>
        <v>0.10370000000000001</v>
      </c>
      <c r="E109" s="4">
        <v>7.6749999999999999E-2</v>
      </c>
      <c r="F109" s="4">
        <f t="shared" si="3"/>
        <v>0.92325000000000002</v>
      </c>
      <c r="G109" t="s">
        <v>13</v>
      </c>
    </row>
    <row r="110" spans="1:7" x14ac:dyDescent="0.25">
      <c r="A110" s="2">
        <v>123.05</v>
      </c>
      <c r="B110" s="8">
        <v>13.845000000000001</v>
      </c>
      <c r="C110" s="4">
        <v>0.8589</v>
      </c>
      <c r="D110" s="4">
        <f t="shared" si="2"/>
        <v>0.1411</v>
      </c>
      <c r="E110" s="4">
        <v>8.0689999999999998E-2</v>
      </c>
      <c r="F110" s="4">
        <f t="shared" si="3"/>
        <v>0.91930999999999996</v>
      </c>
      <c r="G110" t="s">
        <v>13</v>
      </c>
    </row>
    <row r="111" spans="1:7" x14ac:dyDescent="0.25">
      <c r="A111" s="2">
        <v>123.05</v>
      </c>
      <c r="B111" s="8">
        <v>13.858000000000001</v>
      </c>
      <c r="C111" s="4">
        <v>0.85980000000000001</v>
      </c>
      <c r="D111" s="4">
        <f t="shared" si="2"/>
        <v>0.14019999999999999</v>
      </c>
      <c r="E111" s="4">
        <v>8.1699999999999995E-2</v>
      </c>
      <c r="F111" s="4">
        <f t="shared" si="3"/>
        <v>0.91830000000000001</v>
      </c>
      <c r="G111" t="s">
        <v>13</v>
      </c>
    </row>
    <row r="112" spans="1:7" x14ac:dyDescent="0.25">
      <c r="A112" s="2">
        <v>123.05</v>
      </c>
      <c r="B112" s="8">
        <v>17.202000000000002</v>
      </c>
      <c r="C112" s="4">
        <v>0.8276</v>
      </c>
      <c r="D112" s="4">
        <f t="shared" si="2"/>
        <v>0.1724</v>
      </c>
      <c r="E112" s="4">
        <v>9.0200000000000002E-2</v>
      </c>
      <c r="F112" s="4">
        <f t="shared" si="3"/>
        <v>0.90979999999999994</v>
      </c>
      <c r="G112" t="s">
        <v>13</v>
      </c>
    </row>
    <row r="113" spans="1:7" x14ac:dyDescent="0.25">
      <c r="A113" s="2">
        <v>123.05</v>
      </c>
      <c r="B113" s="8">
        <v>20.614999999999998</v>
      </c>
      <c r="C113" s="4">
        <v>0.78539999999999999</v>
      </c>
      <c r="D113" s="4">
        <f t="shared" si="2"/>
        <v>0.21460000000000001</v>
      </c>
      <c r="E113" s="4">
        <v>0.10050000000000001</v>
      </c>
      <c r="F113" s="4">
        <f t="shared" si="3"/>
        <v>0.89949999999999997</v>
      </c>
      <c r="G113" t="s">
        <v>13</v>
      </c>
    </row>
    <row r="114" spans="1:7" x14ac:dyDescent="0.25">
      <c r="A114" s="2">
        <v>118.19</v>
      </c>
      <c r="B114" s="8">
        <v>0.16800000000000001</v>
      </c>
      <c r="C114" s="4">
        <v>1</v>
      </c>
      <c r="D114" s="4">
        <f t="shared" si="2"/>
        <v>0</v>
      </c>
      <c r="E114" s="4">
        <v>1</v>
      </c>
      <c r="F114" s="4">
        <f t="shared" si="3"/>
        <v>0</v>
      </c>
      <c r="G114" t="s">
        <v>13</v>
      </c>
    </row>
    <row r="115" spans="1:7" x14ac:dyDescent="0.25">
      <c r="A115" s="2">
        <v>118.19</v>
      </c>
      <c r="B115" s="8">
        <v>4.1710000000000003</v>
      </c>
      <c r="C115" s="4">
        <v>0.96140000000000003</v>
      </c>
      <c r="D115" s="4">
        <f t="shared" si="2"/>
        <v>3.8599999999999968E-2</v>
      </c>
      <c r="E115" s="4">
        <v>7.1650000000000005E-2</v>
      </c>
      <c r="F115" s="4">
        <f t="shared" si="3"/>
        <v>0.92835000000000001</v>
      </c>
      <c r="G115" t="s">
        <v>13</v>
      </c>
    </row>
    <row r="116" spans="1:7" x14ac:dyDescent="0.25">
      <c r="A116" s="2">
        <v>118.19</v>
      </c>
      <c r="B116" s="8">
        <v>5.5430000000000001</v>
      </c>
      <c r="C116" s="4">
        <v>0.94820000000000004</v>
      </c>
      <c r="D116" s="4">
        <f t="shared" si="2"/>
        <v>5.1799999999999957E-2</v>
      </c>
      <c r="E116" s="4">
        <v>6.4600000000000005E-2</v>
      </c>
      <c r="F116" s="4">
        <f t="shared" si="3"/>
        <v>0.93540000000000001</v>
      </c>
      <c r="G116" t="s">
        <v>13</v>
      </c>
    </row>
    <row r="117" spans="1:7" x14ac:dyDescent="0.25">
      <c r="A117" s="2">
        <v>118.19</v>
      </c>
      <c r="B117" s="8">
        <v>6.9219999999999997</v>
      </c>
      <c r="C117" s="4">
        <v>0.93379999999999996</v>
      </c>
      <c r="D117" s="4">
        <f t="shared" si="2"/>
        <v>6.6200000000000037E-2</v>
      </c>
      <c r="E117" s="4">
        <v>6.028E-2</v>
      </c>
      <c r="F117" s="4">
        <f t="shared" si="3"/>
        <v>0.93972</v>
      </c>
      <c r="G117" t="s">
        <v>13</v>
      </c>
    </row>
    <row r="118" spans="1:7" x14ac:dyDescent="0.25">
      <c r="A118" s="2">
        <v>118.19</v>
      </c>
      <c r="B118" s="8">
        <v>10.342000000000001</v>
      </c>
      <c r="C118" s="4">
        <v>0.90249999999999997</v>
      </c>
      <c r="D118" s="4">
        <f t="shared" si="2"/>
        <v>9.7500000000000031E-2</v>
      </c>
      <c r="E118" s="4">
        <v>5.9029999999999999E-2</v>
      </c>
      <c r="F118" s="4">
        <f t="shared" si="3"/>
        <v>0.94096999999999997</v>
      </c>
      <c r="G118" t="s">
        <v>13</v>
      </c>
    </row>
    <row r="119" spans="1:7" x14ac:dyDescent="0.25">
      <c r="A119" s="2">
        <v>118.19</v>
      </c>
      <c r="B119" s="8">
        <v>13.824</v>
      </c>
      <c r="C119" s="4">
        <v>0.86960000000000004</v>
      </c>
      <c r="D119" s="4">
        <f t="shared" si="2"/>
        <v>0.13039999999999996</v>
      </c>
      <c r="E119" s="4">
        <v>6.4750000000000002E-2</v>
      </c>
      <c r="F119" s="4">
        <f t="shared" si="3"/>
        <v>0.93525000000000003</v>
      </c>
      <c r="G119" t="s">
        <v>13</v>
      </c>
    </row>
    <row r="120" spans="1:7" x14ac:dyDescent="0.25">
      <c r="A120" s="2">
        <v>118.19</v>
      </c>
      <c r="B120" s="8">
        <v>17.236999999999998</v>
      </c>
      <c r="C120" s="4">
        <v>0.83889999999999998</v>
      </c>
      <c r="D120" s="4">
        <f t="shared" si="2"/>
        <v>0.16110000000000002</v>
      </c>
      <c r="E120" s="4">
        <v>7.1459999999999996E-2</v>
      </c>
      <c r="F120" s="4">
        <f t="shared" si="3"/>
        <v>0.92854000000000003</v>
      </c>
      <c r="G120" t="s">
        <v>13</v>
      </c>
    </row>
    <row r="121" spans="1:7" x14ac:dyDescent="0.25">
      <c r="A121" s="2">
        <v>118.19</v>
      </c>
      <c r="B121" s="8">
        <v>20.684000000000001</v>
      </c>
      <c r="C121" s="4">
        <v>0.8075</v>
      </c>
      <c r="D121" s="4">
        <f t="shared" si="2"/>
        <v>0.1925</v>
      </c>
      <c r="E121" s="4">
        <v>8.133E-2</v>
      </c>
      <c r="F121" s="4">
        <f t="shared" si="3"/>
        <v>0.91866999999999999</v>
      </c>
      <c r="G121" t="s">
        <v>13</v>
      </c>
    </row>
    <row r="122" spans="1:7" x14ac:dyDescent="0.25">
      <c r="A122" s="2">
        <v>118.19</v>
      </c>
      <c r="B122" s="8">
        <v>20.65</v>
      </c>
      <c r="C122" s="4">
        <v>0.80589999999999995</v>
      </c>
      <c r="D122" s="4">
        <f t="shared" si="2"/>
        <v>0.19410000000000005</v>
      </c>
      <c r="E122" s="4">
        <v>8.1890000000000004E-2</v>
      </c>
      <c r="F122" s="4">
        <f t="shared" si="3"/>
        <v>0.91810999999999998</v>
      </c>
      <c r="G122" t="s">
        <v>13</v>
      </c>
    </row>
    <row r="123" spans="1:7" x14ac:dyDescent="0.25">
      <c r="A123" s="2">
        <v>113.14</v>
      </c>
      <c r="B123" s="8">
        <v>0.1145</v>
      </c>
      <c r="C123" s="4">
        <v>1</v>
      </c>
      <c r="D123" s="4">
        <f t="shared" si="2"/>
        <v>0</v>
      </c>
      <c r="E123" s="4">
        <v>1</v>
      </c>
      <c r="F123" s="4"/>
      <c r="G123" t="s">
        <v>13</v>
      </c>
    </row>
    <row r="124" spans="1:7" x14ac:dyDescent="0.25">
      <c r="A124" s="2">
        <v>113.14</v>
      </c>
      <c r="B124" s="8">
        <v>2.82</v>
      </c>
      <c r="C124" s="4">
        <v>0.97599999999999998</v>
      </c>
      <c r="D124" s="4">
        <f t="shared" si="2"/>
        <v>2.4000000000000021E-2</v>
      </c>
      <c r="E124" s="4">
        <v>6.6000000000000003E-2</v>
      </c>
      <c r="F124" s="4">
        <f t="shared" si="3"/>
        <v>0.93399999999999994</v>
      </c>
      <c r="G124" t="s">
        <v>13</v>
      </c>
    </row>
    <row r="125" spans="1:7" x14ac:dyDescent="0.25">
      <c r="A125" s="2">
        <v>113.14</v>
      </c>
      <c r="B125" s="8">
        <v>4.1639999999999997</v>
      </c>
      <c r="C125" s="4">
        <v>0.96479999999999999</v>
      </c>
      <c r="D125" s="4">
        <f t="shared" si="2"/>
        <v>3.5200000000000009E-2</v>
      </c>
      <c r="E125" s="4">
        <v>5.0999999999999997E-2</v>
      </c>
      <c r="F125" s="4">
        <f t="shared" si="3"/>
        <v>0.94899999999999995</v>
      </c>
      <c r="G125" t="s">
        <v>13</v>
      </c>
    </row>
    <row r="126" spans="1:7" x14ac:dyDescent="0.25">
      <c r="A126" s="2">
        <v>113.14</v>
      </c>
      <c r="B126" s="8">
        <v>5.53</v>
      </c>
      <c r="C126" s="4">
        <v>0.95409999999999995</v>
      </c>
      <c r="D126" s="4">
        <f t="shared" si="2"/>
        <v>4.5900000000000052E-2</v>
      </c>
      <c r="E126" s="4">
        <v>4.5699999999999998E-2</v>
      </c>
      <c r="F126" s="4">
        <f t="shared" si="3"/>
        <v>0.95430000000000004</v>
      </c>
      <c r="G126" t="s">
        <v>13</v>
      </c>
    </row>
    <row r="127" spans="1:7" x14ac:dyDescent="0.25">
      <c r="A127" s="2">
        <v>113.14</v>
      </c>
      <c r="B127" s="8">
        <v>6.9089999999999998</v>
      </c>
      <c r="C127" s="4">
        <v>0.94059999999999999</v>
      </c>
      <c r="D127" s="4">
        <f t="shared" si="2"/>
        <v>5.9400000000000008E-2</v>
      </c>
      <c r="E127" s="4">
        <v>4.2799999999999998E-2</v>
      </c>
      <c r="F127" s="4">
        <f t="shared" si="3"/>
        <v>0.95720000000000005</v>
      </c>
      <c r="G127" t="s">
        <v>13</v>
      </c>
    </row>
    <row r="128" spans="1:7" x14ac:dyDescent="0.25">
      <c r="A128" s="2">
        <v>113.14</v>
      </c>
      <c r="B128" s="8">
        <v>8.5909999999999993</v>
      </c>
      <c r="C128" s="4">
        <v>0.92479999999999996</v>
      </c>
      <c r="D128" s="4">
        <f t="shared" si="2"/>
        <v>7.5200000000000045E-2</v>
      </c>
      <c r="E128" s="4">
        <v>4.3099999999999999E-2</v>
      </c>
      <c r="F128" s="4">
        <f t="shared" si="3"/>
        <v>0.95689999999999997</v>
      </c>
      <c r="G128" t="s">
        <v>13</v>
      </c>
    </row>
    <row r="129" spans="1:7" x14ac:dyDescent="0.25">
      <c r="A129" s="2">
        <v>113.14</v>
      </c>
      <c r="B129" s="8">
        <v>10.356</v>
      </c>
      <c r="C129" s="4">
        <v>0.91</v>
      </c>
      <c r="D129" s="4">
        <f t="shared" si="2"/>
        <v>8.9999999999999969E-2</v>
      </c>
      <c r="E129" s="4">
        <v>4.4299999999999999E-2</v>
      </c>
      <c r="F129" s="4">
        <f t="shared" si="3"/>
        <v>0.95569999999999999</v>
      </c>
      <c r="G129" t="s">
        <v>13</v>
      </c>
    </row>
    <row r="130" spans="1:7" x14ac:dyDescent="0.25">
      <c r="A130" s="2">
        <v>113.14</v>
      </c>
      <c r="B130" s="8">
        <v>13.734</v>
      </c>
      <c r="C130" s="4">
        <v>0.88109999999999999</v>
      </c>
      <c r="D130" s="4">
        <f t="shared" si="2"/>
        <v>0.11890000000000001</v>
      </c>
      <c r="E130" s="4">
        <v>4.9799999999999997E-2</v>
      </c>
      <c r="F130" s="4">
        <f t="shared" si="3"/>
        <v>0.95020000000000004</v>
      </c>
      <c r="G130" t="s">
        <v>13</v>
      </c>
    </row>
    <row r="131" spans="1:7" x14ac:dyDescent="0.25">
      <c r="A131" s="2">
        <v>113.14</v>
      </c>
      <c r="B131" s="8">
        <v>17.271000000000001</v>
      </c>
      <c r="C131" s="4">
        <v>0.85150000000000003</v>
      </c>
      <c r="D131" s="4">
        <f t="shared" ref="D131:D145" si="4">1-C131</f>
        <v>0.14849999999999997</v>
      </c>
      <c r="E131" s="4">
        <v>5.5199999999999999E-2</v>
      </c>
      <c r="F131" s="4">
        <f t="shared" ref="F131:F145" si="5">1-E131</f>
        <v>0.94479999999999997</v>
      </c>
      <c r="G131" t="s">
        <v>13</v>
      </c>
    </row>
    <row r="132" spans="1:7" x14ac:dyDescent="0.25">
      <c r="A132" s="2">
        <v>113.14</v>
      </c>
      <c r="B132" s="8">
        <v>20.684000000000001</v>
      </c>
      <c r="C132" s="4">
        <v>0.82079999999999997</v>
      </c>
      <c r="D132" s="4">
        <f t="shared" si="4"/>
        <v>0.17920000000000003</v>
      </c>
      <c r="E132" s="4">
        <v>6.3899999999999998E-2</v>
      </c>
      <c r="F132" s="4">
        <f t="shared" si="5"/>
        <v>0.93610000000000004</v>
      </c>
      <c r="G132" t="s">
        <v>13</v>
      </c>
    </row>
    <row r="133" spans="1:7" x14ac:dyDescent="0.25">
      <c r="A133" s="2">
        <v>113.14</v>
      </c>
      <c r="B133" s="8">
        <v>24.614000000000001</v>
      </c>
      <c r="C133" s="4">
        <v>0.79259999999999997</v>
      </c>
      <c r="D133" s="4">
        <f t="shared" si="4"/>
        <v>0.20740000000000003</v>
      </c>
      <c r="E133" s="4">
        <v>7.3499999999999996E-2</v>
      </c>
      <c r="F133" s="4">
        <f t="shared" si="5"/>
        <v>0.92649999999999999</v>
      </c>
      <c r="G133" t="s">
        <v>13</v>
      </c>
    </row>
    <row r="134" spans="1:7" x14ac:dyDescent="0.25">
      <c r="A134" s="2">
        <v>113.14</v>
      </c>
      <c r="B134" s="8">
        <v>28.405999999999999</v>
      </c>
      <c r="C134" s="4">
        <v>0.76649999999999996</v>
      </c>
      <c r="D134" s="4">
        <f t="shared" si="4"/>
        <v>0.23350000000000004</v>
      </c>
      <c r="E134" s="4">
        <v>8.4000000000000005E-2</v>
      </c>
      <c r="F134" s="4">
        <f t="shared" si="5"/>
        <v>0.91600000000000004</v>
      </c>
      <c r="G134" t="s">
        <v>13</v>
      </c>
    </row>
    <row r="135" spans="1:7" x14ac:dyDescent="0.25">
      <c r="A135" s="2">
        <v>108.13</v>
      </c>
      <c r="B135" s="8">
        <v>7.5200000000000003E-2</v>
      </c>
      <c r="C135" s="4">
        <v>1</v>
      </c>
      <c r="D135" s="4">
        <f t="shared" si="4"/>
        <v>0</v>
      </c>
      <c r="E135" s="4">
        <v>1</v>
      </c>
      <c r="F135" s="4">
        <f t="shared" si="5"/>
        <v>0</v>
      </c>
      <c r="G135" t="s">
        <v>13</v>
      </c>
    </row>
    <row r="136" spans="1:7" x14ac:dyDescent="0.25">
      <c r="A136" s="2">
        <v>108.13</v>
      </c>
      <c r="B136" s="8">
        <v>3.5851999999999999</v>
      </c>
      <c r="C136" s="4">
        <v>0.97199999999999998</v>
      </c>
      <c r="D136" s="4">
        <f t="shared" si="4"/>
        <v>2.8000000000000025E-2</v>
      </c>
      <c r="E136" s="4">
        <v>3.6929999999999998E-2</v>
      </c>
      <c r="F136" s="4">
        <f t="shared" si="5"/>
        <v>0.96306999999999998</v>
      </c>
      <c r="G136" t="s">
        <v>13</v>
      </c>
    </row>
    <row r="137" spans="1:7" x14ac:dyDescent="0.25">
      <c r="A137" s="2">
        <v>108.13</v>
      </c>
      <c r="B137" s="8">
        <v>4.1790000000000003</v>
      </c>
      <c r="C137" s="4">
        <v>0.96730000000000005</v>
      </c>
      <c r="D137" s="4">
        <f t="shared" si="4"/>
        <v>3.2699999999999951E-2</v>
      </c>
      <c r="E137" s="4">
        <v>3.533E-2</v>
      </c>
      <c r="F137" s="4">
        <f t="shared" si="5"/>
        <v>0.96467000000000003</v>
      </c>
      <c r="G137" t="s">
        <v>13</v>
      </c>
    </row>
    <row r="138" spans="1:7" x14ac:dyDescent="0.25">
      <c r="A138" s="2">
        <v>108.13</v>
      </c>
      <c r="B138" s="8">
        <v>5.5359999999999996</v>
      </c>
      <c r="C138" s="4">
        <v>0.95650000000000002</v>
      </c>
      <c r="D138" s="4">
        <f t="shared" si="4"/>
        <v>4.3499999999999983E-2</v>
      </c>
      <c r="E138" s="4">
        <v>3.3169999999999998E-2</v>
      </c>
      <c r="F138" s="4">
        <f t="shared" si="5"/>
        <v>0.96682999999999997</v>
      </c>
      <c r="G138" t="s">
        <v>13</v>
      </c>
    </row>
    <row r="139" spans="1:7" x14ac:dyDescent="0.25">
      <c r="A139" s="2">
        <v>108.13</v>
      </c>
      <c r="B139" s="8">
        <v>6.9290000000000003</v>
      </c>
      <c r="C139" s="4">
        <v>0.94540000000000002</v>
      </c>
      <c r="D139" s="4">
        <f t="shared" si="4"/>
        <v>5.4599999999999982E-2</v>
      </c>
      <c r="E139" s="4">
        <v>3.1820000000000001E-2</v>
      </c>
      <c r="F139" s="4">
        <f t="shared" si="5"/>
        <v>0.96818000000000004</v>
      </c>
      <c r="G139" t="s">
        <v>13</v>
      </c>
    </row>
    <row r="140" spans="1:7" x14ac:dyDescent="0.25">
      <c r="A140" s="2">
        <v>108.13</v>
      </c>
      <c r="B140" s="8">
        <v>7.8940000000000001</v>
      </c>
      <c r="C140" s="4">
        <v>0.93779999999999997</v>
      </c>
      <c r="D140" s="4">
        <f t="shared" si="4"/>
        <v>6.2200000000000033E-2</v>
      </c>
      <c r="E140" s="4">
        <v>3.1269999999999999E-2</v>
      </c>
      <c r="F140" s="4">
        <f t="shared" si="5"/>
        <v>0.96872999999999998</v>
      </c>
      <c r="G140" t="s">
        <v>13</v>
      </c>
    </row>
    <row r="141" spans="1:7" x14ac:dyDescent="0.25">
      <c r="A141" s="2">
        <v>108.13</v>
      </c>
      <c r="B141" s="8">
        <v>8.57</v>
      </c>
      <c r="C141" s="4">
        <v>0.93159999999999998</v>
      </c>
      <c r="D141" s="4">
        <f t="shared" si="4"/>
        <v>6.8400000000000016E-2</v>
      </c>
      <c r="E141" s="4">
        <v>3.0960000000000001E-2</v>
      </c>
      <c r="F141" s="4">
        <f t="shared" si="5"/>
        <v>0.96904000000000001</v>
      </c>
      <c r="G141" t="s">
        <v>13</v>
      </c>
    </row>
    <row r="142" spans="1:7" x14ac:dyDescent="0.25">
      <c r="A142" s="2">
        <v>108.13</v>
      </c>
      <c r="B142" s="8">
        <v>9.6530000000000005</v>
      </c>
      <c r="C142" s="4">
        <v>0.92379999999999995</v>
      </c>
      <c r="D142" s="4">
        <f t="shared" si="4"/>
        <v>7.6200000000000045E-2</v>
      </c>
      <c r="E142" s="4">
        <v>3.1879999999999999E-2</v>
      </c>
      <c r="F142" s="4">
        <f t="shared" si="5"/>
        <v>0.96811999999999998</v>
      </c>
      <c r="G142" t="s">
        <v>13</v>
      </c>
    </row>
    <row r="143" spans="1:7" x14ac:dyDescent="0.25">
      <c r="A143" s="2">
        <v>108.13</v>
      </c>
      <c r="B143" s="8">
        <v>13.789</v>
      </c>
      <c r="C143" s="4">
        <v>0.89439999999999997</v>
      </c>
      <c r="D143" s="4">
        <f t="shared" si="4"/>
        <v>0.10560000000000003</v>
      </c>
      <c r="E143" s="4">
        <v>3.6979999999999999E-2</v>
      </c>
      <c r="F143" s="4">
        <f t="shared" si="5"/>
        <v>0.96301999999999999</v>
      </c>
      <c r="G143" t="s">
        <v>13</v>
      </c>
    </row>
    <row r="144" spans="1:7" x14ac:dyDescent="0.25">
      <c r="A144" s="2">
        <v>108.13</v>
      </c>
      <c r="B144" s="8">
        <v>17.03</v>
      </c>
      <c r="C144" s="4">
        <v>0.86550000000000005</v>
      </c>
      <c r="D144" s="4">
        <f t="shared" si="4"/>
        <v>0.13449999999999995</v>
      </c>
      <c r="E144" s="4">
        <v>4.1849999999999998E-2</v>
      </c>
      <c r="F144" s="4">
        <f t="shared" si="5"/>
        <v>0.95815000000000006</v>
      </c>
      <c r="G144" t="s">
        <v>13</v>
      </c>
    </row>
    <row r="145" spans="1:7" x14ac:dyDescent="0.25">
      <c r="A145" s="5">
        <v>108.13</v>
      </c>
      <c r="B145" s="9">
        <v>20.474</v>
      </c>
      <c r="C145" s="7">
        <v>0.84089999999999998</v>
      </c>
      <c r="D145" s="7">
        <f t="shared" si="4"/>
        <v>0.15910000000000002</v>
      </c>
      <c r="E145" s="7">
        <v>4.8500000000000001E-2</v>
      </c>
      <c r="F145" s="7">
        <f t="shared" si="5"/>
        <v>0.95150000000000001</v>
      </c>
      <c r="G145" t="s">
        <v>13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A243-44A5-4697-B4E8-938C79449549}">
  <dimension ref="A1:G24"/>
  <sheetViews>
    <sheetView tabSelected="1" topLeftCell="A6" zoomScale="175" zoomScaleNormal="175" workbookViewId="0">
      <selection activeCell="K17" sqref="K1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120.5</v>
      </c>
      <c r="B2" s="8">
        <v>1.7709999999999999</v>
      </c>
      <c r="C2" s="4">
        <f>1-D2</f>
        <v>0.9819</v>
      </c>
      <c r="D2" s="4">
        <v>1.8100000000000002E-2</v>
      </c>
      <c r="E2" s="4">
        <f>1-F2</f>
        <v>0.12039999999999995</v>
      </c>
      <c r="F2" s="4">
        <v>0.87960000000000005</v>
      </c>
      <c r="G2" t="s">
        <v>14</v>
      </c>
    </row>
    <row r="3" spans="1:7" x14ac:dyDescent="0.25">
      <c r="A3" s="2">
        <v>120.5</v>
      </c>
      <c r="B3" s="8">
        <v>0.94699999999999995</v>
      </c>
      <c r="C3" s="4">
        <f>1-D3</f>
        <v>0.99209999999999998</v>
      </c>
      <c r="D3" s="4">
        <v>7.9000000000000008E-3</v>
      </c>
      <c r="E3" s="4">
        <f t="shared" ref="E3:E24" si="0">1-F3</f>
        <v>0.21530000000000005</v>
      </c>
      <c r="F3" s="4">
        <v>0.78469999999999995</v>
      </c>
      <c r="G3" t="s">
        <v>14</v>
      </c>
    </row>
    <row r="4" spans="1:7" x14ac:dyDescent="0.25">
      <c r="A4" s="2">
        <v>120.5</v>
      </c>
      <c r="B4" s="8">
        <v>0.80600000000000005</v>
      </c>
      <c r="C4" s="4">
        <f t="shared" ref="C4:C24" si="1">1-D4</f>
        <v>0.99329999999999996</v>
      </c>
      <c r="D4" s="4">
        <v>6.7000000000000002E-3</v>
      </c>
      <c r="E4" s="4">
        <f t="shared" si="0"/>
        <v>0.24470000000000003</v>
      </c>
      <c r="F4" s="4">
        <v>0.75529999999999997</v>
      </c>
      <c r="G4" t="s">
        <v>14</v>
      </c>
    </row>
    <row r="5" spans="1:7" x14ac:dyDescent="0.25">
      <c r="A5" s="2">
        <v>120.5</v>
      </c>
      <c r="B5" s="8">
        <v>0.64100000000000001</v>
      </c>
      <c r="C5" s="4">
        <f t="shared" si="1"/>
        <v>0.99529999999999996</v>
      </c>
      <c r="D5" s="4">
        <v>4.7000000000000002E-3</v>
      </c>
      <c r="E5" s="4">
        <f t="shared" si="0"/>
        <v>0.33360000000000001</v>
      </c>
      <c r="F5" s="4">
        <v>0.66639999999999999</v>
      </c>
      <c r="G5" t="s">
        <v>14</v>
      </c>
    </row>
    <row r="6" spans="1:7" x14ac:dyDescent="0.25">
      <c r="A6" s="2">
        <v>120.5</v>
      </c>
      <c r="B6" s="8">
        <v>0.48</v>
      </c>
      <c r="C6" s="4">
        <f t="shared" si="1"/>
        <v>0.997</v>
      </c>
      <c r="D6" s="4">
        <v>3.0000000000000001E-3</v>
      </c>
      <c r="E6" s="4">
        <f t="shared" si="0"/>
        <v>0.47099999999999997</v>
      </c>
      <c r="F6" s="4">
        <v>0.52900000000000003</v>
      </c>
      <c r="G6" t="s">
        <v>14</v>
      </c>
    </row>
    <row r="7" spans="1:7" x14ac:dyDescent="0.25">
      <c r="A7" s="2">
        <v>115.7</v>
      </c>
      <c r="B7" s="8">
        <v>2.2719999999999998</v>
      </c>
      <c r="C7" s="4">
        <f t="shared" si="1"/>
        <v>0.97760000000000002</v>
      </c>
      <c r="D7" s="4">
        <v>2.24E-2</v>
      </c>
      <c r="E7" s="4">
        <f t="shared" si="0"/>
        <v>3.2200000000000006E-2</v>
      </c>
      <c r="F7" s="4">
        <v>0.96779999999999999</v>
      </c>
      <c r="G7" t="s">
        <v>14</v>
      </c>
    </row>
    <row r="8" spans="1:7" x14ac:dyDescent="0.25">
      <c r="A8" s="2">
        <v>115.7</v>
      </c>
      <c r="B8" s="8">
        <v>1.2070000000000001</v>
      </c>
      <c r="C8" s="4">
        <f t="shared" si="1"/>
        <v>0.98829999999999996</v>
      </c>
      <c r="D8" s="4">
        <v>1.17E-2</v>
      </c>
      <c r="E8" s="4">
        <f t="shared" si="0"/>
        <v>3.7499999999999978E-2</v>
      </c>
      <c r="F8" s="4">
        <v>0.96250000000000002</v>
      </c>
      <c r="G8" t="s">
        <v>14</v>
      </c>
    </row>
    <row r="9" spans="1:7" x14ac:dyDescent="0.25">
      <c r="A9" s="2">
        <v>115.7</v>
      </c>
      <c r="B9" s="8">
        <v>1.1539999999999999</v>
      </c>
      <c r="C9" s="4">
        <f t="shared" si="1"/>
        <v>0.9899</v>
      </c>
      <c r="D9" s="4">
        <v>1.01E-2</v>
      </c>
      <c r="E9" s="4">
        <f t="shared" si="0"/>
        <v>5.5599999999999983E-2</v>
      </c>
      <c r="F9" s="4">
        <v>0.94440000000000002</v>
      </c>
      <c r="G9" t="s">
        <v>14</v>
      </c>
    </row>
    <row r="10" spans="1:7" x14ac:dyDescent="0.25">
      <c r="A10" s="2">
        <v>110.5</v>
      </c>
      <c r="B10" s="8">
        <v>2.1269999999999998</v>
      </c>
      <c r="C10" s="4">
        <f t="shared" si="1"/>
        <v>0.97940000000000005</v>
      </c>
      <c r="D10" s="4">
        <v>2.06E-2</v>
      </c>
      <c r="E10" s="4">
        <f t="shared" si="0"/>
        <v>2.2299999999999986E-2</v>
      </c>
      <c r="F10" s="4">
        <v>0.97770000000000001</v>
      </c>
      <c r="G10" t="s">
        <v>14</v>
      </c>
    </row>
    <row r="11" spans="1:7" x14ac:dyDescent="0.25">
      <c r="A11" s="2">
        <v>110.5</v>
      </c>
      <c r="B11" s="8">
        <v>1.1020000000000001</v>
      </c>
      <c r="C11" s="4">
        <f t="shared" si="1"/>
        <v>0.98970000000000002</v>
      </c>
      <c r="D11" s="4">
        <v>1.03E-2</v>
      </c>
      <c r="E11" s="4">
        <f t="shared" si="0"/>
        <v>3.2399999999999984E-2</v>
      </c>
      <c r="F11" s="4">
        <v>0.96760000000000002</v>
      </c>
      <c r="G11" t="s">
        <v>14</v>
      </c>
    </row>
    <row r="12" spans="1:7" x14ac:dyDescent="0.25">
      <c r="A12" s="2">
        <v>110.5</v>
      </c>
      <c r="B12" s="8">
        <v>1.048</v>
      </c>
      <c r="C12" s="4">
        <f t="shared" si="1"/>
        <v>0.99099999999999999</v>
      </c>
      <c r="D12" s="4">
        <v>8.9999999999999993E-3</v>
      </c>
      <c r="E12" s="4">
        <f t="shared" si="0"/>
        <v>3.2499999999999973E-2</v>
      </c>
      <c r="F12" s="4">
        <v>0.96750000000000003</v>
      </c>
      <c r="G12" t="s">
        <v>14</v>
      </c>
    </row>
    <row r="13" spans="1:7" x14ac:dyDescent="0.25">
      <c r="A13" s="2">
        <v>110.5</v>
      </c>
      <c r="B13" s="8">
        <v>0.48499999999999999</v>
      </c>
      <c r="C13" s="4">
        <f t="shared" si="1"/>
        <v>0.99629999999999996</v>
      </c>
      <c r="D13" s="4">
        <v>3.7000000000000002E-3</v>
      </c>
      <c r="E13" s="4">
        <f t="shared" si="0"/>
        <v>0.25209999999999999</v>
      </c>
      <c r="F13" s="4">
        <v>0.74790000000000001</v>
      </c>
      <c r="G13" t="s">
        <v>14</v>
      </c>
    </row>
    <row r="14" spans="1:7" x14ac:dyDescent="0.25">
      <c r="A14" s="2">
        <v>110.5</v>
      </c>
      <c r="B14" s="8">
        <v>0.32700000000000001</v>
      </c>
      <c r="C14" s="4">
        <f t="shared" si="1"/>
        <v>0.99770000000000003</v>
      </c>
      <c r="D14" s="4">
        <v>2.3E-3</v>
      </c>
      <c r="E14" s="4">
        <f t="shared" si="0"/>
        <v>0.32430000000000003</v>
      </c>
      <c r="F14" s="4">
        <v>0.67569999999999997</v>
      </c>
      <c r="G14" t="s">
        <v>14</v>
      </c>
    </row>
    <row r="15" spans="1:7" x14ac:dyDescent="0.25">
      <c r="A15" s="2">
        <v>105.2</v>
      </c>
      <c r="B15" s="8">
        <v>1.4670000000000001</v>
      </c>
      <c r="C15" s="4">
        <f t="shared" si="1"/>
        <v>0.98609999999999998</v>
      </c>
      <c r="D15" s="4">
        <v>1.3899999999999999E-2</v>
      </c>
      <c r="E15" s="4">
        <f t="shared" si="0"/>
        <v>2.0599999999999952E-2</v>
      </c>
      <c r="F15" s="4">
        <v>0.97940000000000005</v>
      </c>
      <c r="G15" t="s">
        <v>14</v>
      </c>
    </row>
    <row r="16" spans="1:7" x14ac:dyDescent="0.25">
      <c r="A16" s="2">
        <v>105.2</v>
      </c>
      <c r="B16" s="8">
        <v>1.0109999999999999</v>
      </c>
      <c r="C16" s="4">
        <f t="shared" si="1"/>
        <v>0.99139999999999995</v>
      </c>
      <c r="D16" s="4">
        <v>8.6E-3</v>
      </c>
      <c r="E16" s="4">
        <f>1-F16</f>
        <v>2.9699999999999949E-2</v>
      </c>
      <c r="F16" s="4">
        <v>0.97030000000000005</v>
      </c>
      <c r="G16" t="s">
        <v>14</v>
      </c>
    </row>
    <row r="17" spans="1:7" x14ac:dyDescent="0.25">
      <c r="A17" s="2">
        <v>105.2</v>
      </c>
      <c r="B17" s="8">
        <v>0.56799999999999995</v>
      </c>
      <c r="C17" s="4">
        <f t="shared" si="1"/>
        <v>0.99539999999999995</v>
      </c>
      <c r="D17" s="4">
        <v>4.5999999999999999E-3</v>
      </c>
      <c r="E17" s="4">
        <f t="shared" si="0"/>
        <v>4.4599999999999973E-2</v>
      </c>
      <c r="F17" s="4">
        <v>0.95540000000000003</v>
      </c>
      <c r="G17" t="s">
        <v>14</v>
      </c>
    </row>
    <row r="18" spans="1:7" x14ac:dyDescent="0.25">
      <c r="A18" s="2">
        <v>105.2</v>
      </c>
      <c r="B18" s="8">
        <v>0.42799999999999999</v>
      </c>
      <c r="C18" s="4">
        <f t="shared" si="1"/>
        <v>0.99660000000000004</v>
      </c>
      <c r="D18" s="4">
        <v>3.3999999999999998E-3</v>
      </c>
      <c r="E18" s="4">
        <f t="shared" si="0"/>
        <v>5.0499999999999989E-2</v>
      </c>
      <c r="F18" s="4">
        <v>0.94950000000000001</v>
      </c>
      <c r="G18" t="s">
        <v>14</v>
      </c>
    </row>
    <row r="19" spans="1:7" x14ac:dyDescent="0.25">
      <c r="A19" s="2">
        <v>105.2</v>
      </c>
      <c r="B19" s="8">
        <v>0.34399999999999997</v>
      </c>
      <c r="C19" s="4">
        <f t="shared" si="1"/>
        <v>0.99739999999999995</v>
      </c>
      <c r="D19" s="4">
        <v>2.5999999999999999E-3</v>
      </c>
      <c r="E19" s="4">
        <f t="shared" si="0"/>
        <v>5.6899999999999951E-2</v>
      </c>
      <c r="F19" s="4">
        <v>0.94310000000000005</v>
      </c>
      <c r="G19" t="s">
        <v>14</v>
      </c>
    </row>
    <row r="20" spans="1:7" x14ac:dyDescent="0.25">
      <c r="A20" s="2">
        <v>100.1</v>
      </c>
      <c r="B20" s="8">
        <v>1.333</v>
      </c>
      <c r="C20" s="4">
        <f t="shared" si="1"/>
        <v>0.9869</v>
      </c>
      <c r="D20" s="4">
        <v>1.3100000000000001E-2</v>
      </c>
      <c r="E20" s="4">
        <f t="shared" si="0"/>
        <v>1.6800000000000037E-2</v>
      </c>
      <c r="F20" s="4">
        <v>0.98319999999999996</v>
      </c>
      <c r="G20" t="s">
        <v>14</v>
      </c>
    </row>
    <row r="21" spans="1:7" x14ac:dyDescent="0.25">
      <c r="A21" s="2">
        <v>100.1</v>
      </c>
      <c r="B21" s="8">
        <v>0.86299999999999999</v>
      </c>
      <c r="C21" s="4">
        <f t="shared" si="1"/>
        <v>0.99350000000000005</v>
      </c>
      <c r="D21" s="4">
        <v>6.4999999999999997E-3</v>
      </c>
      <c r="E21" s="4">
        <f t="shared" si="0"/>
        <v>2.3800000000000043E-2</v>
      </c>
      <c r="F21" s="4">
        <v>0.97619999999999996</v>
      </c>
      <c r="G21" t="s">
        <v>14</v>
      </c>
    </row>
    <row r="22" spans="1:7" x14ac:dyDescent="0.25">
      <c r="A22" s="2">
        <v>100.1</v>
      </c>
      <c r="B22" s="8">
        <v>0.38300000000000001</v>
      </c>
      <c r="C22" s="4">
        <f t="shared" si="1"/>
        <v>0.997</v>
      </c>
      <c r="D22" s="4">
        <v>3.0000000000000001E-3</v>
      </c>
      <c r="E22" s="4">
        <f t="shared" si="0"/>
        <v>4.3499999999999983E-2</v>
      </c>
      <c r="F22" s="4">
        <v>0.95650000000000002</v>
      </c>
      <c r="G22" t="s">
        <v>14</v>
      </c>
    </row>
    <row r="23" spans="1:7" x14ac:dyDescent="0.25">
      <c r="A23" s="2">
        <v>100.1</v>
      </c>
      <c r="B23" s="8">
        <v>0.30399999999999999</v>
      </c>
      <c r="C23" s="4">
        <f t="shared" si="1"/>
        <v>0.99770000000000003</v>
      </c>
      <c r="D23" s="4">
        <v>2.3E-3</v>
      </c>
      <c r="E23" s="4">
        <f t="shared" si="0"/>
        <v>5.3300000000000014E-2</v>
      </c>
      <c r="F23" s="4">
        <v>0.94669999999999999</v>
      </c>
      <c r="G23" t="s">
        <v>14</v>
      </c>
    </row>
    <row r="24" spans="1:7" x14ac:dyDescent="0.25">
      <c r="A24" s="5">
        <v>100.1</v>
      </c>
      <c r="B24" s="9">
        <v>0.23699999999999999</v>
      </c>
      <c r="C24" s="7">
        <f t="shared" si="1"/>
        <v>0.99819999999999998</v>
      </c>
      <c r="D24" s="7">
        <v>1.8E-3</v>
      </c>
      <c r="E24" s="7">
        <f t="shared" si="0"/>
        <v>6.7999999999999949E-2</v>
      </c>
      <c r="F24" s="7">
        <v>0.93200000000000005</v>
      </c>
      <c r="G24" s="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Freeth et al. 1931</vt:lpstr>
      <vt:lpstr>Benham et al. 1957</vt:lpstr>
      <vt:lpstr>Cosway et al. 1959</vt:lpstr>
      <vt:lpstr>Sagara et al. 1972</vt:lpstr>
      <vt:lpstr>Tsang et al. 1980</vt:lpstr>
      <vt:lpstr>Yorizane et al. 1980</vt:lpstr>
      <vt:lpstr>Hong et al. 1981</vt:lpstr>
      <vt:lpstr>Hu et al. 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2026-02-09T12:00:27Z</dcterms:modified>
</cp:coreProperties>
</file>