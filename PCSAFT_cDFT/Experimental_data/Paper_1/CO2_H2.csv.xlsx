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B2A24152-529C-4706-8142-0DDE8806DBC4}" xr6:coauthVersionLast="47" xr6:coauthVersionMax="47" xr10:uidLastSave="{00000000-0000-0000-0000-000000000000}"/>
  <bookViews>
    <workbookView xWindow="-28920" yWindow="-60" windowWidth="29040" windowHeight="15720" activeTab="5" xr2:uid="{00000000-000D-0000-FFFF-FFFF00000000}"/>
  </bookViews>
  <sheets>
    <sheet name="Kaminishi et al. 1966" sheetId="1" r:id="rId1"/>
    <sheet name="Spano et al. 1968" sheetId="2" r:id="rId2"/>
    <sheet name="Yorizane et al. 1970" sheetId="3" r:id="rId3"/>
    <sheet name="Tsang et al. 1981" sheetId="4" r:id="rId4"/>
    <sheet name="Bezanehtak et al. 2002" sheetId="5" r:id="rId5"/>
    <sheet name="Fandino et al. 201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6" l="1"/>
  <c r="C96" i="6"/>
  <c r="E95" i="6"/>
  <c r="C95" i="6"/>
  <c r="E94" i="6"/>
  <c r="C94" i="6"/>
  <c r="E93" i="6"/>
  <c r="C93" i="6"/>
  <c r="E92" i="6"/>
  <c r="C92" i="6"/>
  <c r="E91" i="6"/>
  <c r="C91" i="6"/>
  <c r="E90" i="6"/>
  <c r="C90" i="6"/>
  <c r="E89" i="6"/>
  <c r="C89" i="6"/>
  <c r="E88" i="6"/>
  <c r="C88" i="6"/>
  <c r="E87" i="6"/>
  <c r="C87" i="6"/>
  <c r="E86" i="6"/>
  <c r="C86" i="6"/>
  <c r="E85" i="6"/>
  <c r="C85" i="6"/>
  <c r="E84" i="6"/>
  <c r="C84" i="6"/>
  <c r="E83" i="6"/>
  <c r="C83" i="6"/>
  <c r="E82" i="6"/>
  <c r="C82" i="6"/>
  <c r="E81" i="6"/>
  <c r="C81" i="6"/>
  <c r="E80" i="6"/>
  <c r="C80" i="6"/>
  <c r="E79" i="6"/>
  <c r="C79" i="6"/>
  <c r="E78" i="6"/>
  <c r="C78" i="6"/>
  <c r="E77" i="6"/>
  <c r="C77" i="6"/>
  <c r="E76" i="6"/>
  <c r="C76" i="6"/>
  <c r="E75" i="6"/>
  <c r="C75" i="6"/>
  <c r="E74" i="6"/>
  <c r="C74" i="6"/>
  <c r="E73" i="6"/>
  <c r="C73" i="6"/>
  <c r="E72" i="6"/>
  <c r="C72" i="6"/>
  <c r="E71" i="6"/>
  <c r="C71" i="6"/>
  <c r="E70" i="6"/>
  <c r="C70" i="6"/>
  <c r="E69" i="6"/>
  <c r="C69" i="6"/>
  <c r="E68" i="6"/>
  <c r="C68" i="6"/>
  <c r="E67" i="6"/>
  <c r="C67" i="6"/>
  <c r="E66" i="6"/>
  <c r="C66" i="6"/>
  <c r="E65" i="6"/>
  <c r="C65" i="6"/>
  <c r="E64" i="6"/>
  <c r="C64" i="6"/>
  <c r="E63" i="6"/>
  <c r="C63" i="6"/>
  <c r="E62" i="6"/>
  <c r="C62" i="6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C43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C32" i="5"/>
  <c r="C31" i="5"/>
  <c r="C30" i="5"/>
  <c r="E29" i="5"/>
  <c r="C29" i="5"/>
  <c r="E28" i="5"/>
  <c r="C28" i="5"/>
  <c r="E27" i="5"/>
  <c r="C27" i="5"/>
  <c r="C26" i="5"/>
  <c r="C25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144" i="4"/>
  <c r="C144" i="4"/>
  <c r="E143" i="4"/>
  <c r="C143" i="4"/>
  <c r="E142" i="4"/>
  <c r="C142" i="4"/>
  <c r="E141" i="4"/>
  <c r="C141" i="4"/>
  <c r="E140" i="4"/>
  <c r="C140" i="4"/>
  <c r="E139" i="4"/>
  <c r="E138" i="4"/>
  <c r="C138" i="4"/>
  <c r="E137" i="4"/>
  <c r="C137" i="4"/>
  <c r="E136" i="4"/>
  <c r="C136" i="4"/>
  <c r="E135" i="4"/>
  <c r="C135" i="4"/>
  <c r="E134" i="4"/>
  <c r="C134" i="4"/>
  <c r="E133" i="4"/>
  <c r="C133" i="4"/>
  <c r="E132" i="4"/>
  <c r="C132" i="4"/>
  <c r="E131" i="4"/>
  <c r="C131" i="4"/>
  <c r="C130" i="4"/>
  <c r="E129" i="4"/>
  <c r="C129" i="4"/>
  <c r="E128" i="4"/>
  <c r="C128" i="4"/>
  <c r="E127" i="4"/>
  <c r="C127" i="4"/>
  <c r="E126" i="4"/>
  <c r="C126" i="4"/>
  <c r="E125" i="4"/>
  <c r="E124" i="4"/>
  <c r="E123" i="4"/>
  <c r="E122" i="4"/>
  <c r="C122" i="4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4" i="4"/>
  <c r="C114" i="4"/>
  <c r="E113" i="4"/>
  <c r="C113" i="4"/>
  <c r="E112" i="4"/>
  <c r="C112" i="4"/>
  <c r="E111" i="4"/>
  <c r="C111" i="4"/>
  <c r="E110" i="4"/>
  <c r="C110" i="4"/>
  <c r="E109" i="4"/>
  <c r="C109" i="4"/>
  <c r="E108" i="4"/>
  <c r="C108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4" i="4"/>
  <c r="C84" i="4"/>
  <c r="E83" i="4"/>
  <c r="C83" i="4"/>
  <c r="E82" i="4"/>
  <c r="C82" i="4"/>
  <c r="E81" i="4"/>
  <c r="C81" i="4"/>
  <c r="E80" i="4"/>
  <c r="C80" i="4"/>
  <c r="E79" i="4"/>
  <c r="C79" i="4"/>
  <c r="E78" i="4"/>
  <c r="C78" i="4"/>
  <c r="E77" i="4"/>
  <c r="C77" i="4"/>
  <c r="E76" i="4"/>
  <c r="C76" i="4"/>
  <c r="E75" i="4"/>
  <c r="C75" i="4"/>
  <c r="E74" i="4"/>
  <c r="C74" i="4"/>
  <c r="E73" i="4"/>
  <c r="C73" i="4"/>
  <c r="E72" i="4"/>
  <c r="C72" i="4"/>
  <c r="E71" i="4"/>
  <c r="C71" i="4"/>
  <c r="E70" i="4"/>
  <c r="C70" i="4"/>
  <c r="E69" i="4"/>
  <c r="C69" i="4"/>
  <c r="E68" i="4"/>
  <c r="C68" i="4"/>
  <c r="E67" i="4"/>
  <c r="C67" i="4"/>
  <c r="E66" i="4"/>
  <c r="C66" i="4"/>
  <c r="E65" i="4"/>
  <c r="C65" i="4"/>
  <c r="E64" i="4"/>
  <c r="C64" i="4"/>
  <c r="E63" i="4"/>
  <c r="C63" i="4"/>
  <c r="E62" i="4"/>
  <c r="C62" i="4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E4" i="4"/>
  <c r="C4" i="4"/>
  <c r="E3" i="4"/>
  <c r="E2" i="4"/>
  <c r="C2" i="4"/>
  <c r="E13" i="3"/>
  <c r="C13" i="3"/>
  <c r="E12" i="3"/>
  <c r="C12" i="3"/>
  <c r="E11" i="3"/>
  <c r="C11" i="3"/>
  <c r="E10" i="3"/>
  <c r="C10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F58" i="2"/>
  <c r="C58" i="2"/>
  <c r="F57" i="2"/>
  <c r="C57" i="2"/>
  <c r="F56" i="2"/>
  <c r="C56" i="2"/>
  <c r="F55" i="2"/>
  <c r="C55" i="2"/>
  <c r="F54" i="2"/>
  <c r="C54" i="2"/>
  <c r="F53" i="2"/>
  <c r="C53" i="2"/>
  <c r="C52" i="2"/>
  <c r="F51" i="2"/>
  <c r="C50" i="2"/>
  <c r="F49" i="2"/>
  <c r="C48" i="2"/>
  <c r="F47" i="2"/>
  <c r="C47" i="2"/>
  <c r="F46" i="2"/>
  <c r="C46" i="2"/>
  <c r="F45" i="2"/>
  <c r="C45" i="2"/>
  <c r="F44" i="2"/>
  <c r="C44" i="2"/>
  <c r="F43" i="2"/>
  <c r="C43" i="2"/>
  <c r="F42" i="2"/>
  <c r="C42" i="2"/>
  <c r="F41" i="2"/>
  <c r="C41" i="2"/>
  <c r="F40" i="2"/>
  <c r="C40" i="2"/>
  <c r="F39" i="2"/>
  <c r="F38" i="2"/>
  <c r="C38" i="2"/>
  <c r="F37" i="2"/>
  <c r="C37" i="2"/>
  <c r="F36" i="2"/>
  <c r="C36" i="2"/>
  <c r="F35" i="2"/>
  <c r="C35" i="2"/>
  <c r="F34" i="2"/>
  <c r="F33" i="2"/>
  <c r="C33" i="2"/>
  <c r="F32" i="2"/>
  <c r="C32" i="2"/>
  <c r="F31" i="2"/>
  <c r="C31" i="2"/>
  <c r="F30" i="2"/>
  <c r="C30" i="2"/>
  <c r="F29" i="2"/>
  <c r="C29" i="2"/>
  <c r="F28" i="2"/>
  <c r="C28" i="2"/>
  <c r="F27" i="2"/>
  <c r="C27" i="2"/>
  <c r="F26" i="2"/>
  <c r="F25" i="2"/>
  <c r="C24" i="2"/>
  <c r="F23" i="2"/>
  <c r="C23" i="2"/>
  <c r="F22" i="2"/>
  <c r="C22" i="2"/>
  <c r="F21" i="2"/>
  <c r="C21" i="2"/>
  <c r="F20" i="2"/>
  <c r="F19" i="2"/>
  <c r="F18" i="2"/>
  <c r="C18" i="2"/>
  <c r="F17" i="2"/>
  <c r="F16" i="2"/>
  <c r="C15" i="2"/>
  <c r="C14" i="2"/>
  <c r="C13" i="2"/>
  <c r="F12" i="2"/>
  <c r="C12" i="2"/>
  <c r="F11" i="2"/>
  <c r="F10" i="2"/>
  <c r="C10" i="2"/>
  <c r="F9" i="2"/>
  <c r="C9" i="2"/>
  <c r="F8" i="2"/>
  <c r="C8" i="2"/>
  <c r="F7" i="2"/>
  <c r="C6" i="2"/>
  <c r="F5" i="2"/>
  <c r="C5" i="2"/>
  <c r="F4" i="2"/>
  <c r="C4" i="2"/>
  <c r="F3" i="2"/>
  <c r="C3" i="2"/>
  <c r="F2" i="2"/>
  <c r="C2" i="2"/>
  <c r="E24" i="1"/>
  <c r="C24" i="1"/>
  <c r="E23" i="1"/>
  <c r="C23" i="1"/>
  <c r="E22" i="1"/>
  <c r="C22" i="1"/>
  <c r="E21" i="1"/>
  <c r="C21" i="1"/>
  <c r="E20" i="1"/>
  <c r="C20" i="1"/>
  <c r="E19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F59" i="2"/>
  <c r="F59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<sst xmlns="http://schemas.openxmlformats.org/spreadsheetml/2006/main" count="415" uniqueCount="13">
  <si>
    <t>T/K</t>
  </si>
  <si>
    <t>P/Mpa</t>
  </si>
  <si>
    <t>x1</t>
  </si>
  <si>
    <t>y1</t>
  </si>
  <si>
    <t>x2</t>
  </si>
  <si>
    <t>y2</t>
  </si>
  <si>
    <t>Source</t>
  </si>
  <si>
    <t>Kaminishi et al. 1966</t>
  </si>
  <si>
    <t>Spano et al. 1968</t>
  </si>
  <si>
    <t>Yorizane et al. 1970</t>
  </si>
  <si>
    <t>Tsang et al. 1981</t>
  </si>
  <si>
    <t>Bezanehtak et al. 2002</t>
  </si>
  <si>
    <t>Fandino et al.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</si>
</sst>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0" xfId="0" applyFont="1"/>
    <xf numFmtId="0" fontId="0" fillId="0" borderId="0" xfId="0" applyNumberFormat="1"/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zoomScale="145" zoomScaleNormal="145" workbookViewId="0">
      <selection sqref="A1:G1"/>
    </sheetView>
  </sheetViews>
  <sheetFormatPr defaultRowHeight="15" x14ac:dyDescent="0.25"/>
  <cols>
    <col min="3" max="3" width="11.140625" customWidth="1"/>
    <col min="7" max="7" width="20.8554687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</row>
    <row r="2" spans="1:7" x14ac:dyDescent="0.25">
      <c r="A2" s="1">
        <f>-40+273.15</f>
        <v>233.14999999999998</v>
      </c>
      <c r="B2" s="2">
        <v>5.2689000000000004</v>
      </c>
      <c r="C2" s="3">
        <f>1-D2</f>
        <v>0.93900000000000006</v>
      </c>
      <c r="D2" s="3">
        <v>6.0999999999999999E-2</v>
      </c>
      <c r="E2" s="3">
        <f>1-F2</f>
        <v>0.125</v>
      </c>
      <c r="F2" s="3">
        <v>0.875</v>
      </c>
      <c r="G2" s="6" t="s">
        <v>7</v>
      </c>
    </row>
    <row r="3" spans="1:7" x14ac:dyDescent="0.25">
      <c r="A3" s="1">
        <f t="shared" ref="A3:A5" si="0">-40+273.15</f>
        <v>233.14999999999998</v>
      </c>
      <c r="B3" s="2">
        <v>10.1831625</v>
      </c>
      <c r="C3" s="3">
        <f t="shared" ref="C3:C24" si="1">1-D3</f>
        <v>0.95399999999999996</v>
      </c>
      <c r="D3" s="3">
        <v>4.5999999999999999E-2</v>
      </c>
      <c r="E3" s="3">
        <f t="shared" ref="E3:E24" si="2">1-F3</f>
        <v>0.13600000000000001</v>
      </c>
      <c r="F3" s="3">
        <v>0.86399999999999999</v>
      </c>
      <c r="G3" s="6" t="s">
        <v>7</v>
      </c>
    </row>
    <row r="4" spans="1:7" x14ac:dyDescent="0.25">
      <c r="A4" s="1">
        <f t="shared" si="0"/>
        <v>233.14999999999998</v>
      </c>
      <c r="B4" s="2">
        <v>15.0872925</v>
      </c>
      <c r="C4" s="3">
        <f t="shared" si="1"/>
        <v>0.97099999999999997</v>
      </c>
      <c r="D4" s="3">
        <v>2.9000000000000001E-2</v>
      </c>
      <c r="E4" s="3">
        <f t="shared" si="2"/>
        <v>0.16500000000000004</v>
      </c>
      <c r="F4" s="3">
        <v>0.83499999999999996</v>
      </c>
      <c r="G4" s="6" t="s">
        <v>7</v>
      </c>
    </row>
    <row r="5" spans="1:7" x14ac:dyDescent="0.25">
      <c r="A5" s="1">
        <f t="shared" si="0"/>
        <v>233.14999999999998</v>
      </c>
      <c r="B5" s="2">
        <v>19.991422499999999</v>
      </c>
      <c r="C5" s="3">
        <f t="shared" si="1"/>
        <v>0.98599999999999999</v>
      </c>
      <c r="D5" s="3">
        <v>1.4E-2</v>
      </c>
      <c r="E5" s="3">
        <f t="shared" si="2"/>
        <v>0.254</v>
      </c>
      <c r="F5" s="3">
        <v>0.746</v>
      </c>
      <c r="G5" s="6" t="s">
        <v>7</v>
      </c>
    </row>
    <row r="6" spans="1:7" x14ac:dyDescent="0.25">
      <c r="A6" s="1">
        <f>-20+273.15</f>
        <v>253.14999999999998</v>
      </c>
      <c r="B6" s="2">
        <v>5.2689000000000004</v>
      </c>
      <c r="C6" s="3">
        <f t="shared" si="1"/>
        <v>0.91600000000000004</v>
      </c>
      <c r="D6" s="3">
        <v>8.4000000000000005E-2</v>
      </c>
      <c r="E6" s="3">
        <f t="shared" si="2"/>
        <v>0.22499999999999998</v>
      </c>
      <c r="F6" s="3">
        <v>0.77500000000000002</v>
      </c>
      <c r="G6" s="6" t="s">
        <v>7</v>
      </c>
    </row>
    <row r="7" spans="1:7" x14ac:dyDescent="0.25">
      <c r="A7" s="1">
        <f t="shared" ref="A7:A9" si="3">-20+273.15</f>
        <v>253.14999999999998</v>
      </c>
      <c r="B7" s="2">
        <v>10.1831625</v>
      </c>
      <c r="C7" s="3">
        <f t="shared" si="1"/>
        <v>0.93900000000000006</v>
      </c>
      <c r="D7" s="3">
        <v>6.0999999999999999E-2</v>
      </c>
      <c r="E7" s="3">
        <f t="shared" si="2"/>
        <v>0.247</v>
      </c>
      <c r="F7" s="3">
        <v>0.753</v>
      </c>
      <c r="G7" s="6" t="s">
        <v>7</v>
      </c>
    </row>
    <row r="8" spans="1:7" x14ac:dyDescent="0.25">
      <c r="A8" s="1">
        <f t="shared" si="3"/>
        <v>253.14999999999998</v>
      </c>
      <c r="B8" s="2">
        <v>15.0872925</v>
      </c>
      <c r="C8" s="3">
        <f t="shared" si="1"/>
        <v>0.96199999999999997</v>
      </c>
      <c r="D8" s="3">
        <v>3.7999999999999999E-2</v>
      </c>
      <c r="E8" s="3">
        <f t="shared" si="2"/>
        <v>0.30400000000000005</v>
      </c>
      <c r="F8" s="3">
        <v>0.69599999999999995</v>
      </c>
      <c r="G8" s="6" t="s">
        <v>7</v>
      </c>
    </row>
    <row r="9" spans="1:7" x14ac:dyDescent="0.25">
      <c r="A9" s="1">
        <f t="shared" si="3"/>
        <v>253.14999999999998</v>
      </c>
      <c r="B9" s="2">
        <v>19.991422499999999</v>
      </c>
      <c r="C9" s="3">
        <f t="shared" si="1"/>
        <v>0.98399999999999999</v>
      </c>
      <c r="D9" s="3">
        <v>1.6E-2</v>
      </c>
      <c r="E9" s="3">
        <f t="shared" si="2"/>
        <v>0.47799999999999998</v>
      </c>
      <c r="F9" s="3">
        <v>0.52200000000000002</v>
      </c>
      <c r="G9" s="6" t="s">
        <v>7</v>
      </c>
    </row>
    <row r="10" spans="1:7" x14ac:dyDescent="0.25">
      <c r="A10" s="1">
        <f>0+273.15</f>
        <v>273.14999999999998</v>
      </c>
      <c r="B10" s="2">
        <v>5.0763825000000002</v>
      </c>
      <c r="C10" s="3"/>
      <c r="D10" s="3"/>
      <c r="E10" s="3">
        <f t="shared" si="2"/>
        <v>0.39700000000000002</v>
      </c>
      <c r="F10" s="3">
        <v>0.60299999999999998</v>
      </c>
      <c r="G10" s="6" t="s">
        <v>7</v>
      </c>
    </row>
    <row r="11" spans="1:7" x14ac:dyDescent="0.25">
      <c r="A11" s="1">
        <f t="shared" ref="A11:A15" si="4">0+273.15</f>
        <v>273.14999999999998</v>
      </c>
      <c r="B11" s="2">
        <v>9.6360074999999998</v>
      </c>
      <c r="C11" s="3">
        <f t="shared" si="1"/>
        <v>0.88200000000000001</v>
      </c>
      <c r="D11" s="3">
        <v>0.11799999999999999</v>
      </c>
      <c r="E11" s="3">
        <f t="shared" si="2"/>
        <v>0.39400000000000002</v>
      </c>
      <c r="F11" s="3">
        <v>0.60599999999999998</v>
      </c>
      <c r="G11" s="6" t="s">
        <v>7</v>
      </c>
    </row>
    <row r="12" spans="1:7" x14ac:dyDescent="0.25">
      <c r="A12" s="1">
        <f t="shared" si="4"/>
        <v>273.14999999999998</v>
      </c>
      <c r="B12" s="2">
        <v>10.1831625</v>
      </c>
      <c r="C12" s="3">
        <f t="shared" si="1"/>
        <v>0.91900000000000004</v>
      </c>
      <c r="D12" s="3">
        <v>8.1000000000000003E-2</v>
      </c>
      <c r="E12" s="3">
        <f t="shared" si="2"/>
        <v>0.43200000000000005</v>
      </c>
      <c r="F12" s="3">
        <v>0.56799999999999995</v>
      </c>
      <c r="G12" s="6" t="s">
        <v>7</v>
      </c>
    </row>
    <row r="13" spans="1:7" x14ac:dyDescent="0.25">
      <c r="A13" s="1">
        <f t="shared" si="4"/>
        <v>273.14999999999998</v>
      </c>
      <c r="B13" s="2">
        <v>14.570535000000001</v>
      </c>
      <c r="C13" s="3">
        <f t="shared" si="1"/>
        <v>0.95499999999999996</v>
      </c>
      <c r="D13" s="3">
        <v>4.4999999999999998E-2</v>
      </c>
      <c r="E13" s="3">
        <f t="shared" si="2"/>
        <v>0.51700000000000002</v>
      </c>
      <c r="F13" s="3">
        <v>0.48299999999999998</v>
      </c>
      <c r="G13" s="6" t="s">
        <v>7</v>
      </c>
    </row>
    <row r="14" spans="1:7" x14ac:dyDescent="0.25">
      <c r="A14" s="1">
        <f t="shared" si="4"/>
        <v>273.14999999999998</v>
      </c>
      <c r="B14" s="2">
        <v>19.505062500000001</v>
      </c>
      <c r="C14" s="3">
        <f t="shared" si="1"/>
        <v>0.95699999999999996</v>
      </c>
      <c r="D14" s="3">
        <v>4.2999999999999997E-2</v>
      </c>
      <c r="E14" s="3">
        <f t="shared" si="2"/>
        <v>0.52200000000000002</v>
      </c>
      <c r="F14" s="3">
        <v>0.47799999999999998</v>
      </c>
      <c r="G14" s="6" t="s">
        <v>7</v>
      </c>
    </row>
    <row r="15" spans="1:7" x14ac:dyDescent="0.25">
      <c r="A15" s="1">
        <f t="shared" si="4"/>
        <v>273.14999999999998</v>
      </c>
      <c r="B15" s="2">
        <v>19.991422499999999</v>
      </c>
      <c r="C15" s="3">
        <f t="shared" si="1"/>
        <v>0.98899999999999999</v>
      </c>
      <c r="D15" s="3">
        <v>1.0999999999999999E-2</v>
      </c>
      <c r="E15" s="3">
        <f t="shared" si="2"/>
        <v>0.78800000000000003</v>
      </c>
      <c r="F15" s="3">
        <v>0.21199999999999999</v>
      </c>
      <c r="G15" s="6" t="s">
        <v>7</v>
      </c>
    </row>
    <row r="16" spans="1:7" x14ac:dyDescent="0.25">
      <c r="A16" s="1">
        <f>10+273.15</f>
        <v>283.14999999999998</v>
      </c>
      <c r="B16" s="2">
        <v>7.4473874999999996</v>
      </c>
      <c r="C16" s="3">
        <f t="shared" si="1"/>
        <v>0.98660000000000003</v>
      </c>
      <c r="D16" s="3">
        <v>1.34E-2</v>
      </c>
      <c r="E16" s="3">
        <f t="shared" si="2"/>
        <v>0.53100000000000003</v>
      </c>
      <c r="F16" s="3">
        <v>0.46899999999999997</v>
      </c>
      <c r="G16" s="6" t="s">
        <v>7</v>
      </c>
    </row>
    <row r="17" spans="1:7" x14ac:dyDescent="0.25">
      <c r="A17" s="1">
        <f t="shared" ref="A17:A19" si="5">10+273.15</f>
        <v>283.14999999999998</v>
      </c>
      <c r="B17" s="2">
        <v>9.6360074999999998</v>
      </c>
      <c r="C17" s="3">
        <f t="shared" si="1"/>
        <v>0.91400000000000003</v>
      </c>
      <c r="D17" s="3">
        <v>8.5999999999999993E-2</v>
      </c>
      <c r="E17" s="3">
        <f t="shared" si="2"/>
        <v>0.56099999999999994</v>
      </c>
      <c r="F17" s="3">
        <v>0.439</v>
      </c>
      <c r="G17" s="6" t="s">
        <v>7</v>
      </c>
    </row>
    <row r="18" spans="1:7" x14ac:dyDescent="0.25">
      <c r="A18" s="1">
        <f t="shared" si="5"/>
        <v>283.14999999999998</v>
      </c>
      <c r="B18" s="2">
        <v>14.570535000000001</v>
      </c>
      <c r="C18" s="3">
        <f t="shared" si="1"/>
        <v>0.95599999999999996</v>
      </c>
      <c r="D18" s="3">
        <v>4.3999999999999997E-2</v>
      </c>
      <c r="E18" s="3"/>
      <c r="F18" s="3"/>
      <c r="G18" s="6" t="s">
        <v>7</v>
      </c>
    </row>
    <row r="19" spans="1:7" x14ac:dyDescent="0.25">
      <c r="A19" s="1">
        <f t="shared" si="5"/>
        <v>283.14999999999998</v>
      </c>
      <c r="B19" s="2">
        <v>19.505062500000001</v>
      </c>
      <c r="C19" s="3"/>
      <c r="D19" s="3"/>
      <c r="E19" s="3">
        <f t="shared" si="2"/>
        <v>0.754</v>
      </c>
      <c r="F19" s="3">
        <v>0.246</v>
      </c>
      <c r="G19" s="6" t="s">
        <v>7</v>
      </c>
    </row>
    <row r="20" spans="1:7" x14ac:dyDescent="0.25">
      <c r="A20" s="1">
        <f>20+273.15</f>
        <v>293.14999999999998</v>
      </c>
      <c r="B20" s="2">
        <v>9.6360074999999998</v>
      </c>
      <c r="C20" s="3">
        <f t="shared" si="1"/>
        <v>0.82099999999999995</v>
      </c>
      <c r="D20" s="3">
        <v>0.17899999999999999</v>
      </c>
      <c r="E20" s="3">
        <f t="shared" si="2"/>
        <v>0.74</v>
      </c>
      <c r="F20" s="3">
        <v>0.26</v>
      </c>
      <c r="G20" s="6" t="s">
        <v>7</v>
      </c>
    </row>
    <row r="21" spans="1:7" x14ac:dyDescent="0.25">
      <c r="A21" s="1">
        <f t="shared" ref="A21:A22" si="6">20+273.15</f>
        <v>293.14999999999998</v>
      </c>
      <c r="B21" s="2">
        <v>14.570535000000001</v>
      </c>
      <c r="C21" s="3">
        <f t="shared" si="1"/>
        <v>0.89100000000000001</v>
      </c>
      <c r="D21" s="3">
        <v>0.109</v>
      </c>
      <c r="E21" s="3">
        <f t="shared" si="2"/>
        <v>0.67900000000000005</v>
      </c>
      <c r="F21" s="3">
        <v>0.32100000000000001</v>
      </c>
      <c r="G21" s="6" t="s">
        <v>7</v>
      </c>
    </row>
    <row r="22" spans="1:7" x14ac:dyDescent="0.25">
      <c r="A22" s="1">
        <f t="shared" si="6"/>
        <v>293.14999999999998</v>
      </c>
      <c r="B22" s="2">
        <v>19.505062500000001</v>
      </c>
      <c r="C22" s="3">
        <f t="shared" si="1"/>
        <v>0.95599999999999996</v>
      </c>
      <c r="D22" s="3">
        <v>4.3999999999999997E-2</v>
      </c>
      <c r="E22" s="3">
        <f t="shared" si="2"/>
        <v>0.78700000000000003</v>
      </c>
      <c r="F22" s="3">
        <v>0.21299999999999999</v>
      </c>
      <c r="G22" s="6" t="s">
        <v>7</v>
      </c>
    </row>
    <row r="23" spans="1:7" x14ac:dyDescent="0.25">
      <c r="A23" s="1">
        <f>25+273.15</f>
        <v>298.14999999999998</v>
      </c>
      <c r="B23" s="2">
        <v>9.6360074999999998</v>
      </c>
      <c r="C23" s="3">
        <f t="shared" si="1"/>
        <v>0.90100000000000002</v>
      </c>
      <c r="D23" s="3">
        <v>9.9000000000000005E-2</v>
      </c>
      <c r="E23" s="3">
        <f t="shared" si="2"/>
        <v>0.80899999999999994</v>
      </c>
      <c r="F23" s="3">
        <v>0.191</v>
      </c>
      <c r="G23" s="6" t="s">
        <v>7</v>
      </c>
    </row>
    <row r="24" spans="1:7" x14ac:dyDescent="0.25">
      <c r="A24" s="3">
        <f>25+273.15</f>
        <v>298.14999999999998</v>
      </c>
      <c r="B24" s="4">
        <v>12.412312500000001</v>
      </c>
      <c r="C24" s="3">
        <f t="shared" si="1"/>
        <v>0.95599999999999996</v>
      </c>
      <c r="D24" s="3">
        <v>4.3999999999999997E-2</v>
      </c>
      <c r="E24" s="3">
        <f t="shared" si="2"/>
        <v>0.95899999999999996</v>
      </c>
      <c r="F24" s="3">
        <v>4.1000000000000002E-2</v>
      </c>
      <c r="G24" s="6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0C6A-798C-4A36-A2A6-DC6EB4CE09EA}">
  <dimension ref="A1:G59"/>
  <sheetViews>
    <sheetView zoomScale="130" zoomScaleNormal="130" workbookViewId="0">
      <selection sqref="A1:G1"/>
    </sheetView>
  </sheetViews>
  <sheetFormatPr defaultRowHeight="15" x14ac:dyDescent="0.25"/>
  <cols>
    <col min="7" max="7" width="23.57031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</row>
    <row r="2" spans="1:7" x14ac:dyDescent="0.25">
      <c r="A2" s="7">
        <v>219.9</v>
      </c>
      <c r="B2" s="2">
        <v>1.0841775</v>
      </c>
      <c r="C2" s="8">
        <f>1-D2</f>
        <v>0.99870000000000003</v>
      </c>
      <c r="D2" s="8">
        <v>1.2999999999999999E-3</v>
      </c>
      <c r="E2" s="8">
        <v>0.57200000000000006</v>
      </c>
      <c r="F2" s="8">
        <f>1-E2</f>
        <v>0.42799999999999994</v>
      </c>
      <c r="G2" t="s">
        <v>8</v>
      </c>
    </row>
    <row r="3" spans="1:7" x14ac:dyDescent="0.25">
      <c r="A3" s="7">
        <v>219.9</v>
      </c>
      <c r="B3" s="2">
        <v>2.1582224999999999</v>
      </c>
      <c r="C3" s="8">
        <f t="shared" ref="C3:C58" si="0">1-D3</f>
        <v>0.99560000000000004</v>
      </c>
      <c r="D3" s="8">
        <v>4.4000000000000003E-3</v>
      </c>
      <c r="E3" s="8">
        <v>0.307</v>
      </c>
      <c r="F3" s="8">
        <f t="shared" ref="F3:F59" si="1">1-E3</f>
        <v>0.69300000000000006</v>
      </c>
      <c r="G3" t="s">
        <v>8</v>
      </c>
    </row>
    <row r="4" spans="1:7" x14ac:dyDescent="0.25">
      <c r="A4" s="7">
        <v>219.9</v>
      </c>
      <c r="B4" s="2">
        <v>3.5869049999999998</v>
      </c>
      <c r="C4" s="8">
        <f t="shared" si="0"/>
        <v>0.9919</v>
      </c>
      <c r="D4" s="8">
        <v>8.1000000000000013E-3</v>
      </c>
      <c r="E4" s="8">
        <v>0.2</v>
      </c>
      <c r="F4" s="8">
        <f t="shared" si="1"/>
        <v>0.8</v>
      </c>
      <c r="G4" t="s">
        <v>8</v>
      </c>
    </row>
    <row r="5" spans="1:7" x14ac:dyDescent="0.25">
      <c r="A5" s="7">
        <v>219.9</v>
      </c>
      <c r="B5" s="2">
        <v>5.2790324999999996</v>
      </c>
      <c r="C5" s="8">
        <f t="shared" si="0"/>
        <v>0.98719999999999997</v>
      </c>
      <c r="D5" s="8">
        <v>1.2800000000000001E-2</v>
      </c>
      <c r="E5" s="8">
        <v>0.14800000000000002</v>
      </c>
      <c r="F5" s="8">
        <f t="shared" si="1"/>
        <v>0.85199999999999998</v>
      </c>
      <c r="G5" t="s">
        <v>8</v>
      </c>
    </row>
    <row r="6" spans="1:7" x14ac:dyDescent="0.25">
      <c r="A6" s="7">
        <v>219.9</v>
      </c>
      <c r="B6" s="2">
        <v>7.0623525000000003</v>
      </c>
      <c r="C6" s="8">
        <f t="shared" si="0"/>
        <v>0.98250000000000004</v>
      </c>
      <c r="D6" s="8">
        <v>1.7500000000000002E-2</v>
      </c>
      <c r="E6" s="8"/>
      <c r="F6" s="8"/>
      <c r="G6" t="s">
        <v>8</v>
      </c>
    </row>
    <row r="7" spans="1:7" x14ac:dyDescent="0.25">
      <c r="A7" s="7">
        <v>219.9</v>
      </c>
      <c r="B7" s="2">
        <v>7.3156650000000001</v>
      </c>
      <c r="C7" s="8"/>
      <c r="D7" s="8"/>
      <c r="E7" s="8">
        <v>0.115</v>
      </c>
      <c r="F7" s="8">
        <f t="shared" si="1"/>
        <v>0.88500000000000001</v>
      </c>
      <c r="G7" t="s">
        <v>8</v>
      </c>
    </row>
    <row r="8" spans="1:7" x14ac:dyDescent="0.25">
      <c r="A8" s="7">
        <v>219.9</v>
      </c>
      <c r="B8" s="2">
        <v>10.284487499999999</v>
      </c>
      <c r="C8" s="8">
        <f t="shared" si="0"/>
        <v>0.97419999999999995</v>
      </c>
      <c r="D8" s="8">
        <v>2.58E-2</v>
      </c>
      <c r="E8" s="8">
        <v>9.0999999999999998E-2</v>
      </c>
      <c r="F8" s="8">
        <f t="shared" si="1"/>
        <v>0.90900000000000003</v>
      </c>
      <c r="G8" t="s">
        <v>8</v>
      </c>
    </row>
    <row r="9" spans="1:7" x14ac:dyDescent="0.25">
      <c r="A9" s="7">
        <v>219.9</v>
      </c>
      <c r="B9" s="2">
        <v>15.441929999999999</v>
      </c>
      <c r="C9" s="8">
        <f t="shared" si="0"/>
        <v>0.96150000000000002</v>
      </c>
      <c r="D9" s="8">
        <v>3.85E-2</v>
      </c>
      <c r="E9" s="8">
        <v>7.3300000000000004E-2</v>
      </c>
      <c r="F9" s="8">
        <f t="shared" si="1"/>
        <v>0.92669999999999997</v>
      </c>
      <c r="G9" t="s">
        <v>8</v>
      </c>
    </row>
    <row r="10" spans="1:7" x14ac:dyDescent="0.25">
      <c r="A10" s="7">
        <v>219.9</v>
      </c>
      <c r="B10" s="2">
        <v>19.829302500000001</v>
      </c>
      <c r="C10" s="8">
        <f t="shared" si="0"/>
        <v>0.95130000000000003</v>
      </c>
      <c r="D10" s="8">
        <v>4.87E-2</v>
      </c>
      <c r="E10" s="8">
        <v>6.6500000000000004E-2</v>
      </c>
      <c r="F10" s="8">
        <f t="shared" si="1"/>
        <v>0.9335</v>
      </c>
      <c r="G10" t="s">
        <v>8</v>
      </c>
    </row>
    <row r="11" spans="1:7" x14ac:dyDescent="0.25">
      <c r="A11" s="7">
        <v>229.9</v>
      </c>
      <c r="B11" s="2">
        <v>1.6617299999999997</v>
      </c>
      <c r="C11" s="8"/>
      <c r="D11" s="8"/>
      <c r="E11" s="8">
        <v>0.57999999999999996</v>
      </c>
      <c r="F11" s="8">
        <f t="shared" si="1"/>
        <v>0.42000000000000004</v>
      </c>
      <c r="G11" t="s">
        <v>8</v>
      </c>
    </row>
    <row r="12" spans="1:7" x14ac:dyDescent="0.25">
      <c r="A12" s="7">
        <v>229.9</v>
      </c>
      <c r="B12" s="2">
        <v>2.5837875000000001</v>
      </c>
      <c r="C12" s="8">
        <f t="shared" si="0"/>
        <v>0.99439999999999995</v>
      </c>
      <c r="D12" s="8">
        <v>5.6000000000000008E-3</v>
      </c>
      <c r="E12" s="8">
        <v>0.38600000000000001</v>
      </c>
      <c r="F12" s="8">
        <f t="shared" si="1"/>
        <v>0.61399999999999999</v>
      </c>
      <c r="G12" t="s">
        <v>8</v>
      </c>
    </row>
    <row r="13" spans="1:7" x14ac:dyDescent="0.25">
      <c r="A13" s="7">
        <v>229.9</v>
      </c>
      <c r="B13" s="2">
        <v>3.1816049999999998</v>
      </c>
      <c r="C13" s="8">
        <f t="shared" si="0"/>
        <v>0.99229999999999996</v>
      </c>
      <c r="D13" s="8">
        <v>7.7000000000000002E-3</v>
      </c>
      <c r="E13" s="8"/>
      <c r="F13" s="8"/>
      <c r="G13" t="s">
        <v>8</v>
      </c>
    </row>
    <row r="14" spans="1:7" x14ac:dyDescent="0.25">
      <c r="A14" s="7">
        <v>229.9</v>
      </c>
      <c r="B14" s="2">
        <v>3.6476999999999999</v>
      </c>
      <c r="C14" s="8">
        <f t="shared" si="0"/>
        <v>0.99080000000000001</v>
      </c>
      <c r="D14" s="8">
        <v>9.1999999999999998E-3</v>
      </c>
      <c r="E14" s="8"/>
      <c r="F14" s="8"/>
      <c r="G14" t="s">
        <v>8</v>
      </c>
    </row>
    <row r="15" spans="1:7" x14ac:dyDescent="0.25">
      <c r="A15" s="7">
        <v>229.9</v>
      </c>
      <c r="B15" s="2">
        <v>4.5697574999999997</v>
      </c>
      <c r="C15" s="8">
        <f t="shared" si="0"/>
        <v>0.9879</v>
      </c>
      <c r="D15" s="8">
        <v>1.21E-2</v>
      </c>
      <c r="E15" s="8"/>
      <c r="F15" s="8"/>
      <c r="G15" t="s">
        <v>8</v>
      </c>
    </row>
    <row r="16" spans="1:7" x14ac:dyDescent="0.25">
      <c r="A16" s="7">
        <v>229.9</v>
      </c>
      <c r="B16" s="2">
        <v>4.6508174999999996</v>
      </c>
      <c r="C16" s="8"/>
      <c r="D16" s="8"/>
      <c r="E16" s="8">
        <v>0.23499999999999999</v>
      </c>
      <c r="F16" s="8">
        <f t="shared" si="1"/>
        <v>0.76500000000000001</v>
      </c>
      <c r="G16" t="s">
        <v>8</v>
      </c>
    </row>
    <row r="17" spans="1:7" x14ac:dyDescent="0.25">
      <c r="A17" s="7">
        <v>229.9</v>
      </c>
      <c r="B17" s="2">
        <v>6.6570524999999998</v>
      </c>
      <c r="C17" s="8"/>
      <c r="D17" s="8"/>
      <c r="E17" s="8">
        <v>0.17800000000000002</v>
      </c>
      <c r="F17" s="8">
        <f t="shared" si="1"/>
        <v>0.82199999999999995</v>
      </c>
      <c r="G17" t="s">
        <v>8</v>
      </c>
    </row>
    <row r="18" spans="1:7" x14ac:dyDescent="0.25">
      <c r="A18" s="7">
        <v>229.9</v>
      </c>
      <c r="B18" s="2">
        <v>7.3257975000000002</v>
      </c>
      <c r="C18" s="8">
        <f t="shared" si="0"/>
        <v>0.97840000000000005</v>
      </c>
      <c r="D18" s="8">
        <v>2.1600000000000001E-2</v>
      </c>
      <c r="E18" s="8">
        <v>0.16800000000000001</v>
      </c>
      <c r="F18" s="8">
        <f t="shared" si="1"/>
        <v>0.83199999999999996</v>
      </c>
      <c r="G18" t="s">
        <v>8</v>
      </c>
    </row>
    <row r="19" spans="1:7" x14ac:dyDescent="0.25">
      <c r="A19" s="7">
        <v>229.9</v>
      </c>
      <c r="B19" s="2">
        <v>8.7139500000000005</v>
      </c>
      <c r="C19" s="8"/>
      <c r="D19" s="8"/>
      <c r="E19" s="8">
        <v>0.15</v>
      </c>
      <c r="F19" s="8">
        <f t="shared" si="1"/>
        <v>0.85</v>
      </c>
      <c r="G19" t="s">
        <v>8</v>
      </c>
    </row>
    <row r="20" spans="1:7" x14ac:dyDescent="0.25">
      <c r="A20" s="7">
        <v>229.9</v>
      </c>
      <c r="B20" s="2">
        <v>10.6897875</v>
      </c>
      <c r="C20" s="8"/>
      <c r="D20" s="8"/>
      <c r="E20" s="8">
        <v>0.13600000000000001</v>
      </c>
      <c r="F20" s="8">
        <f t="shared" si="1"/>
        <v>0.86399999999999999</v>
      </c>
      <c r="G20" t="s">
        <v>8</v>
      </c>
    </row>
    <row r="21" spans="1:7" x14ac:dyDescent="0.25">
      <c r="A21" s="7">
        <v>229.9</v>
      </c>
      <c r="B21" s="2">
        <v>12.159000000000001</v>
      </c>
      <c r="C21" s="8">
        <f t="shared" si="0"/>
        <v>0.96350000000000002</v>
      </c>
      <c r="D21" s="8">
        <v>3.6499999999999998E-2</v>
      </c>
      <c r="E21" s="8">
        <v>0.122</v>
      </c>
      <c r="F21" s="8">
        <f t="shared" si="1"/>
        <v>0.878</v>
      </c>
      <c r="G21" t="s">
        <v>8</v>
      </c>
    </row>
    <row r="22" spans="1:7" x14ac:dyDescent="0.25">
      <c r="A22" s="7">
        <v>229.9</v>
      </c>
      <c r="B22" s="2">
        <v>16.161337499999998</v>
      </c>
      <c r="C22" s="8">
        <f t="shared" si="0"/>
        <v>0.95230000000000004</v>
      </c>
      <c r="D22" s="8">
        <v>4.7699999999999992E-2</v>
      </c>
      <c r="E22" s="8">
        <v>0.10400000000000001</v>
      </c>
      <c r="F22" s="8">
        <f t="shared" si="1"/>
        <v>0.89600000000000002</v>
      </c>
      <c r="G22" t="s">
        <v>8</v>
      </c>
    </row>
    <row r="23" spans="1:7" x14ac:dyDescent="0.25">
      <c r="A23" s="7">
        <v>229.9</v>
      </c>
      <c r="B23" s="2">
        <v>20.2953975</v>
      </c>
      <c r="C23" s="8">
        <f t="shared" si="0"/>
        <v>0.94140000000000001</v>
      </c>
      <c r="D23" s="8">
        <v>5.8600000000000006E-2</v>
      </c>
      <c r="E23" s="8">
        <v>9.5399999999999985E-2</v>
      </c>
      <c r="F23" s="8">
        <f t="shared" si="1"/>
        <v>0.90460000000000007</v>
      </c>
      <c r="G23" t="s">
        <v>8</v>
      </c>
    </row>
    <row r="24" spans="1:7" x14ac:dyDescent="0.25">
      <c r="A24" s="7">
        <v>244.9</v>
      </c>
      <c r="B24" s="2">
        <v>2.0771625</v>
      </c>
      <c r="C24" s="8">
        <f t="shared" si="0"/>
        <v>0.99729999999999996</v>
      </c>
      <c r="D24" s="8">
        <v>2.7000000000000001E-3</v>
      </c>
      <c r="E24" s="8"/>
      <c r="F24" s="8"/>
      <c r="G24" t="s">
        <v>8</v>
      </c>
    </row>
    <row r="25" spans="1:7" x14ac:dyDescent="0.25">
      <c r="A25" s="7">
        <v>244.9</v>
      </c>
      <c r="B25" s="2">
        <v>2.1784875000000001</v>
      </c>
      <c r="C25" s="8"/>
      <c r="D25" s="8"/>
      <c r="E25" s="8">
        <v>0.73499999999999999</v>
      </c>
      <c r="F25" s="8">
        <f t="shared" si="1"/>
        <v>0.26500000000000001</v>
      </c>
      <c r="G25" t="s">
        <v>8</v>
      </c>
    </row>
    <row r="26" spans="1:7" x14ac:dyDescent="0.25">
      <c r="A26" s="7">
        <v>244.9</v>
      </c>
      <c r="B26" s="2">
        <v>3.7996875000000001</v>
      </c>
      <c r="C26" s="8"/>
      <c r="D26" s="8"/>
      <c r="E26" s="8">
        <v>0.47700000000000004</v>
      </c>
      <c r="F26" s="8">
        <f t="shared" si="1"/>
        <v>0.52299999999999991</v>
      </c>
      <c r="G26" t="s">
        <v>8</v>
      </c>
    </row>
    <row r="27" spans="1:7" x14ac:dyDescent="0.25">
      <c r="A27" s="7">
        <v>244.9</v>
      </c>
      <c r="B27" s="2">
        <v>5.2587675000000003</v>
      </c>
      <c r="C27" s="8">
        <f t="shared" si="0"/>
        <v>0.98409999999999997</v>
      </c>
      <c r="D27" s="8">
        <v>1.5900000000000001E-2</v>
      </c>
      <c r="E27" s="8">
        <v>0.36599999999999999</v>
      </c>
      <c r="F27" s="8">
        <f t="shared" si="1"/>
        <v>0.63400000000000001</v>
      </c>
      <c r="G27" t="s">
        <v>8</v>
      </c>
    </row>
    <row r="28" spans="1:7" x14ac:dyDescent="0.25">
      <c r="A28" s="7">
        <v>244.9</v>
      </c>
      <c r="B28" s="2">
        <v>8.045205000000001</v>
      </c>
      <c r="C28" s="8">
        <f t="shared" si="0"/>
        <v>0.97240000000000004</v>
      </c>
      <c r="D28" s="8">
        <v>2.76E-2</v>
      </c>
      <c r="E28" s="8">
        <v>0.26700000000000002</v>
      </c>
      <c r="F28" s="8">
        <f t="shared" si="1"/>
        <v>0.73299999999999998</v>
      </c>
      <c r="G28" t="s">
        <v>8</v>
      </c>
    </row>
    <row r="29" spans="1:7" x14ac:dyDescent="0.25">
      <c r="A29" s="7">
        <v>244.9</v>
      </c>
      <c r="B29" s="2">
        <v>11.2977375</v>
      </c>
      <c r="C29" s="8">
        <f t="shared" si="0"/>
        <v>0.95930000000000004</v>
      </c>
      <c r="D29" s="8">
        <v>4.07E-2</v>
      </c>
      <c r="E29" s="8">
        <v>0.21100000000000002</v>
      </c>
      <c r="F29" s="8">
        <f t="shared" si="1"/>
        <v>0.78899999999999992</v>
      </c>
      <c r="G29" t="s">
        <v>8</v>
      </c>
    </row>
    <row r="30" spans="1:7" x14ac:dyDescent="0.25">
      <c r="A30" s="7">
        <v>244.9</v>
      </c>
      <c r="B30" s="2">
        <v>16.110675000000001</v>
      </c>
      <c r="C30" s="8">
        <f t="shared" si="0"/>
        <v>0.94110000000000005</v>
      </c>
      <c r="D30" s="8">
        <v>5.8899999999999994E-2</v>
      </c>
      <c r="E30" s="8">
        <v>0.17399999999999999</v>
      </c>
      <c r="F30" s="8">
        <f t="shared" si="1"/>
        <v>0.82600000000000007</v>
      </c>
      <c r="G30" t="s">
        <v>8</v>
      </c>
    </row>
    <row r="31" spans="1:7" x14ac:dyDescent="0.25">
      <c r="A31" s="7">
        <v>244.9</v>
      </c>
      <c r="B31" s="2">
        <v>16.515975000000001</v>
      </c>
      <c r="C31" s="8">
        <f t="shared" si="0"/>
        <v>0.9395</v>
      </c>
      <c r="D31" s="8">
        <v>6.0499999999999998E-2</v>
      </c>
      <c r="E31" s="8">
        <v>0.17199999999999999</v>
      </c>
      <c r="F31" s="8">
        <f t="shared" si="1"/>
        <v>0.82800000000000007</v>
      </c>
      <c r="G31" t="s">
        <v>8</v>
      </c>
    </row>
    <row r="32" spans="1:7" x14ac:dyDescent="0.25">
      <c r="A32" s="7">
        <v>244.9</v>
      </c>
      <c r="B32" s="2">
        <v>20.1130125</v>
      </c>
      <c r="C32" s="8">
        <f t="shared" si="0"/>
        <v>0.92730000000000001</v>
      </c>
      <c r="D32" s="8">
        <v>7.2700000000000001E-2</v>
      </c>
      <c r="E32" s="8">
        <v>0.161</v>
      </c>
      <c r="F32" s="8">
        <f t="shared" si="1"/>
        <v>0.83899999999999997</v>
      </c>
      <c r="G32" t="s">
        <v>8</v>
      </c>
    </row>
    <row r="33" spans="1:7" x14ac:dyDescent="0.25">
      <c r="A33" s="7">
        <v>244.9</v>
      </c>
      <c r="B33" s="2">
        <v>20.315662499999998</v>
      </c>
      <c r="C33" s="8">
        <f t="shared" si="0"/>
        <v>0.92679999999999996</v>
      </c>
      <c r="D33" s="8">
        <v>7.3200000000000001E-2</v>
      </c>
      <c r="E33" s="8">
        <v>0.159</v>
      </c>
      <c r="F33" s="8">
        <f t="shared" si="1"/>
        <v>0.84099999999999997</v>
      </c>
      <c r="G33" t="s">
        <v>8</v>
      </c>
    </row>
    <row r="34" spans="1:7" x14ac:dyDescent="0.25">
      <c r="A34" s="7">
        <v>259.89999999999998</v>
      </c>
      <c r="B34" s="2">
        <v>3.1005449999999999</v>
      </c>
      <c r="C34" s="8"/>
      <c r="D34" s="8"/>
      <c r="E34" s="8">
        <v>0.82599999999999996</v>
      </c>
      <c r="F34" s="8">
        <f t="shared" si="1"/>
        <v>0.17400000000000004</v>
      </c>
      <c r="G34" t="s">
        <v>8</v>
      </c>
    </row>
    <row r="35" spans="1:7" x14ac:dyDescent="0.25">
      <c r="A35" s="7">
        <v>259.89999999999998</v>
      </c>
      <c r="B35" s="2">
        <v>3.2727974999999994</v>
      </c>
      <c r="C35" s="8">
        <f t="shared" si="0"/>
        <v>0.99529999999999996</v>
      </c>
      <c r="D35" s="8">
        <v>4.6999999999999993E-3</v>
      </c>
      <c r="E35" s="8">
        <v>0.79400000000000004</v>
      </c>
      <c r="F35" s="8">
        <f t="shared" si="1"/>
        <v>0.20599999999999996</v>
      </c>
      <c r="G35" t="s">
        <v>8</v>
      </c>
    </row>
    <row r="36" spans="1:7" x14ac:dyDescent="0.25">
      <c r="A36" s="7">
        <v>259.89999999999998</v>
      </c>
      <c r="B36" s="2">
        <v>5.0662500000000001</v>
      </c>
      <c r="C36" s="8">
        <f t="shared" si="0"/>
        <v>0.98540000000000005</v>
      </c>
      <c r="D36" s="8">
        <v>1.46E-2</v>
      </c>
      <c r="E36" s="8">
        <v>0.57999999999999996</v>
      </c>
      <c r="F36" s="8">
        <f t="shared" si="1"/>
        <v>0.42000000000000004</v>
      </c>
      <c r="G36" t="s">
        <v>8</v>
      </c>
    </row>
    <row r="37" spans="1:7" x14ac:dyDescent="0.25">
      <c r="A37" s="7">
        <v>259.89999999999998</v>
      </c>
      <c r="B37" s="2">
        <v>7.3865925000000008</v>
      </c>
      <c r="C37" s="8">
        <f t="shared" si="0"/>
        <v>0.97309999999999997</v>
      </c>
      <c r="D37" s="8">
        <v>2.69E-2</v>
      </c>
      <c r="E37" s="8">
        <v>0.45</v>
      </c>
      <c r="F37" s="8">
        <f t="shared" si="1"/>
        <v>0.55000000000000004</v>
      </c>
      <c r="G37" t="s">
        <v>8</v>
      </c>
    </row>
    <row r="38" spans="1:7" x14ac:dyDescent="0.25">
      <c r="A38" s="7">
        <v>259.89999999999998</v>
      </c>
      <c r="B38" s="2">
        <v>9.2611050000000006</v>
      </c>
      <c r="C38" s="8">
        <f t="shared" si="0"/>
        <v>0.9637</v>
      </c>
      <c r="D38" s="8">
        <v>3.6299999999999999E-2</v>
      </c>
      <c r="E38" s="8">
        <v>0.38200000000000001</v>
      </c>
      <c r="F38" s="8">
        <f t="shared" si="1"/>
        <v>0.61799999999999999</v>
      </c>
      <c r="G38" t="s">
        <v>8</v>
      </c>
    </row>
    <row r="39" spans="1:7" x14ac:dyDescent="0.25">
      <c r="A39" s="7">
        <v>259.89999999999998</v>
      </c>
      <c r="B39" s="2">
        <v>12.321120000000001</v>
      </c>
      <c r="C39" s="8"/>
      <c r="D39" s="8"/>
      <c r="E39" s="8">
        <v>0.32500000000000001</v>
      </c>
      <c r="F39" s="8">
        <f t="shared" si="1"/>
        <v>0.67500000000000004</v>
      </c>
      <c r="G39" t="s">
        <v>8</v>
      </c>
    </row>
    <row r="40" spans="1:7" x14ac:dyDescent="0.25">
      <c r="A40" s="7">
        <v>259.89999999999998</v>
      </c>
      <c r="B40" s="2">
        <v>13.496489999999998</v>
      </c>
      <c r="C40" s="8">
        <f t="shared" si="0"/>
        <v>0.94020000000000004</v>
      </c>
      <c r="D40" s="8">
        <v>5.9800000000000006E-2</v>
      </c>
      <c r="E40" s="8">
        <v>0.30499999999999999</v>
      </c>
      <c r="F40" s="8">
        <f t="shared" si="1"/>
        <v>0.69500000000000006</v>
      </c>
      <c r="G40" t="s">
        <v>8</v>
      </c>
    </row>
    <row r="41" spans="1:7" x14ac:dyDescent="0.25">
      <c r="A41" s="7">
        <v>259.89999999999998</v>
      </c>
      <c r="B41" s="2">
        <v>15.350737499999999</v>
      </c>
      <c r="C41" s="8">
        <f t="shared" si="0"/>
        <v>0.93120000000000003</v>
      </c>
      <c r="D41" s="8">
        <v>6.88E-2</v>
      </c>
      <c r="E41" s="8">
        <v>0.28899999999999998</v>
      </c>
      <c r="F41" s="8">
        <f t="shared" si="1"/>
        <v>0.71100000000000008</v>
      </c>
      <c r="G41" t="s">
        <v>8</v>
      </c>
    </row>
    <row r="42" spans="1:7" x14ac:dyDescent="0.25">
      <c r="A42" s="7">
        <v>259.89999999999998</v>
      </c>
      <c r="B42" s="2">
        <v>15.674977499999999</v>
      </c>
      <c r="C42" s="8">
        <f t="shared" si="0"/>
        <v>0.92999999999999994</v>
      </c>
      <c r="D42" s="8">
        <v>7.0000000000000007E-2</v>
      </c>
      <c r="E42" s="8">
        <v>0.28800000000000003</v>
      </c>
      <c r="F42" s="8">
        <f t="shared" si="1"/>
        <v>0.71199999999999997</v>
      </c>
      <c r="G42" t="s">
        <v>8</v>
      </c>
    </row>
    <row r="43" spans="1:7" x14ac:dyDescent="0.25">
      <c r="A43" s="7">
        <v>259.89999999999998</v>
      </c>
      <c r="B43" s="2">
        <v>20.315662499999998</v>
      </c>
      <c r="C43" s="8">
        <f t="shared" si="0"/>
        <v>0.9073</v>
      </c>
      <c r="D43" s="8">
        <v>9.2699999999999991E-2</v>
      </c>
      <c r="E43" s="8">
        <v>0.255</v>
      </c>
      <c r="F43" s="8">
        <f t="shared" si="1"/>
        <v>0.745</v>
      </c>
      <c r="G43" t="s">
        <v>8</v>
      </c>
    </row>
    <row r="44" spans="1:7" x14ac:dyDescent="0.25">
      <c r="A44" s="7">
        <v>274.89999999999998</v>
      </c>
      <c r="B44" s="2">
        <v>4.9851900000000002</v>
      </c>
      <c r="C44" s="8">
        <f t="shared" si="0"/>
        <v>0.99029999999999996</v>
      </c>
      <c r="D44" s="8">
        <v>9.7000000000000003E-3</v>
      </c>
      <c r="E44" s="8">
        <v>0.82</v>
      </c>
      <c r="F44" s="8">
        <f t="shared" si="1"/>
        <v>0.18000000000000005</v>
      </c>
      <c r="G44" t="s">
        <v>8</v>
      </c>
    </row>
    <row r="45" spans="1:7" x14ac:dyDescent="0.25">
      <c r="A45" s="7">
        <v>274.89999999999998</v>
      </c>
      <c r="B45" s="2">
        <v>6.6063900000000002</v>
      </c>
      <c r="C45" s="8">
        <f t="shared" si="0"/>
        <v>0.97870000000000001</v>
      </c>
      <c r="D45" s="8">
        <v>2.1299999999999999E-2</v>
      </c>
      <c r="E45" s="8">
        <v>0.7</v>
      </c>
      <c r="F45" s="8">
        <f t="shared" si="1"/>
        <v>0.30000000000000004</v>
      </c>
      <c r="G45" t="s">
        <v>8</v>
      </c>
    </row>
    <row r="46" spans="1:7" x14ac:dyDescent="0.25">
      <c r="A46" s="7">
        <v>274.89999999999998</v>
      </c>
      <c r="B46" s="2">
        <v>9.5042849999999994</v>
      </c>
      <c r="C46" s="8">
        <f t="shared" si="0"/>
        <v>0.95950000000000002</v>
      </c>
      <c r="D46" s="8">
        <v>4.0500000000000001E-2</v>
      </c>
      <c r="E46" s="8">
        <v>0.55799999999999994</v>
      </c>
      <c r="F46" s="8">
        <f t="shared" si="1"/>
        <v>0.44200000000000006</v>
      </c>
      <c r="G46" t="s">
        <v>8</v>
      </c>
    </row>
    <row r="47" spans="1:7" x14ac:dyDescent="0.25">
      <c r="A47" s="7">
        <v>274.89999999999998</v>
      </c>
      <c r="B47" s="2">
        <v>12.3109875</v>
      </c>
      <c r="C47" s="8">
        <f t="shared" si="0"/>
        <v>0.94120000000000004</v>
      </c>
      <c r="D47" s="8">
        <v>5.8799999999999998E-2</v>
      </c>
      <c r="E47" s="8">
        <v>0.48200000000000004</v>
      </c>
      <c r="F47" s="8">
        <f t="shared" si="1"/>
        <v>0.51800000000000002</v>
      </c>
      <c r="G47" t="s">
        <v>8</v>
      </c>
    </row>
    <row r="48" spans="1:7" x14ac:dyDescent="0.25">
      <c r="A48" s="7">
        <v>274.89999999999998</v>
      </c>
      <c r="B48" s="2">
        <v>16.049880000000002</v>
      </c>
      <c r="C48" s="8">
        <f t="shared" si="0"/>
        <v>0.91400000000000003</v>
      </c>
      <c r="D48" s="8">
        <v>8.5999999999999993E-2</v>
      </c>
      <c r="E48" s="8"/>
      <c r="F48" s="8"/>
      <c r="G48" t="s">
        <v>8</v>
      </c>
    </row>
    <row r="49" spans="1:7" x14ac:dyDescent="0.25">
      <c r="A49" s="7">
        <v>274.89999999999998</v>
      </c>
      <c r="B49" s="2">
        <v>16.597035000000002</v>
      </c>
      <c r="C49" s="8"/>
      <c r="D49" s="8"/>
      <c r="E49" s="8">
        <v>0.41200000000000003</v>
      </c>
      <c r="F49" s="8">
        <f t="shared" si="1"/>
        <v>0.58799999999999997</v>
      </c>
      <c r="G49" t="s">
        <v>8</v>
      </c>
    </row>
    <row r="50" spans="1:7" x14ac:dyDescent="0.25">
      <c r="A50" s="7">
        <v>274.89999999999998</v>
      </c>
      <c r="B50" s="2">
        <v>17.731874999999999</v>
      </c>
      <c r="C50" s="8">
        <f t="shared" si="0"/>
        <v>0.9</v>
      </c>
      <c r="D50" s="8">
        <v>0.1</v>
      </c>
      <c r="E50" s="8"/>
      <c r="F50" s="8"/>
      <c r="G50" t="s">
        <v>8</v>
      </c>
    </row>
    <row r="51" spans="1:7" x14ac:dyDescent="0.25">
      <c r="A51" s="7">
        <v>274.89999999999998</v>
      </c>
      <c r="B51" s="2">
        <v>19.2010875</v>
      </c>
      <c r="C51" s="8"/>
      <c r="D51" s="8"/>
      <c r="E51" s="8">
        <v>0.39</v>
      </c>
      <c r="F51" s="8">
        <f t="shared" si="1"/>
        <v>0.61</v>
      </c>
      <c r="G51" t="s">
        <v>8</v>
      </c>
    </row>
    <row r="52" spans="1:7" x14ac:dyDescent="0.25">
      <c r="A52" s="7">
        <v>274.89999999999998</v>
      </c>
      <c r="B52" s="2">
        <v>20.062349999999999</v>
      </c>
      <c r="C52" s="8">
        <f t="shared" si="0"/>
        <v>0.88500000000000001</v>
      </c>
      <c r="D52" s="8">
        <v>0.115</v>
      </c>
      <c r="E52" s="8"/>
      <c r="F52" s="8"/>
      <c r="G52" t="s">
        <v>8</v>
      </c>
    </row>
    <row r="53" spans="1:7" x14ac:dyDescent="0.25">
      <c r="A53" s="7">
        <v>289.89999999999998</v>
      </c>
      <c r="B53" s="2">
        <v>6.5759925000000008</v>
      </c>
      <c r="C53" s="8">
        <f t="shared" si="0"/>
        <v>0.98699999999999999</v>
      </c>
      <c r="D53" s="8">
        <v>1.3000000000000001E-2</v>
      </c>
      <c r="E53" s="8">
        <v>0.89800000000000002</v>
      </c>
      <c r="F53" s="8">
        <f t="shared" si="1"/>
        <v>0.10199999999999998</v>
      </c>
      <c r="G53" t="s">
        <v>8</v>
      </c>
    </row>
    <row r="54" spans="1:7" x14ac:dyDescent="0.25">
      <c r="A54" s="7">
        <v>289.89999999999998</v>
      </c>
      <c r="B54" s="2">
        <v>8.9976599999999998</v>
      </c>
      <c r="C54" s="8">
        <f t="shared" si="0"/>
        <v>0.97419999999999995</v>
      </c>
      <c r="D54" s="8">
        <v>2.58E-2</v>
      </c>
      <c r="E54" s="8">
        <v>0.82400000000000007</v>
      </c>
      <c r="F54" s="8">
        <f t="shared" si="1"/>
        <v>0.17599999999999993</v>
      </c>
      <c r="G54" t="s">
        <v>8</v>
      </c>
    </row>
    <row r="55" spans="1:7" x14ac:dyDescent="0.25">
      <c r="A55" s="7">
        <v>289.89999999999998</v>
      </c>
      <c r="B55" s="2">
        <v>10.233825</v>
      </c>
      <c r="C55" s="8">
        <f t="shared" si="0"/>
        <v>0.95099999999999996</v>
      </c>
      <c r="D55" s="8">
        <v>4.9000000000000002E-2</v>
      </c>
      <c r="E55" s="8">
        <v>0.72</v>
      </c>
      <c r="F55" s="8">
        <f t="shared" si="1"/>
        <v>0.28000000000000003</v>
      </c>
      <c r="G55" t="s">
        <v>8</v>
      </c>
    </row>
    <row r="56" spans="1:7" x14ac:dyDescent="0.25">
      <c r="A56" s="7">
        <v>289.89999999999998</v>
      </c>
      <c r="B56" s="2">
        <v>15.371002499999998</v>
      </c>
      <c r="C56" s="8">
        <f t="shared" si="0"/>
        <v>0.89</v>
      </c>
      <c r="D56" s="8">
        <v>0.11</v>
      </c>
      <c r="E56" s="8">
        <v>0.60899999999999999</v>
      </c>
      <c r="F56" s="8">
        <f t="shared" si="1"/>
        <v>0.39100000000000001</v>
      </c>
      <c r="G56" t="s">
        <v>8</v>
      </c>
    </row>
    <row r="57" spans="1:7" x14ac:dyDescent="0.25">
      <c r="A57" s="7">
        <v>289.89999999999998</v>
      </c>
      <c r="B57" s="2">
        <v>16.212</v>
      </c>
      <c r="C57" s="8">
        <f t="shared" si="0"/>
        <v>0.879</v>
      </c>
      <c r="D57" s="8">
        <v>0.121</v>
      </c>
      <c r="E57" s="8">
        <v>0.6</v>
      </c>
      <c r="F57" s="8">
        <f t="shared" si="1"/>
        <v>0.4</v>
      </c>
      <c r="G57" t="s">
        <v>8</v>
      </c>
    </row>
    <row r="58" spans="1:7" x14ac:dyDescent="0.25">
      <c r="A58" s="7">
        <v>289.89999999999998</v>
      </c>
      <c r="B58" s="2">
        <v>17.529225</v>
      </c>
      <c r="C58" s="8">
        <f t="shared" si="0"/>
        <v>0.86099999999999999</v>
      </c>
      <c r="D58" s="8">
        <v>0.13900000000000001</v>
      </c>
      <c r="E58" s="8">
        <v>0.57799999999999996</v>
      </c>
      <c r="F58" s="8">
        <f t="shared" si="1"/>
        <v>0.42200000000000004</v>
      </c>
      <c r="G58" t="s">
        <v>8</v>
      </c>
    </row>
    <row r="59" spans="1:7" x14ac:dyDescent="0.25">
      <c r="A59" s="9">
        <v>289.89999999999998</v>
      </c>
      <c r="B59" s="4">
        <v>18.2891625</v>
      </c>
      <c r="C59" s="10"/>
      <c r="D59" s="10"/>
      <c r="E59" s="10">
        <v>0.57499999999999996</v>
      </c>
      <c r="F59" s="10" cm="1">
        <f t="array" aca="1" ref="F59" ca="1">A2:F59</f>
        <v>0</v>
      </c>
      <c r="G5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AF8D-6EE7-4C8D-91A3-24D346789C00}">
  <dimension ref="A1:G13"/>
  <sheetViews>
    <sheetView zoomScale="145" zoomScaleNormal="145" workbookViewId="0">
      <selection sqref="A1:G1"/>
    </sheetView>
  </sheetViews>
  <sheetFormatPr defaultRowHeight="15" x14ac:dyDescent="0.25"/>
  <cols>
    <col min="7" max="7" width="19.1406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</row>
    <row r="2" spans="1:7" x14ac:dyDescent="0.25">
      <c r="A2" s="1">
        <v>273.14999999999998</v>
      </c>
      <c r="B2" s="2">
        <v>6.0795000000000003</v>
      </c>
      <c r="C2" s="8"/>
      <c r="D2" s="1"/>
      <c r="E2" s="1">
        <f>1-F2</f>
        <v>0.71700000000000008</v>
      </c>
      <c r="F2" s="1">
        <v>0.28299999999999997</v>
      </c>
      <c r="G2" t="s">
        <v>9</v>
      </c>
    </row>
    <row r="3" spans="1:7" x14ac:dyDescent="0.25">
      <c r="A3" s="1">
        <v>273.14999999999998</v>
      </c>
      <c r="B3" s="2">
        <v>10.436475</v>
      </c>
      <c r="C3" s="1">
        <f t="shared" ref="C3:C13" si="0">1-D3</f>
        <v>0.95299999999999996</v>
      </c>
      <c r="D3" s="1">
        <v>4.7E-2</v>
      </c>
      <c r="E3" s="1">
        <f t="shared" ref="E3:E13" si="1">1-F3</f>
        <v>0.52600000000000002</v>
      </c>
      <c r="F3" s="1">
        <v>0.47399999999999998</v>
      </c>
      <c r="G3" t="s">
        <v>9</v>
      </c>
    </row>
    <row r="4" spans="1:7" x14ac:dyDescent="0.25">
      <c r="A4" s="1">
        <v>273.14999999999998</v>
      </c>
      <c r="B4" s="2">
        <v>13.881525</v>
      </c>
      <c r="C4" s="1">
        <f t="shared" si="0"/>
        <v>0.92110000000000003</v>
      </c>
      <c r="D4" s="1">
        <v>7.8899999999999998E-2</v>
      </c>
      <c r="E4" s="1">
        <f t="shared" si="1"/>
        <v>0.43700000000000006</v>
      </c>
      <c r="F4" s="1">
        <v>0.56299999999999994</v>
      </c>
      <c r="G4" t="s">
        <v>9</v>
      </c>
    </row>
    <row r="5" spans="1:7" x14ac:dyDescent="0.25">
      <c r="A5" s="1">
        <v>273.14999999999998</v>
      </c>
      <c r="B5" s="2">
        <v>18.339825000000001</v>
      </c>
      <c r="C5" s="1">
        <f t="shared" si="0"/>
        <v>0.89600000000000002</v>
      </c>
      <c r="D5" s="1">
        <v>0.104</v>
      </c>
      <c r="E5" s="1">
        <f t="shared" si="1"/>
        <v>0.40400000000000003</v>
      </c>
      <c r="F5" s="1">
        <v>0.59599999999999997</v>
      </c>
      <c r="G5" t="s">
        <v>9</v>
      </c>
    </row>
    <row r="6" spans="1:7" x14ac:dyDescent="0.25">
      <c r="A6" s="1">
        <v>273.14999999999998</v>
      </c>
      <c r="B6" s="2">
        <v>23.304749999999999</v>
      </c>
      <c r="C6" s="1">
        <f t="shared" si="0"/>
        <v>0.84399999999999997</v>
      </c>
      <c r="D6" s="1">
        <v>0.156</v>
      </c>
      <c r="E6" s="1">
        <f t="shared" si="1"/>
        <v>0.375</v>
      </c>
      <c r="F6" s="1">
        <v>0.625</v>
      </c>
      <c r="G6" t="s">
        <v>9</v>
      </c>
    </row>
    <row r="7" spans="1:7" x14ac:dyDescent="0.25">
      <c r="A7" s="1">
        <v>273.14999999999998</v>
      </c>
      <c r="B7" s="2">
        <v>27.76305</v>
      </c>
      <c r="C7" s="1">
        <f t="shared" si="0"/>
        <v>0.82000000000000006</v>
      </c>
      <c r="D7" s="1">
        <v>0.18</v>
      </c>
      <c r="E7" s="1">
        <f t="shared" si="1"/>
        <v>0.35099999999999998</v>
      </c>
      <c r="F7" s="1">
        <v>0.64900000000000002</v>
      </c>
      <c r="G7" t="s">
        <v>9</v>
      </c>
    </row>
    <row r="8" spans="1:7" x14ac:dyDescent="0.25">
      <c r="A8" s="1">
        <v>273.14999999999998</v>
      </c>
      <c r="B8" s="2">
        <v>30.296175000000002</v>
      </c>
      <c r="C8" s="1">
        <f t="shared" si="0"/>
        <v>0.78600000000000003</v>
      </c>
      <c r="D8" s="1">
        <v>0.214</v>
      </c>
      <c r="E8" s="1">
        <f t="shared" si="1"/>
        <v>0.34899999999999998</v>
      </c>
      <c r="F8" s="1">
        <v>0.65100000000000002</v>
      </c>
      <c r="G8" t="s">
        <v>9</v>
      </c>
    </row>
    <row r="9" spans="1:7" x14ac:dyDescent="0.25">
      <c r="A9" s="1">
        <v>273.14999999999998</v>
      </c>
      <c r="B9" s="2">
        <v>31.309425000000001</v>
      </c>
      <c r="C9" s="1">
        <f t="shared" si="0"/>
        <v>0.77700000000000002</v>
      </c>
      <c r="D9" s="1">
        <v>0.223</v>
      </c>
      <c r="E9" s="1"/>
      <c r="F9" s="1"/>
      <c r="G9" t="s">
        <v>9</v>
      </c>
    </row>
    <row r="10" spans="1:7" x14ac:dyDescent="0.25">
      <c r="A10" s="1">
        <v>273.14999999999998</v>
      </c>
      <c r="B10" s="2">
        <v>33.943874999999998</v>
      </c>
      <c r="C10" s="1">
        <f t="shared" si="0"/>
        <v>0.71399999999999997</v>
      </c>
      <c r="D10" s="1">
        <v>0.28599999999999998</v>
      </c>
      <c r="E10" s="1">
        <f t="shared" si="1"/>
        <v>0.39600000000000002</v>
      </c>
      <c r="F10" s="1">
        <v>0.60399999999999998</v>
      </c>
      <c r="G10" t="s">
        <v>9</v>
      </c>
    </row>
    <row r="11" spans="1:7" x14ac:dyDescent="0.25">
      <c r="A11" s="1">
        <v>273.14999999999998</v>
      </c>
      <c r="B11" s="2">
        <v>35.463749999999997</v>
      </c>
      <c r="C11" s="1">
        <f t="shared" si="0"/>
        <v>0.68300000000000005</v>
      </c>
      <c r="D11" s="1">
        <v>0.317</v>
      </c>
      <c r="E11" s="1">
        <f t="shared" si="1"/>
        <v>0.42000000000000004</v>
      </c>
      <c r="F11" s="1">
        <v>0.57999999999999996</v>
      </c>
      <c r="G11" t="s">
        <v>9</v>
      </c>
    </row>
    <row r="12" spans="1:7" x14ac:dyDescent="0.25">
      <c r="A12" s="1">
        <v>273.14999999999998</v>
      </c>
      <c r="B12" s="2">
        <v>36.274349999999998</v>
      </c>
      <c r="C12" s="1">
        <f t="shared" si="0"/>
        <v>0.67900000000000005</v>
      </c>
      <c r="D12" s="1">
        <v>0.32100000000000001</v>
      </c>
      <c r="E12" s="1">
        <f t="shared" si="1"/>
        <v>0.46599999999999997</v>
      </c>
      <c r="F12" s="1">
        <v>0.53400000000000003</v>
      </c>
      <c r="G12" t="s">
        <v>9</v>
      </c>
    </row>
    <row r="13" spans="1:7" x14ac:dyDescent="0.25">
      <c r="A13" s="3">
        <v>273.14999999999998</v>
      </c>
      <c r="B13" s="4">
        <v>37.490250000000003</v>
      </c>
      <c r="C13" s="3">
        <f t="shared" si="0"/>
        <v>0.52800000000000002</v>
      </c>
      <c r="D13" s="3">
        <v>0.47199999999999998</v>
      </c>
      <c r="E13" s="3">
        <f t="shared" si="1"/>
        <v>0.52200000000000002</v>
      </c>
      <c r="F13" s="3">
        <v>0.47799999999999998</v>
      </c>
      <c r="G1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8FA5-7249-40EF-B5C9-AD7A290CF44A}">
  <dimension ref="A1:G148"/>
  <sheetViews>
    <sheetView zoomScale="145" zoomScaleNormal="145" workbookViewId="0">
      <selection sqref="A1:G1"/>
    </sheetView>
  </sheetViews>
  <sheetFormatPr defaultRowHeight="15" x14ac:dyDescent="0.25"/>
  <cols>
    <col min="7" max="7" width="17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</row>
    <row r="2" spans="1:7" x14ac:dyDescent="0.25">
      <c r="A2" s="1">
        <v>220</v>
      </c>
      <c r="B2" s="7">
        <v>0.93</v>
      </c>
      <c r="C2" s="1">
        <f>1-D2</f>
        <v>0.99850000000000005</v>
      </c>
      <c r="D2" s="1">
        <v>1.5E-3</v>
      </c>
      <c r="E2" s="1">
        <f>1-F2</f>
        <v>0.71019999999999994</v>
      </c>
      <c r="F2" s="1">
        <v>0.2898</v>
      </c>
      <c r="G2" t="s">
        <v>10</v>
      </c>
    </row>
    <row r="3" spans="1:7" x14ac:dyDescent="0.25">
      <c r="A3" s="1">
        <v>220</v>
      </c>
      <c r="B3" s="7">
        <v>1</v>
      </c>
      <c r="C3" s="1"/>
      <c r="D3" s="1"/>
      <c r="E3" s="1">
        <f t="shared" ref="E3:E66" si="0">1-F3</f>
        <v>0.65549999999999997</v>
      </c>
      <c r="F3" s="1">
        <v>0.34449999999999997</v>
      </c>
      <c r="G3" t="s">
        <v>10</v>
      </c>
    </row>
    <row r="4" spans="1:7" x14ac:dyDescent="0.25">
      <c r="A4" s="1">
        <v>220</v>
      </c>
      <c r="B4" s="7">
        <v>1.07</v>
      </c>
      <c r="C4" s="1">
        <f t="shared" ref="C4:C67" si="1">1-D4</f>
        <v>0.99719999999999998</v>
      </c>
      <c r="D4" s="1">
        <v>2.8E-3</v>
      </c>
      <c r="E4" s="1">
        <f t="shared" si="0"/>
        <v>0.6129</v>
      </c>
      <c r="F4" s="1">
        <v>0.3871</v>
      </c>
      <c r="G4" t="s">
        <v>10</v>
      </c>
    </row>
    <row r="5" spans="1:7" x14ac:dyDescent="0.25">
      <c r="A5" s="1">
        <v>220</v>
      </c>
      <c r="B5" s="7">
        <v>1.18</v>
      </c>
      <c r="C5" s="1"/>
      <c r="D5" s="1"/>
      <c r="E5" s="1">
        <f t="shared" si="0"/>
        <v>0.56909999999999994</v>
      </c>
      <c r="F5" s="1">
        <v>0.43090000000000001</v>
      </c>
      <c r="G5" t="s">
        <v>10</v>
      </c>
    </row>
    <row r="6" spans="1:7" x14ac:dyDescent="0.25">
      <c r="A6" s="1">
        <v>220</v>
      </c>
      <c r="B6" s="7">
        <v>1.27</v>
      </c>
      <c r="C6" s="1">
        <f t="shared" si="1"/>
        <v>0.99680000000000002</v>
      </c>
      <c r="D6" s="1">
        <v>3.2000000000000002E-3</v>
      </c>
      <c r="E6" s="1">
        <f t="shared" si="0"/>
        <v>0.53580000000000005</v>
      </c>
      <c r="F6" s="1">
        <v>0.4642</v>
      </c>
      <c r="G6" t="s">
        <v>10</v>
      </c>
    </row>
    <row r="7" spans="1:7" x14ac:dyDescent="0.25">
      <c r="A7" s="1">
        <v>220</v>
      </c>
      <c r="B7" s="7">
        <v>1.35</v>
      </c>
      <c r="C7" s="1">
        <f t="shared" si="1"/>
        <v>0.99650000000000005</v>
      </c>
      <c r="D7" s="1">
        <v>3.5000000000000001E-3</v>
      </c>
      <c r="E7" s="1">
        <f t="shared" si="0"/>
        <v>0.49750000000000005</v>
      </c>
      <c r="F7" s="1">
        <v>0.50249999999999995</v>
      </c>
      <c r="G7" t="s">
        <v>10</v>
      </c>
    </row>
    <row r="8" spans="1:7" x14ac:dyDescent="0.25">
      <c r="A8" s="1">
        <v>220</v>
      </c>
      <c r="B8" s="7">
        <v>2.23</v>
      </c>
      <c r="C8" s="1">
        <f t="shared" si="1"/>
        <v>0.99329999999999996</v>
      </c>
      <c r="D8" s="1">
        <v>6.7000000000000002E-3</v>
      </c>
      <c r="E8" s="1">
        <f t="shared" si="0"/>
        <v>0.32450000000000001</v>
      </c>
      <c r="F8" s="1">
        <v>0.67549999999999999</v>
      </c>
      <c r="G8" t="s">
        <v>10</v>
      </c>
    </row>
    <row r="9" spans="1:7" x14ac:dyDescent="0.25">
      <c r="A9" s="1">
        <v>220</v>
      </c>
      <c r="B9" s="7">
        <v>3.51</v>
      </c>
      <c r="C9" s="1">
        <f t="shared" si="1"/>
        <v>0.98880000000000001</v>
      </c>
      <c r="D9" s="1">
        <v>1.12E-2</v>
      </c>
      <c r="E9" s="1">
        <f t="shared" si="0"/>
        <v>0.21899999999999997</v>
      </c>
      <c r="F9" s="1">
        <v>0.78100000000000003</v>
      </c>
      <c r="G9" t="s">
        <v>10</v>
      </c>
    </row>
    <row r="10" spans="1:7" x14ac:dyDescent="0.25">
      <c r="A10" s="1">
        <v>220</v>
      </c>
      <c r="B10" s="7">
        <v>5.13</v>
      </c>
      <c r="C10" s="1">
        <f t="shared" si="1"/>
        <v>0.98409999999999997</v>
      </c>
      <c r="D10" s="1">
        <v>1.5900000000000001E-2</v>
      </c>
      <c r="E10" s="1">
        <f t="shared" si="0"/>
        <v>0.16310000000000002</v>
      </c>
      <c r="F10" s="1">
        <v>0.83689999999999998</v>
      </c>
      <c r="G10" t="s">
        <v>10</v>
      </c>
    </row>
    <row r="11" spans="1:7" x14ac:dyDescent="0.25">
      <c r="A11" s="1">
        <v>220</v>
      </c>
      <c r="B11" s="7">
        <v>7.13</v>
      </c>
      <c r="C11" s="1">
        <f t="shared" si="1"/>
        <v>0.97819999999999996</v>
      </c>
      <c r="D11" s="1">
        <v>2.18E-2</v>
      </c>
      <c r="E11" s="1">
        <f t="shared" si="0"/>
        <v>0.12629999999999997</v>
      </c>
      <c r="F11" s="1">
        <v>0.87370000000000003</v>
      </c>
      <c r="G11" t="s">
        <v>10</v>
      </c>
    </row>
    <row r="12" spans="1:7" x14ac:dyDescent="0.25">
      <c r="A12" s="1">
        <v>220</v>
      </c>
      <c r="B12" s="7">
        <v>11.01</v>
      </c>
      <c r="C12" s="1">
        <f t="shared" si="1"/>
        <v>0.97030000000000005</v>
      </c>
      <c r="D12" s="1">
        <v>2.9700000000000001E-2</v>
      </c>
      <c r="E12" s="1">
        <f t="shared" si="0"/>
        <v>9.4500000000000028E-2</v>
      </c>
      <c r="F12" s="1">
        <v>0.90549999999999997</v>
      </c>
      <c r="G12" t="s">
        <v>10</v>
      </c>
    </row>
    <row r="13" spans="1:7" x14ac:dyDescent="0.25">
      <c r="A13" s="1">
        <v>220</v>
      </c>
      <c r="B13" s="7">
        <v>14</v>
      </c>
      <c r="C13" s="1">
        <f t="shared" si="1"/>
        <v>0.96389999999999998</v>
      </c>
      <c r="D13" s="1">
        <v>3.61E-2</v>
      </c>
      <c r="E13" s="1">
        <f t="shared" si="0"/>
        <v>8.3799999999999986E-2</v>
      </c>
      <c r="F13" s="1">
        <v>0.91620000000000001</v>
      </c>
      <c r="G13" t="s">
        <v>10</v>
      </c>
    </row>
    <row r="14" spans="1:7" x14ac:dyDescent="0.25">
      <c r="A14" s="1">
        <v>220</v>
      </c>
      <c r="B14" s="7">
        <v>15.46</v>
      </c>
      <c r="C14" s="1">
        <f t="shared" si="1"/>
        <v>0.96060000000000001</v>
      </c>
      <c r="D14" s="1">
        <v>3.9399999999999998E-2</v>
      </c>
      <c r="E14" s="1">
        <f t="shared" si="0"/>
        <v>8.109999999999995E-2</v>
      </c>
      <c r="F14" s="1">
        <v>0.91890000000000005</v>
      </c>
      <c r="G14" t="s">
        <v>10</v>
      </c>
    </row>
    <row r="15" spans="1:7" x14ac:dyDescent="0.25">
      <c r="A15" s="1">
        <v>220</v>
      </c>
      <c r="B15" s="7">
        <v>16.93</v>
      </c>
      <c r="C15" s="1">
        <f t="shared" si="1"/>
        <v>0.95730000000000004</v>
      </c>
      <c r="D15" s="1">
        <v>4.2700000000000002E-2</v>
      </c>
      <c r="E15" s="1">
        <f t="shared" si="0"/>
        <v>7.8699999999999992E-2</v>
      </c>
      <c r="F15" s="1">
        <v>0.92130000000000001</v>
      </c>
      <c r="G15" t="s">
        <v>10</v>
      </c>
    </row>
    <row r="16" spans="1:7" x14ac:dyDescent="0.25">
      <c r="A16" s="1">
        <v>220</v>
      </c>
      <c r="B16" s="7">
        <v>18.79</v>
      </c>
      <c r="C16" s="1">
        <f t="shared" si="1"/>
        <v>0.95369999999999999</v>
      </c>
      <c r="D16" s="1">
        <v>4.6300000000000001E-2</v>
      </c>
      <c r="E16" s="1">
        <f t="shared" si="0"/>
        <v>7.9099999999999948E-2</v>
      </c>
      <c r="F16" s="1">
        <v>0.92090000000000005</v>
      </c>
      <c r="G16" t="s">
        <v>10</v>
      </c>
    </row>
    <row r="17" spans="1:7" x14ac:dyDescent="0.25">
      <c r="A17" s="1">
        <v>220</v>
      </c>
      <c r="B17" s="7">
        <v>20.99</v>
      </c>
      <c r="C17" s="1">
        <f t="shared" si="1"/>
        <v>0.9486</v>
      </c>
      <c r="D17" s="1">
        <v>5.1400000000000001E-2</v>
      </c>
      <c r="E17" s="1">
        <f t="shared" si="0"/>
        <v>7.3999999999999955E-2</v>
      </c>
      <c r="F17" s="1">
        <v>0.92600000000000005</v>
      </c>
      <c r="G17" t="s">
        <v>10</v>
      </c>
    </row>
    <row r="18" spans="1:7" x14ac:dyDescent="0.25">
      <c r="A18" s="1">
        <v>220</v>
      </c>
      <c r="B18" s="7">
        <v>24.34</v>
      </c>
      <c r="C18" s="1">
        <f t="shared" si="1"/>
        <v>0.94069999999999998</v>
      </c>
      <c r="D18" s="1">
        <v>5.9299999999999999E-2</v>
      </c>
      <c r="E18" s="1">
        <f t="shared" si="0"/>
        <v>7.0100000000000051E-2</v>
      </c>
      <c r="F18" s="1">
        <v>0.92989999999999995</v>
      </c>
      <c r="G18" t="s">
        <v>10</v>
      </c>
    </row>
    <row r="19" spans="1:7" x14ac:dyDescent="0.25">
      <c r="A19" s="1">
        <v>220</v>
      </c>
      <c r="B19" s="7">
        <v>26.44</v>
      </c>
      <c r="C19" s="1">
        <f t="shared" si="1"/>
        <v>0.93530000000000002</v>
      </c>
      <c r="D19" s="1">
        <v>6.4699999999999994E-2</v>
      </c>
      <c r="E19" s="1">
        <f t="shared" si="0"/>
        <v>6.9300000000000028E-2</v>
      </c>
      <c r="F19" s="1">
        <v>0.93069999999999997</v>
      </c>
      <c r="G19" t="s">
        <v>10</v>
      </c>
    </row>
    <row r="20" spans="1:7" x14ac:dyDescent="0.25">
      <c r="A20" s="1">
        <v>220</v>
      </c>
      <c r="B20" s="7">
        <v>27.59</v>
      </c>
      <c r="C20" s="1">
        <f t="shared" si="1"/>
        <v>0.93369999999999997</v>
      </c>
      <c r="D20" s="1">
        <v>6.6299999999999998E-2</v>
      </c>
      <c r="E20" s="1">
        <f t="shared" si="0"/>
        <v>6.9699999999999984E-2</v>
      </c>
      <c r="F20" s="1">
        <v>0.93030000000000002</v>
      </c>
      <c r="G20" t="s">
        <v>10</v>
      </c>
    </row>
    <row r="21" spans="1:7" x14ac:dyDescent="0.25">
      <c r="A21" s="1">
        <v>220</v>
      </c>
      <c r="B21" s="7">
        <v>31.5</v>
      </c>
      <c r="C21" s="1">
        <f t="shared" si="1"/>
        <v>0.92789999999999995</v>
      </c>
      <c r="D21" s="1">
        <v>7.2099999999999997E-2</v>
      </c>
      <c r="E21" s="1">
        <f t="shared" si="0"/>
        <v>6.9300000000000028E-2</v>
      </c>
      <c r="F21" s="1">
        <v>0.93069999999999997</v>
      </c>
      <c r="G21" t="s">
        <v>10</v>
      </c>
    </row>
    <row r="22" spans="1:7" x14ac:dyDescent="0.25">
      <c r="A22" s="1">
        <v>220</v>
      </c>
      <c r="B22" s="7">
        <v>35.4</v>
      </c>
      <c r="C22" s="1">
        <f t="shared" si="1"/>
        <v>0.91620000000000001</v>
      </c>
      <c r="D22" s="1">
        <v>8.3799999999999999E-2</v>
      </c>
      <c r="E22" s="1">
        <f t="shared" si="0"/>
        <v>6.8500000000000005E-2</v>
      </c>
      <c r="F22" s="1">
        <v>0.93149999999999999</v>
      </c>
      <c r="G22" t="s">
        <v>10</v>
      </c>
    </row>
    <row r="23" spans="1:7" x14ac:dyDescent="0.25">
      <c r="A23" s="1">
        <v>225</v>
      </c>
      <c r="B23" s="1">
        <v>1.18</v>
      </c>
      <c r="C23" s="1">
        <f t="shared" si="1"/>
        <v>0.99770000000000003</v>
      </c>
      <c r="D23" s="1">
        <v>2.3E-3</v>
      </c>
      <c r="E23" s="1">
        <f t="shared" si="0"/>
        <v>0.68979999999999997</v>
      </c>
      <c r="F23" s="1">
        <v>0.31019999999999998</v>
      </c>
      <c r="G23" t="s">
        <v>10</v>
      </c>
    </row>
    <row r="24" spans="1:7" x14ac:dyDescent="0.25">
      <c r="A24" s="1">
        <v>225</v>
      </c>
      <c r="B24" s="1">
        <v>1.17</v>
      </c>
      <c r="C24" s="1">
        <f t="shared" si="1"/>
        <v>0.99609999999999999</v>
      </c>
      <c r="D24" s="1">
        <v>3.8999999999999998E-3</v>
      </c>
      <c r="E24" s="1">
        <f t="shared" si="0"/>
        <v>0.56279999999999997</v>
      </c>
      <c r="F24" s="1">
        <v>0.43719999999999998</v>
      </c>
      <c r="G24" t="s">
        <v>10</v>
      </c>
    </row>
    <row r="25" spans="1:7" x14ac:dyDescent="0.25">
      <c r="A25" s="1">
        <v>225</v>
      </c>
      <c r="B25" s="1">
        <v>2.16</v>
      </c>
      <c r="C25" s="1">
        <f t="shared" si="1"/>
        <v>0.99319999999999997</v>
      </c>
      <c r="D25" s="1">
        <v>6.7999999999999996E-3</v>
      </c>
      <c r="E25" s="1">
        <f t="shared" si="0"/>
        <v>0.40029999999999999</v>
      </c>
      <c r="F25" s="1">
        <v>0.59970000000000001</v>
      </c>
      <c r="G25" t="s">
        <v>10</v>
      </c>
    </row>
    <row r="26" spans="1:7" x14ac:dyDescent="0.25">
      <c r="A26" s="1">
        <v>225</v>
      </c>
      <c r="B26" s="1">
        <v>2.78</v>
      </c>
      <c r="C26" s="1">
        <f t="shared" si="1"/>
        <v>0.99109999999999998</v>
      </c>
      <c r="D26" s="1">
        <v>8.8999999999999999E-3</v>
      </c>
      <c r="E26" s="1">
        <f t="shared" si="0"/>
        <v>0.32430000000000003</v>
      </c>
      <c r="F26" s="1">
        <v>0.67569999999999997</v>
      </c>
      <c r="G26" t="s">
        <v>10</v>
      </c>
    </row>
    <row r="27" spans="1:7" x14ac:dyDescent="0.25">
      <c r="A27" s="1">
        <v>225</v>
      </c>
      <c r="B27" s="1">
        <v>3.56</v>
      </c>
      <c r="C27" s="1">
        <f t="shared" si="1"/>
        <v>0.98829999999999996</v>
      </c>
      <c r="D27" s="1">
        <v>1.17E-2</v>
      </c>
      <c r="E27" s="1">
        <f t="shared" si="0"/>
        <v>0.2591</v>
      </c>
      <c r="F27" s="1">
        <v>0.7409</v>
      </c>
      <c r="G27" t="s">
        <v>10</v>
      </c>
    </row>
    <row r="28" spans="1:7" x14ac:dyDescent="0.25">
      <c r="A28" s="1">
        <v>225</v>
      </c>
      <c r="B28" s="1">
        <v>4.8499999999999996</v>
      </c>
      <c r="C28" s="1">
        <f t="shared" si="1"/>
        <v>0.98409999999999997</v>
      </c>
      <c r="D28" s="1">
        <v>1.5900000000000001E-2</v>
      </c>
      <c r="E28" s="1">
        <f t="shared" si="0"/>
        <v>0.20350000000000001</v>
      </c>
      <c r="F28" s="1">
        <v>0.79649999999999999</v>
      </c>
      <c r="G28" t="s">
        <v>10</v>
      </c>
    </row>
    <row r="29" spans="1:7" x14ac:dyDescent="0.25">
      <c r="A29" s="1">
        <v>225</v>
      </c>
      <c r="B29" s="1">
        <v>7</v>
      </c>
      <c r="C29" s="1">
        <f t="shared" si="1"/>
        <v>0.97819999999999996</v>
      </c>
      <c r="D29" s="1">
        <v>2.18E-2</v>
      </c>
      <c r="E29" s="1">
        <f t="shared" si="0"/>
        <v>0.14929999999999999</v>
      </c>
      <c r="F29" s="1">
        <v>0.85070000000000001</v>
      </c>
      <c r="G29" t="s">
        <v>10</v>
      </c>
    </row>
    <row r="30" spans="1:7" x14ac:dyDescent="0.25">
      <c r="A30" s="1">
        <v>225</v>
      </c>
      <c r="B30" s="1">
        <v>10.65</v>
      </c>
      <c r="C30" s="1">
        <f t="shared" si="1"/>
        <v>0.96879999999999999</v>
      </c>
      <c r="D30" s="1">
        <v>3.1199999999999999E-2</v>
      </c>
      <c r="E30" s="1">
        <f t="shared" si="0"/>
        <v>0.11099999999999999</v>
      </c>
      <c r="F30" s="1">
        <v>0.88900000000000001</v>
      </c>
      <c r="G30" t="s">
        <v>10</v>
      </c>
    </row>
    <row r="31" spans="1:7" x14ac:dyDescent="0.25">
      <c r="A31" s="1">
        <v>225</v>
      </c>
      <c r="B31" s="1">
        <v>14.22</v>
      </c>
      <c r="C31" s="1">
        <f t="shared" si="1"/>
        <v>0.9607</v>
      </c>
      <c r="D31" s="1">
        <v>3.9300000000000002E-2</v>
      </c>
      <c r="E31" s="1">
        <f t="shared" si="0"/>
        <v>9.6400000000000041E-2</v>
      </c>
      <c r="F31" s="1">
        <v>0.90359999999999996</v>
      </c>
      <c r="G31" t="s">
        <v>10</v>
      </c>
    </row>
    <row r="32" spans="1:7" x14ac:dyDescent="0.25">
      <c r="A32" s="1">
        <v>225</v>
      </c>
      <c r="B32" s="1">
        <v>1.49</v>
      </c>
      <c r="C32" s="1">
        <f t="shared" si="1"/>
        <v>0.99609999999999999</v>
      </c>
      <c r="D32" s="1">
        <v>3.8999999999999998E-3</v>
      </c>
      <c r="E32" s="1">
        <f t="shared" si="0"/>
        <v>0.7873</v>
      </c>
      <c r="F32" s="1">
        <v>0.2127</v>
      </c>
      <c r="G32" t="s">
        <v>10</v>
      </c>
    </row>
    <row r="33" spans="1:7" x14ac:dyDescent="0.25">
      <c r="A33" s="1">
        <v>225</v>
      </c>
      <c r="B33" s="1">
        <v>2.14</v>
      </c>
      <c r="C33" s="1">
        <f t="shared" si="1"/>
        <v>0.99309999999999998</v>
      </c>
      <c r="D33" s="1">
        <v>6.8999999999999999E-3</v>
      </c>
      <c r="E33" s="1">
        <f t="shared" si="0"/>
        <v>0.57719999999999994</v>
      </c>
      <c r="F33" s="1">
        <v>0.42280000000000001</v>
      </c>
      <c r="G33" t="s">
        <v>10</v>
      </c>
    </row>
    <row r="34" spans="1:7" x14ac:dyDescent="0.25">
      <c r="A34" s="1">
        <v>225</v>
      </c>
      <c r="B34" s="1">
        <v>3.38</v>
      </c>
      <c r="C34" s="1">
        <f t="shared" si="1"/>
        <v>0.9879</v>
      </c>
      <c r="D34" s="1">
        <v>1.21E-2</v>
      </c>
      <c r="E34" s="1">
        <f t="shared" si="0"/>
        <v>0.39119999999999999</v>
      </c>
      <c r="F34" s="1">
        <v>0.60880000000000001</v>
      </c>
      <c r="G34" t="s">
        <v>10</v>
      </c>
    </row>
    <row r="35" spans="1:7" x14ac:dyDescent="0.25">
      <c r="A35" s="1">
        <v>225</v>
      </c>
      <c r="B35" s="1">
        <v>5.22</v>
      </c>
      <c r="C35" s="1">
        <f t="shared" si="1"/>
        <v>0.98150000000000004</v>
      </c>
      <c r="D35" s="1">
        <v>1.8499999999999999E-2</v>
      </c>
      <c r="E35" s="1">
        <f t="shared" si="0"/>
        <v>0.27139999999999997</v>
      </c>
      <c r="F35" s="1">
        <v>0.72860000000000003</v>
      </c>
      <c r="G35" t="s">
        <v>10</v>
      </c>
    </row>
    <row r="36" spans="1:7" x14ac:dyDescent="0.25">
      <c r="A36" s="1">
        <v>225</v>
      </c>
      <c r="B36" s="1">
        <v>7.06</v>
      </c>
      <c r="C36" s="1">
        <f t="shared" si="1"/>
        <v>0.97570000000000001</v>
      </c>
      <c r="D36" s="1">
        <v>2.4299999999999999E-2</v>
      </c>
      <c r="E36" s="1">
        <f t="shared" si="0"/>
        <v>0.21940000000000004</v>
      </c>
      <c r="F36" s="1">
        <v>0.78059999999999996</v>
      </c>
      <c r="G36" t="s">
        <v>10</v>
      </c>
    </row>
    <row r="37" spans="1:7" x14ac:dyDescent="0.25">
      <c r="A37" s="1">
        <v>225</v>
      </c>
      <c r="B37" s="1">
        <v>10.46</v>
      </c>
      <c r="C37" s="1">
        <f t="shared" si="1"/>
        <v>0.96579999999999999</v>
      </c>
      <c r="D37" s="1">
        <v>3.4200000000000001E-2</v>
      </c>
      <c r="E37" s="1">
        <f t="shared" si="0"/>
        <v>0.16779999999999995</v>
      </c>
      <c r="F37" s="1">
        <v>0.83220000000000005</v>
      </c>
      <c r="G37" t="s">
        <v>10</v>
      </c>
    </row>
    <row r="38" spans="1:7" x14ac:dyDescent="0.25">
      <c r="A38" s="1">
        <v>225</v>
      </c>
      <c r="B38" s="1">
        <v>14.03</v>
      </c>
      <c r="C38" s="1">
        <f t="shared" si="1"/>
        <v>0.95499999999999996</v>
      </c>
      <c r="D38" s="1">
        <v>4.4999999999999998E-2</v>
      </c>
      <c r="E38" s="1">
        <f t="shared" si="0"/>
        <v>0.14380000000000004</v>
      </c>
      <c r="F38" s="1">
        <v>0.85619999999999996</v>
      </c>
      <c r="G38" t="s">
        <v>10</v>
      </c>
    </row>
    <row r="39" spans="1:7" x14ac:dyDescent="0.25">
      <c r="A39" s="1">
        <v>225</v>
      </c>
      <c r="B39" s="1">
        <v>20.73</v>
      </c>
      <c r="C39" s="1">
        <f t="shared" si="1"/>
        <v>0.93410000000000004</v>
      </c>
      <c r="D39" s="1">
        <v>6.59E-2</v>
      </c>
      <c r="E39" s="1">
        <f t="shared" si="0"/>
        <v>0.12450000000000006</v>
      </c>
      <c r="F39" s="1">
        <v>0.87549999999999994</v>
      </c>
      <c r="G39" t="s">
        <v>10</v>
      </c>
    </row>
    <row r="40" spans="1:7" x14ac:dyDescent="0.25">
      <c r="A40" s="1">
        <v>225</v>
      </c>
      <c r="B40" s="1">
        <v>27.71</v>
      </c>
      <c r="C40" s="1">
        <f t="shared" si="1"/>
        <v>0.91190000000000004</v>
      </c>
      <c r="D40" s="1">
        <v>8.8099999999999998E-2</v>
      </c>
      <c r="E40" s="1">
        <f t="shared" si="0"/>
        <v>0.31720000000000004</v>
      </c>
      <c r="F40" s="1">
        <v>0.68279999999999996</v>
      </c>
      <c r="G40" t="s">
        <v>10</v>
      </c>
    </row>
    <row r="41" spans="1:7" x14ac:dyDescent="0.25">
      <c r="A41" s="1">
        <v>225</v>
      </c>
      <c r="B41" s="1">
        <v>35.22</v>
      </c>
      <c r="C41" s="1">
        <f t="shared" si="1"/>
        <v>0.88770000000000004</v>
      </c>
      <c r="D41" s="1">
        <v>0.1123</v>
      </c>
      <c r="E41" s="1">
        <f t="shared" si="0"/>
        <v>0.11319999999999997</v>
      </c>
      <c r="F41" s="1">
        <v>0.88680000000000003</v>
      </c>
      <c r="G41" t="s">
        <v>10</v>
      </c>
    </row>
    <row r="42" spans="1:7" x14ac:dyDescent="0.25">
      <c r="A42" s="1">
        <v>225</v>
      </c>
      <c r="B42" s="1">
        <v>21.15</v>
      </c>
      <c r="C42" s="1">
        <f t="shared" si="1"/>
        <v>0.94330000000000003</v>
      </c>
      <c r="D42" s="1">
        <v>5.67E-2</v>
      </c>
      <c r="E42" s="1">
        <f t="shared" si="0"/>
        <v>8.2200000000000051E-2</v>
      </c>
      <c r="F42" s="1">
        <v>0.91779999999999995</v>
      </c>
      <c r="G42" t="s">
        <v>10</v>
      </c>
    </row>
    <row r="43" spans="1:7" x14ac:dyDescent="0.25">
      <c r="A43" s="1">
        <v>225</v>
      </c>
      <c r="B43" s="1">
        <v>27.88</v>
      </c>
      <c r="C43" s="1">
        <f t="shared" si="1"/>
        <v>0.92600000000000005</v>
      </c>
      <c r="D43" s="1">
        <v>7.3999999999999996E-2</v>
      </c>
      <c r="E43" s="1">
        <f t="shared" si="0"/>
        <v>7.7500000000000013E-2</v>
      </c>
      <c r="F43" s="1">
        <v>0.92249999999999999</v>
      </c>
      <c r="G43" t="s">
        <v>10</v>
      </c>
    </row>
    <row r="44" spans="1:7" x14ac:dyDescent="0.25">
      <c r="A44" s="1">
        <v>225</v>
      </c>
      <c r="B44" s="1">
        <v>34.69</v>
      </c>
      <c r="C44" s="1">
        <f t="shared" si="1"/>
        <v>0.90859999999999996</v>
      </c>
      <c r="D44" s="1">
        <v>9.1399999999999995E-2</v>
      </c>
      <c r="E44" s="1">
        <f t="shared" si="0"/>
        <v>7.6799999999999979E-2</v>
      </c>
      <c r="F44" s="1">
        <v>0.92320000000000002</v>
      </c>
      <c r="G44" t="s">
        <v>10</v>
      </c>
    </row>
    <row r="45" spans="1:7" x14ac:dyDescent="0.25">
      <c r="A45" s="1">
        <v>225</v>
      </c>
      <c r="B45" s="1">
        <v>41.44</v>
      </c>
      <c r="C45" s="1">
        <f t="shared" si="1"/>
        <v>0.89270000000000005</v>
      </c>
      <c r="D45" s="1">
        <v>0.10730000000000001</v>
      </c>
      <c r="E45" s="1">
        <f t="shared" si="0"/>
        <v>7.5999999999999956E-2</v>
      </c>
      <c r="F45" s="1">
        <v>0.92400000000000004</v>
      </c>
      <c r="G45" t="s">
        <v>10</v>
      </c>
    </row>
    <row r="46" spans="1:7" x14ac:dyDescent="0.25">
      <c r="A46" s="1">
        <v>225</v>
      </c>
      <c r="B46" s="1">
        <v>48.37</v>
      </c>
      <c r="C46" s="1">
        <f t="shared" si="1"/>
        <v>0.87650000000000006</v>
      </c>
      <c r="D46" s="1">
        <v>0.1235</v>
      </c>
      <c r="E46" s="1">
        <f t="shared" si="0"/>
        <v>7.7200000000000046E-2</v>
      </c>
      <c r="F46" s="1">
        <v>0.92279999999999995</v>
      </c>
      <c r="G46" t="s">
        <v>10</v>
      </c>
    </row>
    <row r="47" spans="1:7" x14ac:dyDescent="0.25">
      <c r="A47" s="1">
        <v>225</v>
      </c>
      <c r="B47" s="1">
        <v>55.35</v>
      </c>
      <c r="C47" s="1">
        <f t="shared" si="1"/>
        <v>0.86099999999999999</v>
      </c>
      <c r="D47" s="1">
        <v>0.13900000000000001</v>
      </c>
      <c r="E47" s="1">
        <f t="shared" si="0"/>
        <v>7.9099999999999948E-2</v>
      </c>
      <c r="F47" s="1">
        <v>0.92090000000000005</v>
      </c>
      <c r="G47" t="s">
        <v>10</v>
      </c>
    </row>
    <row r="48" spans="1:7" x14ac:dyDescent="0.25">
      <c r="A48" s="1">
        <v>225</v>
      </c>
      <c r="B48" s="1">
        <v>69.989999999999995</v>
      </c>
      <c r="C48" s="1">
        <f t="shared" si="1"/>
        <v>0.83099999999999996</v>
      </c>
      <c r="D48" s="1">
        <v>0.16900000000000001</v>
      </c>
      <c r="E48" s="1">
        <f t="shared" si="0"/>
        <v>8.6899999999999977E-2</v>
      </c>
      <c r="F48" s="1">
        <v>0.91310000000000002</v>
      </c>
      <c r="G48" t="s">
        <v>10</v>
      </c>
    </row>
    <row r="49" spans="1:7" x14ac:dyDescent="0.25">
      <c r="A49" s="1">
        <v>225</v>
      </c>
      <c r="B49" s="1">
        <v>79.48</v>
      </c>
      <c r="C49" s="1">
        <f t="shared" si="1"/>
        <v>0.81230000000000002</v>
      </c>
      <c r="D49" s="1">
        <v>0.18770000000000001</v>
      </c>
      <c r="E49" s="1">
        <f t="shared" si="0"/>
        <v>9.2999999999999972E-2</v>
      </c>
      <c r="F49" s="1">
        <v>0.90700000000000003</v>
      </c>
      <c r="G49" t="s">
        <v>10</v>
      </c>
    </row>
    <row r="50" spans="1:7" x14ac:dyDescent="0.25">
      <c r="A50" s="1">
        <v>225</v>
      </c>
      <c r="B50" s="1">
        <v>91.26</v>
      </c>
      <c r="C50" s="1">
        <f t="shared" si="1"/>
        <v>0.78879999999999995</v>
      </c>
      <c r="D50" s="1">
        <v>0.2112</v>
      </c>
      <c r="E50" s="1">
        <f t="shared" si="0"/>
        <v>9.6400000000000041E-2</v>
      </c>
      <c r="F50" s="1">
        <v>0.90359999999999996</v>
      </c>
      <c r="G50" t="s">
        <v>10</v>
      </c>
    </row>
    <row r="51" spans="1:7" x14ac:dyDescent="0.25">
      <c r="A51" s="1">
        <v>225</v>
      </c>
      <c r="B51" s="1">
        <v>41.38</v>
      </c>
      <c r="C51" s="1">
        <f t="shared" si="1"/>
        <v>0.86929999999999996</v>
      </c>
      <c r="D51" s="1">
        <v>0.13070000000000001</v>
      </c>
      <c r="E51" s="1">
        <f t="shared" si="0"/>
        <v>0.11360000000000003</v>
      </c>
      <c r="F51" s="1">
        <v>0.88639999999999997</v>
      </c>
      <c r="G51" t="s">
        <v>10</v>
      </c>
    </row>
    <row r="52" spans="1:7" x14ac:dyDescent="0.25">
      <c r="A52" s="1">
        <v>225</v>
      </c>
      <c r="B52" s="1">
        <v>55.17</v>
      </c>
      <c r="C52" s="1">
        <f t="shared" si="1"/>
        <v>0.82930000000000004</v>
      </c>
      <c r="D52" s="1">
        <v>0.17069999999999999</v>
      </c>
      <c r="E52" s="1">
        <f t="shared" si="0"/>
        <v>0.11870000000000003</v>
      </c>
      <c r="F52" s="1">
        <v>0.88129999999999997</v>
      </c>
      <c r="G52" t="s">
        <v>10</v>
      </c>
    </row>
    <row r="53" spans="1:7" x14ac:dyDescent="0.25">
      <c r="A53" s="1">
        <v>225</v>
      </c>
      <c r="B53" s="1">
        <v>73.099999999999994</v>
      </c>
      <c r="C53" s="1">
        <f t="shared" si="1"/>
        <v>0.78159999999999996</v>
      </c>
      <c r="D53" s="1">
        <v>0.21840000000000001</v>
      </c>
      <c r="E53" s="1">
        <f t="shared" si="0"/>
        <v>0.12960000000000005</v>
      </c>
      <c r="F53" s="1">
        <v>0.87039999999999995</v>
      </c>
      <c r="G53" t="s">
        <v>10</v>
      </c>
    </row>
    <row r="54" spans="1:7" x14ac:dyDescent="0.25">
      <c r="A54" s="1">
        <v>225</v>
      </c>
      <c r="B54" s="1">
        <v>93.03</v>
      </c>
      <c r="C54" s="1">
        <f t="shared" si="1"/>
        <v>0.72720000000000007</v>
      </c>
      <c r="D54" s="1">
        <v>0.27279999999999999</v>
      </c>
      <c r="E54" s="1">
        <f t="shared" si="0"/>
        <v>0.14380000000000004</v>
      </c>
      <c r="F54" s="1">
        <v>0.85619999999999996</v>
      </c>
      <c r="G54" t="s">
        <v>10</v>
      </c>
    </row>
    <row r="55" spans="1:7" x14ac:dyDescent="0.25">
      <c r="A55" s="1">
        <v>225</v>
      </c>
      <c r="B55" s="1">
        <v>117.61</v>
      </c>
      <c r="C55" s="1">
        <f t="shared" si="1"/>
        <v>0.66290000000000004</v>
      </c>
      <c r="D55" s="1">
        <v>0.33710000000000001</v>
      </c>
      <c r="E55" s="1">
        <f t="shared" si="0"/>
        <v>0.16569999999999996</v>
      </c>
      <c r="F55" s="1">
        <v>0.83430000000000004</v>
      </c>
      <c r="G55" t="s">
        <v>10</v>
      </c>
    </row>
    <row r="56" spans="1:7" x14ac:dyDescent="0.25">
      <c r="A56" s="1">
        <v>225</v>
      </c>
      <c r="B56" s="1">
        <v>137.35</v>
      </c>
      <c r="C56" s="1">
        <f t="shared" si="1"/>
        <v>0.60719999999999996</v>
      </c>
      <c r="D56" s="1">
        <v>0.39279999999999998</v>
      </c>
      <c r="E56" s="1">
        <f t="shared" si="0"/>
        <v>0.18979999999999997</v>
      </c>
      <c r="F56" s="1">
        <v>0.81020000000000003</v>
      </c>
      <c r="G56" t="s">
        <v>10</v>
      </c>
    </row>
    <row r="57" spans="1:7" x14ac:dyDescent="0.25">
      <c r="A57" s="1">
        <v>225</v>
      </c>
      <c r="B57" s="1">
        <v>152</v>
      </c>
      <c r="C57" s="1">
        <f t="shared" si="1"/>
        <v>0.5635</v>
      </c>
      <c r="D57" s="1">
        <v>0.4365</v>
      </c>
      <c r="E57" s="1">
        <f t="shared" si="0"/>
        <v>0.21230000000000004</v>
      </c>
      <c r="F57" s="1">
        <v>0.78769999999999996</v>
      </c>
      <c r="G57" t="s">
        <v>10</v>
      </c>
    </row>
    <row r="58" spans="1:7" x14ac:dyDescent="0.25">
      <c r="A58" s="1">
        <v>225</v>
      </c>
      <c r="B58" s="1">
        <v>165.58</v>
      </c>
      <c r="C58" s="1">
        <f t="shared" si="1"/>
        <v>0.51160000000000005</v>
      </c>
      <c r="D58" s="1">
        <v>0.4884</v>
      </c>
      <c r="E58" s="1">
        <f t="shared" si="0"/>
        <v>0.24439999999999995</v>
      </c>
      <c r="F58" s="1">
        <v>0.75560000000000005</v>
      </c>
      <c r="G58" t="s">
        <v>10</v>
      </c>
    </row>
    <row r="59" spans="1:7" x14ac:dyDescent="0.25">
      <c r="A59" s="1">
        <v>225</v>
      </c>
      <c r="B59" s="1">
        <v>168.96</v>
      </c>
      <c r="C59" s="1">
        <f t="shared" si="1"/>
        <v>0.49380000000000002</v>
      </c>
      <c r="D59" s="1">
        <v>0.50619999999999998</v>
      </c>
      <c r="E59" s="1">
        <f t="shared" si="0"/>
        <v>0.25449999999999995</v>
      </c>
      <c r="F59" s="1">
        <v>0.74550000000000005</v>
      </c>
      <c r="G59" t="s">
        <v>10</v>
      </c>
    </row>
    <row r="60" spans="1:7" x14ac:dyDescent="0.25">
      <c r="A60" s="1">
        <v>225</v>
      </c>
      <c r="B60" s="1">
        <v>171.79</v>
      </c>
      <c r="C60" s="1">
        <f t="shared" si="1"/>
        <v>0.47360000000000002</v>
      </c>
      <c r="D60" s="1">
        <v>0.52639999999999998</v>
      </c>
      <c r="E60" s="1">
        <f t="shared" si="0"/>
        <v>0.26719999999999999</v>
      </c>
      <c r="F60" s="1">
        <v>0.73280000000000001</v>
      </c>
      <c r="G60" t="s">
        <v>10</v>
      </c>
    </row>
    <row r="61" spans="1:7" x14ac:dyDescent="0.25">
      <c r="A61" s="1">
        <v>237</v>
      </c>
      <c r="B61" s="1">
        <v>132.08000000000001</v>
      </c>
      <c r="C61" s="1">
        <f t="shared" si="1"/>
        <v>0.59329999999999994</v>
      </c>
      <c r="D61" s="1">
        <v>0.40670000000000001</v>
      </c>
      <c r="E61" s="1">
        <f t="shared" si="0"/>
        <v>0.20509999999999995</v>
      </c>
      <c r="F61" s="1">
        <v>0.79490000000000005</v>
      </c>
      <c r="G61" t="s">
        <v>10</v>
      </c>
    </row>
    <row r="62" spans="1:7" x14ac:dyDescent="0.25">
      <c r="A62" s="1">
        <v>237</v>
      </c>
      <c r="B62" s="1">
        <v>138</v>
      </c>
      <c r="C62" s="1">
        <f t="shared" si="1"/>
        <v>0.57190000000000007</v>
      </c>
      <c r="D62" s="1">
        <v>0.42809999999999998</v>
      </c>
      <c r="E62" s="1">
        <f t="shared" si="0"/>
        <v>0.21630000000000005</v>
      </c>
      <c r="F62" s="1">
        <v>0.78369999999999995</v>
      </c>
      <c r="G62" t="s">
        <v>10</v>
      </c>
    </row>
    <row r="63" spans="1:7" x14ac:dyDescent="0.25">
      <c r="A63" s="1">
        <v>237</v>
      </c>
      <c r="B63" s="1">
        <v>144.9</v>
      </c>
      <c r="C63" s="1">
        <f t="shared" si="1"/>
        <v>0.54699999999999993</v>
      </c>
      <c r="D63" s="1">
        <v>0.45300000000000001</v>
      </c>
      <c r="E63" s="1">
        <f t="shared" si="0"/>
        <v>0.23019999999999996</v>
      </c>
      <c r="F63" s="1">
        <v>0.76980000000000004</v>
      </c>
      <c r="G63" t="s">
        <v>10</v>
      </c>
    </row>
    <row r="64" spans="1:7" x14ac:dyDescent="0.25">
      <c r="A64" s="1">
        <v>237</v>
      </c>
      <c r="B64" s="1">
        <v>148.35</v>
      </c>
      <c r="C64" s="1">
        <f t="shared" si="1"/>
        <v>0.52689999999999992</v>
      </c>
      <c r="D64" s="1">
        <v>0.47310000000000002</v>
      </c>
      <c r="E64" s="1">
        <f t="shared" si="0"/>
        <v>0.24760000000000004</v>
      </c>
      <c r="F64" s="1">
        <v>0.75239999999999996</v>
      </c>
      <c r="G64" t="s">
        <v>10</v>
      </c>
    </row>
    <row r="65" spans="1:7" x14ac:dyDescent="0.25">
      <c r="A65" s="1">
        <v>237</v>
      </c>
      <c r="B65" s="1">
        <v>150.28</v>
      </c>
      <c r="C65" s="1">
        <f t="shared" si="1"/>
        <v>0.52110000000000001</v>
      </c>
      <c r="D65" s="1">
        <v>0.47889999999999999</v>
      </c>
      <c r="E65" s="1">
        <f t="shared" si="0"/>
        <v>0.25139999999999996</v>
      </c>
      <c r="F65" s="1">
        <v>0.74860000000000004</v>
      </c>
      <c r="G65" t="s">
        <v>10</v>
      </c>
    </row>
    <row r="66" spans="1:7" x14ac:dyDescent="0.25">
      <c r="A66" s="1">
        <v>237</v>
      </c>
      <c r="B66" s="1">
        <v>152.07</v>
      </c>
      <c r="C66" s="1">
        <f t="shared" si="1"/>
        <v>0.50919999999999999</v>
      </c>
      <c r="D66" s="1">
        <v>0.49080000000000001</v>
      </c>
      <c r="E66" s="1">
        <f t="shared" si="0"/>
        <v>0.26100000000000001</v>
      </c>
      <c r="F66" s="1">
        <v>0.73899999999999999</v>
      </c>
      <c r="G66" t="s">
        <v>10</v>
      </c>
    </row>
    <row r="67" spans="1:7" x14ac:dyDescent="0.25">
      <c r="A67" s="1">
        <v>237</v>
      </c>
      <c r="B67" s="1">
        <v>154.9</v>
      </c>
      <c r="C67" s="1">
        <f t="shared" si="1"/>
        <v>0.49509999999999998</v>
      </c>
      <c r="D67" s="1">
        <v>0.50490000000000002</v>
      </c>
      <c r="E67" s="1">
        <f t="shared" ref="E67:E130" si="2">1-F67</f>
        <v>0.27</v>
      </c>
      <c r="F67" s="1">
        <v>0.73</v>
      </c>
      <c r="G67" t="s">
        <v>10</v>
      </c>
    </row>
    <row r="68" spans="1:7" x14ac:dyDescent="0.25">
      <c r="A68" s="1">
        <v>237</v>
      </c>
      <c r="B68" s="1">
        <v>156.97</v>
      </c>
      <c r="C68" s="1">
        <f t="shared" ref="C68:C131" si="3">1-D68</f>
        <v>0.47619999999999996</v>
      </c>
      <c r="D68" s="1">
        <v>0.52380000000000004</v>
      </c>
      <c r="E68" s="1">
        <f t="shared" si="2"/>
        <v>0.28100000000000003</v>
      </c>
      <c r="F68" s="1">
        <v>0.71899999999999997</v>
      </c>
      <c r="G68" t="s">
        <v>10</v>
      </c>
    </row>
    <row r="69" spans="1:7" x14ac:dyDescent="0.25">
      <c r="A69" s="1">
        <v>237</v>
      </c>
      <c r="B69" s="1">
        <v>158.83000000000001</v>
      </c>
      <c r="C69" s="1">
        <f t="shared" si="3"/>
        <v>0.45989999999999998</v>
      </c>
      <c r="D69" s="1">
        <v>0.54010000000000002</v>
      </c>
      <c r="E69" s="1">
        <f t="shared" si="2"/>
        <v>0.2954</v>
      </c>
      <c r="F69" s="1">
        <v>0.7046</v>
      </c>
      <c r="G69" t="s">
        <v>10</v>
      </c>
    </row>
    <row r="70" spans="1:7" x14ac:dyDescent="0.25">
      <c r="A70" s="1">
        <v>237</v>
      </c>
      <c r="B70" s="1">
        <v>160.41</v>
      </c>
      <c r="C70" s="1">
        <f t="shared" si="3"/>
        <v>0.44340000000000002</v>
      </c>
      <c r="D70" s="1">
        <v>0.55659999999999998</v>
      </c>
      <c r="E70" s="1">
        <f t="shared" si="2"/>
        <v>0.30789999999999995</v>
      </c>
      <c r="F70" s="1">
        <v>0.69210000000000005</v>
      </c>
      <c r="G70" t="s">
        <v>10</v>
      </c>
    </row>
    <row r="71" spans="1:7" x14ac:dyDescent="0.25">
      <c r="A71" s="1">
        <v>245</v>
      </c>
      <c r="B71" s="1">
        <v>83.68</v>
      </c>
      <c r="C71" s="1">
        <f t="shared" si="3"/>
        <v>0.67490000000000006</v>
      </c>
      <c r="D71" s="1">
        <v>0.3251</v>
      </c>
      <c r="E71" s="1">
        <f t="shared" si="2"/>
        <v>0.20820000000000005</v>
      </c>
      <c r="F71" s="1">
        <v>0.79179999999999995</v>
      </c>
      <c r="G71" t="s">
        <v>10</v>
      </c>
    </row>
    <row r="72" spans="1:7" x14ac:dyDescent="0.25">
      <c r="A72" s="1">
        <v>245</v>
      </c>
      <c r="B72" s="1">
        <v>89.58</v>
      </c>
      <c r="C72" s="1">
        <f t="shared" si="3"/>
        <v>0.64789999999999992</v>
      </c>
      <c r="D72" s="1">
        <v>0.35210000000000002</v>
      </c>
      <c r="E72" s="1">
        <f t="shared" si="2"/>
        <v>0.22240000000000004</v>
      </c>
      <c r="F72" s="1">
        <v>0.77759999999999996</v>
      </c>
      <c r="G72" t="s">
        <v>10</v>
      </c>
    </row>
    <row r="73" spans="1:7" x14ac:dyDescent="0.25">
      <c r="A73" s="1">
        <v>245</v>
      </c>
      <c r="B73" s="1">
        <v>96.65</v>
      </c>
      <c r="C73" s="1">
        <f t="shared" si="3"/>
        <v>0.61180000000000001</v>
      </c>
      <c r="D73" s="1">
        <v>0.38819999999999999</v>
      </c>
      <c r="E73" s="1">
        <f t="shared" si="2"/>
        <v>0.24</v>
      </c>
      <c r="F73" s="1">
        <v>0.76</v>
      </c>
      <c r="G73" t="s">
        <v>10</v>
      </c>
    </row>
    <row r="74" spans="1:7" x14ac:dyDescent="0.25">
      <c r="A74" s="1">
        <v>245</v>
      </c>
      <c r="B74" s="1">
        <v>101.54</v>
      </c>
      <c r="C74" s="1">
        <f t="shared" si="3"/>
        <v>0.58450000000000002</v>
      </c>
      <c r="D74" s="1">
        <v>0.41549999999999998</v>
      </c>
      <c r="E74" s="1">
        <f t="shared" si="2"/>
        <v>0.25590000000000002</v>
      </c>
      <c r="F74" s="1">
        <v>0.74409999999999998</v>
      </c>
      <c r="G74" t="s">
        <v>10</v>
      </c>
    </row>
    <row r="75" spans="1:7" x14ac:dyDescent="0.25">
      <c r="A75" s="1">
        <v>245</v>
      </c>
      <c r="B75" s="1">
        <v>105.06</v>
      </c>
      <c r="C75" s="1">
        <f t="shared" si="3"/>
        <v>0.56210000000000004</v>
      </c>
      <c r="D75" s="1">
        <v>0.43790000000000001</v>
      </c>
      <c r="E75" s="1">
        <f t="shared" si="2"/>
        <v>0.26970000000000005</v>
      </c>
      <c r="F75" s="1">
        <v>0.73029999999999995</v>
      </c>
      <c r="G75" t="s">
        <v>10</v>
      </c>
    </row>
    <row r="76" spans="1:7" x14ac:dyDescent="0.25">
      <c r="A76" s="1">
        <v>245</v>
      </c>
      <c r="B76" s="1">
        <v>108.51</v>
      </c>
      <c r="C76" s="1">
        <f t="shared" si="3"/>
        <v>0.5343</v>
      </c>
      <c r="D76" s="1">
        <v>0.4657</v>
      </c>
      <c r="E76" s="1">
        <f t="shared" si="2"/>
        <v>0.29059999999999997</v>
      </c>
      <c r="F76" s="1">
        <v>0.70940000000000003</v>
      </c>
      <c r="G76" t="s">
        <v>10</v>
      </c>
    </row>
    <row r="77" spans="1:7" x14ac:dyDescent="0.25">
      <c r="A77" s="1">
        <v>245</v>
      </c>
      <c r="B77" s="1">
        <v>111.83</v>
      </c>
      <c r="C77" s="1">
        <f t="shared" si="3"/>
        <v>0.499</v>
      </c>
      <c r="D77" s="1">
        <v>0.501</v>
      </c>
      <c r="E77" s="1">
        <f t="shared" si="2"/>
        <v>0.32110000000000005</v>
      </c>
      <c r="F77" s="1">
        <v>0.67889999999999995</v>
      </c>
      <c r="G77" t="s">
        <v>10</v>
      </c>
    </row>
    <row r="78" spans="1:7" x14ac:dyDescent="0.25">
      <c r="A78" s="1">
        <v>245</v>
      </c>
      <c r="B78" s="1">
        <v>113.23</v>
      </c>
      <c r="C78" s="1">
        <f t="shared" si="3"/>
        <v>0.4738</v>
      </c>
      <c r="D78" s="1">
        <v>0.5262</v>
      </c>
      <c r="E78" s="1">
        <f t="shared" si="2"/>
        <v>0.3397</v>
      </c>
      <c r="F78" s="1">
        <v>0.6603</v>
      </c>
      <c r="G78" t="s">
        <v>10</v>
      </c>
    </row>
    <row r="79" spans="1:7" x14ac:dyDescent="0.25">
      <c r="A79" s="1">
        <v>250</v>
      </c>
      <c r="B79" s="1">
        <v>2.31</v>
      </c>
      <c r="C79" s="1">
        <f t="shared" si="3"/>
        <v>0.99539999999999995</v>
      </c>
      <c r="D79" s="1">
        <v>4.5999999999999999E-3</v>
      </c>
      <c r="E79" s="1">
        <f t="shared" si="2"/>
        <v>0.84109999999999996</v>
      </c>
      <c r="F79" s="1">
        <v>0.15890000000000001</v>
      </c>
      <c r="G79" t="s">
        <v>10</v>
      </c>
    </row>
    <row r="80" spans="1:7" x14ac:dyDescent="0.25">
      <c r="A80" s="1">
        <v>250</v>
      </c>
      <c r="B80" s="1">
        <v>3.04</v>
      </c>
      <c r="C80" s="1">
        <f t="shared" si="3"/>
        <v>0.99139999999999995</v>
      </c>
      <c r="D80" s="1">
        <v>8.6E-3</v>
      </c>
      <c r="E80" s="1">
        <f t="shared" si="2"/>
        <v>0.6804</v>
      </c>
      <c r="F80" s="1">
        <v>0.3196</v>
      </c>
      <c r="G80" t="s">
        <v>10</v>
      </c>
    </row>
    <row r="81" spans="1:7" x14ac:dyDescent="0.25">
      <c r="A81" s="1">
        <v>250</v>
      </c>
      <c r="B81" s="1">
        <v>3.63</v>
      </c>
      <c r="C81" s="1">
        <f t="shared" si="3"/>
        <v>0.98760000000000003</v>
      </c>
      <c r="D81" s="1">
        <v>1.24E-2</v>
      </c>
      <c r="E81" s="1">
        <f t="shared" si="2"/>
        <v>0.59099999999999997</v>
      </c>
      <c r="F81" s="1">
        <v>0.40899999999999997</v>
      </c>
      <c r="G81" t="s">
        <v>10</v>
      </c>
    </row>
    <row r="82" spans="1:7" x14ac:dyDescent="0.25">
      <c r="A82" s="1">
        <v>250</v>
      </c>
      <c r="B82" s="1">
        <v>5.2</v>
      </c>
      <c r="C82" s="1">
        <f t="shared" si="3"/>
        <v>0.98140000000000005</v>
      </c>
      <c r="D82" s="1">
        <v>1.8599999999999998E-2</v>
      </c>
      <c r="E82" s="1">
        <f t="shared" si="2"/>
        <v>0.44989999999999997</v>
      </c>
      <c r="F82" s="1">
        <v>0.55010000000000003</v>
      </c>
      <c r="G82" t="s">
        <v>10</v>
      </c>
    </row>
    <row r="83" spans="1:7" x14ac:dyDescent="0.25">
      <c r="A83" s="1">
        <v>250</v>
      </c>
      <c r="B83" s="1">
        <v>6.9</v>
      </c>
      <c r="C83" s="1">
        <f t="shared" si="3"/>
        <v>0.9738</v>
      </c>
      <c r="D83" s="1">
        <v>2.6200000000000001E-2</v>
      </c>
      <c r="E83" s="1">
        <f t="shared" si="2"/>
        <v>0.3629</v>
      </c>
      <c r="F83" s="1">
        <v>0.6371</v>
      </c>
      <c r="G83" t="s">
        <v>10</v>
      </c>
    </row>
    <row r="84" spans="1:7" x14ac:dyDescent="0.25">
      <c r="A84" s="1">
        <v>250</v>
      </c>
      <c r="B84" s="1">
        <v>10.29</v>
      </c>
      <c r="C84" s="1">
        <f t="shared" si="3"/>
        <v>0.96040000000000003</v>
      </c>
      <c r="D84" s="1">
        <v>3.9600000000000003E-2</v>
      </c>
      <c r="E84" s="1">
        <f t="shared" si="2"/>
        <v>0.28210000000000002</v>
      </c>
      <c r="F84" s="1">
        <v>0.71789999999999998</v>
      </c>
      <c r="G84" t="s">
        <v>10</v>
      </c>
    </row>
    <row r="85" spans="1:7" x14ac:dyDescent="0.25">
      <c r="A85" s="1">
        <v>250</v>
      </c>
      <c r="B85" s="1">
        <v>13.85</v>
      </c>
      <c r="C85" s="1">
        <f t="shared" si="3"/>
        <v>0.94550000000000001</v>
      </c>
      <c r="D85" s="1">
        <v>5.45E-2</v>
      </c>
      <c r="E85" s="1">
        <f t="shared" si="2"/>
        <v>0.24150000000000005</v>
      </c>
      <c r="F85" s="1">
        <v>0.75849999999999995</v>
      </c>
      <c r="G85" t="s">
        <v>10</v>
      </c>
    </row>
    <row r="86" spans="1:7" x14ac:dyDescent="0.25">
      <c r="A86" s="1">
        <v>250</v>
      </c>
      <c r="B86" s="1">
        <v>17.28</v>
      </c>
      <c r="C86" s="1">
        <f t="shared" si="3"/>
        <v>0.93049999999999999</v>
      </c>
      <c r="D86" s="1">
        <v>6.9500000000000006E-2</v>
      </c>
      <c r="E86" s="1">
        <f t="shared" si="2"/>
        <v>0.21779999999999999</v>
      </c>
      <c r="F86" s="1">
        <v>0.78220000000000001</v>
      </c>
      <c r="G86" t="s">
        <v>10</v>
      </c>
    </row>
    <row r="87" spans="1:7" x14ac:dyDescent="0.25">
      <c r="A87" s="1">
        <v>250</v>
      </c>
      <c r="B87" s="1">
        <v>25.44</v>
      </c>
      <c r="C87" s="1">
        <f t="shared" si="3"/>
        <v>0.89419999999999999</v>
      </c>
      <c r="D87" s="1">
        <v>0.10580000000000001</v>
      </c>
      <c r="E87" s="1">
        <f t="shared" si="2"/>
        <v>0.1956</v>
      </c>
      <c r="F87" s="1">
        <v>0.8044</v>
      </c>
      <c r="G87" t="s">
        <v>10</v>
      </c>
    </row>
    <row r="88" spans="1:7" x14ac:dyDescent="0.25">
      <c r="A88" s="1">
        <v>250</v>
      </c>
      <c r="B88" s="1">
        <v>31.54</v>
      </c>
      <c r="C88" s="1">
        <f t="shared" si="3"/>
        <v>0.86680000000000001</v>
      </c>
      <c r="D88" s="1">
        <v>0.13320000000000001</v>
      </c>
      <c r="E88" s="1">
        <f t="shared" si="2"/>
        <v>0.1895</v>
      </c>
      <c r="F88" s="1">
        <v>0.8105</v>
      </c>
      <c r="G88" t="s">
        <v>10</v>
      </c>
    </row>
    <row r="89" spans="1:7" x14ac:dyDescent="0.25">
      <c r="A89" s="1">
        <v>250</v>
      </c>
      <c r="B89" s="1">
        <v>35.340000000000003</v>
      </c>
      <c r="C89" s="1">
        <f t="shared" si="3"/>
        <v>0.85119999999999996</v>
      </c>
      <c r="D89" s="1">
        <v>0.14879999999999999</v>
      </c>
      <c r="E89" s="1">
        <f t="shared" si="2"/>
        <v>0.18840000000000001</v>
      </c>
      <c r="F89" s="1">
        <v>0.81159999999999999</v>
      </c>
      <c r="G89" t="s">
        <v>10</v>
      </c>
    </row>
    <row r="90" spans="1:7" x14ac:dyDescent="0.25">
      <c r="A90" s="1">
        <v>250</v>
      </c>
      <c r="B90" s="1">
        <v>49.66</v>
      </c>
      <c r="C90" s="1">
        <f t="shared" si="3"/>
        <v>0.78790000000000004</v>
      </c>
      <c r="D90" s="1">
        <v>0.21210000000000001</v>
      </c>
      <c r="E90" s="1">
        <f t="shared" si="2"/>
        <v>0.19399999999999995</v>
      </c>
      <c r="F90" s="1">
        <v>0.80600000000000005</v>
      </c>
      <c r="G90" t="s">
        <v>10</v>
      </c>
    </row>
    <row r="91" spans="1:7" x14ac:dyDescent="0.25">
      <c r="A91" s="1">
        <v>250</v>
      </c>
      <c r="B91" s="1">
        <v>62.81</v>
      </c>
      <c r="C91" s="1">
        <f t="shared" si="3"/>
        <v>0.72760000000000002</v>
      </c>
      <c r="D91" s="1">
        <v>0.27239999999999998</v>
      </c>
      <c r="E91" s="1">
        <f t="shared" si="2"/>
        <v>0.21660000000000001</v>
      </c>
      <c r="F91" s="1">
        <v>0.78339999999999999</v>
      </c>
      <c r="G91" t="s">
        <v>10</v>
      </c>
    </row>
    <row r="92" spans="1:7" x14ac:dyDescent="0.25">
      <c r="A92" s="1">
        <v>250</v>
      </c>
      <c r="B92" s="1">
        <v>75.88</v>
      </c>
      <c r="C92" s="1">
        <f t="shared" si="3"/>
        <v>0.65880000000000005</v>
      </c>
      <c r="D92" s="1">
        <v>0.3412</v>
      </c>
      <c r="E92" s="1">
        <f t="shared" si="2"/>
        <v>0.24590000000000001</v>
      </c>
      <c r="F92" s="1">
        <v>0.75409999999999999</v>
      </c>
      <c r="G92" t="s">
        <v>10</v>
      </c>
    </row>
    <row r="93" spans="1:7" x14ac:dyDescent="0.25">
      <c r="A93" s="1">
        <v>250</v>
      </c>
      <c r="B93" s="1">
        <v>83.22</v>
      </c>
      <c r="C93" s="1">
        <f t="shared" si="3"/>
        <v>0.61129999999999995</v>
      </c>
      <c r="D93" s="1">
        <v>0.38869999999999999</v>
      </c>
      <c r="E93" s="1">
        <f t="shared" si="2"/>
        <v>0.27</v>
      </c>
      <c r="F93" s="1">
        <v>0.73</v>
      </c>
      <c r="G93" t="s">
        <v>10</v>
      </c>
    </row>
    <row r="94" spans="1:7" x14ac:dyDescent="0.25">
      <c r="A94" s="1">
        <v>250</v>
      </c>
      <c r="B94" s="1">
        <v>86.54</v>
      </c>
      <c r="C94" s="1">
        <f t="shared" si="3"/>
        <v>0.58529999999999993</v>
      </c>
      <c r="D94" s="1">
        <v>0.41470000000000001</v>
      </c>
      <c r="E94" s="1">
        <f t="shared" si="2"/>
        <v>0.28739999999999999</v>
      </c>
      <c r="F94" s="1">
        <v>0.71260000000000001</v>
      </c>
      <c r="G94" t="s">
        <v>10</v>
      </c>
    </row>
    <row r="95" spans="1:7" x14ac:dyDescent="0.25">
      <c r="A95" s="1">
        <v>250</v>
      </c>
      <c r="B95" s="1">
        <v>88.39</v>
      </c>
      <c r="C95" s="1">
        <f t="shared" si="3"/>
        <v>0.56830000000000003</v>
      </c>
      <c r="D95" s="1">
        <v>0.43169999999999997</v>
      </c>
      <c r="E95" s="1">
        <f t="shared" si="2"/>
        <v>0.29700000000000004</v>
      </c>
      <c r="F95" s="1">
        <v>0.70299999999999996</v>
      </c>
      <c r="G95" t="s">
        <v>10</v>
      </c>
    </row>
    <row r="96" spans="1:7" x14ac:dyDescent="0.25">
      <c r="A96" s="1">
        <v>250</v>
      </c>
      <c r="B96" s="1">
        <v>91.61</v>
      </c>
      <c r="C96" s="1">
        <f t="shared" si="3"/>
        <v>0.53200000000000003</v>
      </c>
      <c r="D96" s="1">
        <v>0.46800000000000003</v>
      </c>
      <c r="E96" s="1"/>
      <c r="F96" s="1"/>
      <c r="G96" t="s">
        <v>10</v>
      </c>
    </row>
    <row r="97" spans="1:7" x14ac:dyDescent="0.25">
      <c r="A97" s="1">
        <v>260</v>
      </c>
      <c r="B97" s="1">
        <v>3.37</v>
      </c>
      <c r="C97" s="1">
        <f t="shared" si="3"/>
        <v>0.9919</v>
      </c>
      <c r="D97" s="1">
        <v>8.0999999999999996E-3</v>
      </c>
      <c r="E97" s="1">
        <f t="shared" si="2"/>
        <v>0.79169999999999996</v>
      </c>
      <c r="F97" s="1">
        <v>0.20830000000000001</v>
      </c>
      <c r="G97" t="s">
        <v>10</v>
      </c>
    </row>
    <row r="98" spans="1:7" x14ac:dyDescent="0.25">
      <c r="A98" s="1">
        <v>260</v>
      </c>
      <c r="B98" s="1">
        <v>5.58</v>
      </c>
      <c r="C98" s="1">
        <f t="shared" si="3"/>
        <v>0.97919999999999996</v>
      </c>
      <c r="D98" s="1">
        <v>2.0799999999999999E-2</v>
      </c>
      <c r="E98" s="1">
        <f t="shared" si="2"/>
        <v>0.54889999999999994</v>
      </c>
      <c r="F98" s="1">
        <v>0.4511</v>
      </c>
      <c r="G98" t="s">
        <v>10</v>
      </c>
    </row>
    <row r="99" spans="1:7" x14ac:dyDescent="0.25">
      <c r="A99" s="1">
        <v>260</v>
      </c>
      <c r="B99" s="1">
        <v>7.23</v>
      </c>
      <c r="C99" s="1">
        <f t="shared" si="3"/>
        <v>0.97160000000000002</v>
      </c>
      <c r="D99" s="1">
        <v>2.8400000000000002E-2</v>
      </c>
      <c r="E99" s="1">
        <f t="shared" si="2"/>
        <v>0.46179999999999999</v>
      </c>
      <c r="F99" s="1">
        <v>0.53820000000000001</v>
      </c>
      <c r="G99" t="s">
        <v>10</v>
      </c>
    </row>
    <row r="100" spans="1:7" x14ac:dyDescent="0.25">
      <c r="A100" s="1">
        <v>260</v>
      </c>
      <c r="B100" s="1">
        <v>10.53</v>
      </c>
      <c r="C100" s="1">
        <f t="shared" si="3"/>
        <v>0.95499999999999996</v>
      </c>
      <c r="D100" s="1">
        <v>4.4999999999999998E-2</v>
      </c>
      <c r="E100" s="1">
        <f t="shared" si="2"/>
        <v>0.36519999999999997</v>
      </c>
      <c r="F100" s="1">
        <v>0.63480000000000003</v>
      </c>
      <c r="G100" t="s">
        <v>10</v>
      </c>
    </row>
    <row r="101" spans="1:7" x14ac:dyDescent="0.25">
      <c r="A101" s="1">
        <v>260</v>
      </c>
      <c r="B101" s="1">
        <v>13.49</v>
      </c>
      <c r="C101" s="1">
        <f t="shared" si="3"/>
        <v>0.94040000000000001</v>
      </c>
      <c r="D101" s="1">
        <v>5.96E-2</v>
      </c>
      <c r="E101" s="1">
        <f t="shared" si="2"/>
        <v>0.32130000000000003</v>
      </c>
      <c r="F101" s="1">
        <v>0.67869999999999997</v>
      </c>
      <c r="G101" t="s">
        <v>10</v>
      </c>
    </row>
    <row r="102" spans="1:7" x14ac:dyDescent="0.25">
      <c r="A102" s="1">
        <v>260</v>
      </c>
      <c r="B102" s="1">
        <v>21.62</v>
      </c>
      <c r="C102" s="1">
        <f t="shared" si="3"/>
        <v>0.89559999999999995</v>
      </c>
      <c r="D102" s="1">
        <v>0.10440000000000001</v>
      </c>
      <c r="E102" s="1">
        <f t="shared" si="2"/>
        <v>0.26580000000000004</v>
      </c>
      <c r="F102" s="1">
        <v>0.73419999999999996</v>
      </c>
      <c r="G102" t="s">
        <v>10</v>
      </c>
    </row>
    <row r="103" spans="1:7" x14ac:dyDescent="0.25">
      <c r="A103" s="1">
        <v>260</v>
      </c>
      <c r="B103" s="1">
        <v>28.15</v>
      </c>
      <c r="C103" s="1">
        <f t="shared" si="3"/>
        <v>0.85860000000000003</v>
      </c>
      <c r="D103" s="1">
        <v>0.1414</v>
      </c>
      <c r="E103" s="1">
        <f t="shared" si="2"/>
        <v>0.25370000000000004</v>
      </c>
      <c r="F103" s="1">
        <v>0.74629999999999996</v>
      </c>
      <c r="G103" t="s">
        <v>10</v>
      </c>
    </row>
    <row r="104" spans="1:7" x14ac:dyDescent="0.25">
      <c r="A104" s="1">
        <v>260</v>
      </c>
      <c r="B104" s="1">
        <v>4.38</v>
      </c>
      <c r="C104" s="1">
        <f t="shared" si="3"/>
        <v>0.98819999999999997</v>
      </c>
      <c r="D104" s="1">
        <v>1.18E-2</v>
      </c>
      <c r="E104" s="1">
        <f t="shared" si="2"/>
        <v>0.82319999999999993</v>
      </c>
      <c r="F104" s="1">
        <v>0.17680000000000001</v>
      </c>
      <c r="G104" t="s">
        <v>10</v>
      </c>
    </row>
    <row r="105" spans="1:7" x14ac:dyDescent="0.25">
      <c r="A105" s="1">
        <v>260</v>
      </c>
      <c r="B105" s="1">
        <v>5.31</v>
      </c>
      <c r="C105" s="1">
        <f t="shared" si="3"/>
        <v>0.9869</v>
      </c>
      <c r="D105" s="1">
        <v>1.3100000000000001E-2</v>
      </c>
      <c r="E105" s="1">
        <f t="shared" si="2"/>
        <v>0.72510000000000008</v>
      </c>
      <c r="F105" s="1">
        <v>0.27489999999999998</v>
      </c>
      <c r="G105" t="s">
        <v>10</v>
      </c>
    </row>
    <row r="106" spans="1:7" x14ac:dyDescent="0.25">
      <c r="A106" s="1">
        <v>260</v>
      </c>
      <c r="B106" s="1">
        <v>7.08</v>
      </c>
      <c r="C106" s="1">
        <f t="shared" si="3"/>
        <v>0.96989999999999998</v>
      </c>
      <c r="D106" s="1">
        <v>3.0099999999999998E-2</v>
      </c>
      <c r="E106" s="1">
        <f t="shared" si="2"/>
        <v>0.60289999999999999</v>
      </c>
      <c r="F106" s="1">
        <v>0.39710000000000001</v>
      </c>
      <c r="G106" t="s">
        <v>10</v>
      </c>
    </row>
    <row r="107" spans="1:7" x14ac:dyDescent="0.25">
      <c r="A107" s="1">
        <v>260</v>
      </c>
      <c r="B107" s="1">
        <v>10.62</v>
      </c>
      <c r="C107" s="1">
        <f t="shared" si="3"/>
        <v>0.94359999999999999</v>
      </c>
      <c r="D107" s="1">
        <v>5.6399999999999999E-2</v>
      </c>
      <c r="E107" s="1">
        <f t="shared" si="2"/>
        <v>0.4718</v>
      </c>
      <c r="F107" s="1">
        <v>0.5282</v>
      </c>
      <c r="G107" t="s">
        <v>10</v>
      </c>
    </row>
    <row r="108" spans="1:7" x14ac:dyDescent="0.25">
      <c r="A108" s="1">
        <v>260</v>
      </c>
      <c r="B108" s="1">
        <v>13.86</v>
      </c>
      <c r="C108" s="1">
        <f t="shared" si="3"/>
        <v>0.91830000000000001</v>
      </c>
      <c r="D108" s="1">
        <v>8.1699999999999995E-2</v>
      </c>
      <c r="E108" s="1">
        <f t="shared" si="2"/>
        <v>0.41479999999999995</v>
      </c>
      <c r="F108" s="1">
        <v>0.58520000000000005</v>
      </c>
      <c r="G108" t="s">
        <v>10</v>
      </c>
    </row>
    <row r="109" spans="1:7" x14ac:dyDescent="0.25">
      <c r="A109" s="1">
        <v>260</v>
      </c>
      <c r="B109" s="1">
        <v>17.440000000000001</v>
      </c>
      <c r="C109" s="1">
        <f t="shared" si="3"/>
        <v>0.89049999999999996</v>
      </c>
      <c r="D109" s="1">
        <v>0.1095</v>
      </c>
      <c r="E109" s="1">
        <f t="shared" si="2"/>
        <v>0.37990000000000002</v>
      </c>
      <c r="F109" s="1">
        <v>0.62009999999999998</v>
      </c>
      <c r="G109" t="s">
        <v>10</v>
      </c>
    </row>
    <row r="110" spans="1:7" x14ac:dyDescent="0.25">
      <c r="A110" s="1">
        <v>260</v>
      </c>
      <c r="B110" s="1">
        <v>21.93</v>
      </c>
      <c r="C110" s="1">
        <f t="shared" si="3"/>
        <v>0.86119999999999997</v>
      </c>
      <c r="D110" s="1">
        <v>0.13880000000000001</v>
      </c>
      <c r="E110" s="1">
        <f t="shared" si="2"/>
        <v>0.35599999999999998</v>
      </c>
      <c r="F110" s="1">
        <v>0.64400000000000002</v>
      </c>
      <c r="G110" t="s">
        <v>10</v>
      </c>
    </row>
    <row r="111" spans="1:7" x14ac:dyDescent="0.25">
      <c r="A111" s="1">
        <v>260</v>
      </c>
      <c r="B111" s="1">
        <v>34.700000000000003</v>
      </c>
      <c r="C111" s="1">
        <f t="shared" si="3"/>
        <v>0.82230000000000003</v>
      </c>
      <c r="D111" s="1">
        <v>0.1777</v>
      </c>
      <c r="E111" s="1">
        <f t="shared" si="2"/>
        <v>0.25170000000000003</v>
      </c>
      <c r="F111" s="1">
        <v>0.74829999999999997</v>
      </c>
      <c r="G111" t="s">
        <v>10</v>
      </c>
    </row>
    <row r="112" spans="1:7" x14ac:dyDescent="0.25">
      <c r="A112" s="1">
        <v>260</v>
      </c>
      <c r="B112" s="1">
        <v>41.71</v>
      </c>
      <c r="C112" s="1">
        <f t="shared" si="3"/>
        <v>0.78029999999999999</v>
      </c>
      <c r="D112" s="1">
        <v>0.21970000000000001</v>
      </c>
      <c r="E112" s="1">
        <f t="shared" si="2"/>
        <v>0.26300000000000001</v>
      </c>
      <c r="F112" s="1">
        <v>0.73699999999999999</v>
      </c>
      <c r="G112" t="s">
        <v>10</v>
      </c>
    </row>
    <row r="113" spans="1:7" x14ac:dyDescent="0.25">
      <c r="A113" s="1">
        <v>260</v>
      </c>
      <c r="B113" s="1">
        <v>48.44</v>
      </c>
      <c r="C113" s="1">
        <f t="shared" si="3"/>
        <v>0.73599999999999999</v>
      </c>
      <c r="D113" s="1">
        <v>0.26400000000000001</v>
      </c>
      <c r="E113" s="1">
        <f t="shared" si="2"/>
        <v>0.27829999999999999</v>
      </c>
      <c r="F113" s="1">
        <v>0.72170000000000001</v>
      </c>
      <c r="G113" t="s">
        <v>10</v>
      </c>
    </row>
    <row r="114" spans="1:7" x14ac:dyDescent="0.25">
      <c r="A114" s="1">
        <v>260</v>
      </c>
      <c r="B114" s="1">
        <v>55.59</v>
      </c>
      <c r="C114" s="1">
        <f t="shared" si="3"/>
        <v>0.68009999999999993</v>
      </c>
      <c r="D114" s="1">
        <v>0.31990000000000002</v>
      </c>
      <c r="E114" s="1">
        <f t="shared" si="2"/>
        <v>0.30349999999999999</v>
      </c>
      <c r="F114" s="1">
        <v>0.69650000000000001</v>
      </c>
      <c r="G114" t="s">
        <v>10</v>
      </c>
    </row>
    <row r="115" spans="1:7" x14ac:dyDescent="0.25">
      <c r="A115" s="1">
        <v>260</v>
      </c>
      <c r="B115" s="1">
        <v>62.04</v>
      </c>
      <c r="C115" s="1">
        <f t="shared" si="3"/>
        <v>0.60919999999999996</v>
      </c>
      <c r="D115" s="1">
        <v>0.39079999999999998</v>
      </c>
      <c r="E115" s="1">
        <f t="shared" si="2"/>
        <v>0.35289999999999999</v>
      </c>
      <c r="F115" s="1">
        <v>0.64710000000000001</v>
      </c>
      <c r="G115" t="s">
        <v>10</v>
      </c>
    </row>
    <row r="116" spans="1:7" x14ac:dyDescent="0.25">
      <c r="A116" s="1">
        <v>260</v>
      </c>
      <c r="B116" s="1">
        <v>65.64</v>
      </c>
      <c r="C116" s="1">
        <f t="shared" si="3"/>
        <v>0.5232</v>
      </c>
      <c r="D116" s="1">
        <v>0.4768</v>
      </c>
      <c r="E116" s="1">
        <f t="shared" si="2"/>
        <v>0.42269999999999996</v>
      </c>
      <c r="F116" s="1">
        <v>0.57730000000000004</v>
      </c>
      <c r="G116" t="s">
        <v>10</v>
      </c>
    </row>
    <row r="117" spans="1:7" x14ac:dyDescent="0.25">
      <c r="A117" s="1">
        <v>260</v>
      </c>
      <c r="B117" s="1">
        <v>25.26</v>
      </c>
      <c r="C117" s="1">
        <f>1-D117</f>
        <v>0.82940000000000003</v>
      </c>
      <c r="D117" s="1">
        <v>0.1706</v>
      </c>
      <c r="E117" s="1">
        <f>1-F117</f>
        <v>0.35040000000000004</v>
      </c>
      <c r="F117" s="1">
        <v>0.64959999999999996</v>
      </c>
      <c r="G117" t="s">
        <v>10</v>
      </c>
    </row>
    <row r="118" spans="1:7" x14ac:dyDescent="0.25">
      <c r="A118" s="1">
        <v>260</v>
      </c>
      <c r="B118" s="1">
        <v>27.97</v>
      </c>
      <c r="C118" s="1">
        <f>1-D118</f>
        <v>0.8044</v>
      </c>
      <c r="D118" s="1">
        <v>0.1956</v>
      </c>
      <c r="E118" s="1">
        <f>1-F118</f>
        <v>0.35250000000000004</v>
      </c>
      <c r="F118" s="1">
        <v>0.64749999999999996</v>
      </c>
      <c r="G118" t="s">
        <v>10</v>
      </c>
    </row>
    <row r="119" spans="1:7" x14ac:dyDescent="0.25">
      <c r="A119" s="1">
        <v>260</v>
      </c>
      <c r="B119" s="1">
        <v>34.76</v>
      </c>
      <c r="C119" s="1">
        <f>1-D119</f>
        <v>0.75429999999999997</v>
      </c>
      <c r="D119" s="1">
        <v>0.2457</v>
      </c>
      <c r="E119" s="1">
        <f>1-F119</f>
        <v>0.36009999999999998</v>
      </c>
      <c r="F119" s="1">
        <v>0.63990000000000002</v>
      </c>
      <c r="G119" t="s">
        <v>10</v>
      </c>
    </row>
    <row r="120" spans="1:7" x14ac:dyDescent="0.25">
      <c r="A120" s="1">
        <v>260</v>
      </c>
      <c r="B120" s="1">
        <v>39.99</v>
      </c>
      <c r="C120" s="1">
        <f>1-D120</f>
        <v>0.70500000000000007</v>
      </c>
      <c r="D120" s="1">
        <v>0.29499999999999998</v>
      </c>
      <c r="E120" s="1">
        <f>1-F120</f>
        <v>0.38429999999999997</v>
      </c>
      <c r="F120" s="1">
        <v>0.61570000000000003</v>
      </c>
      <c r="G120" t="s">
        <v>10</v>
      </c>
    </row>
    <row r="121" spans="1:7" x14ac:dyDescent="0.25">
      <c r="A121" s="1">
        <v>260</v>
      </c>
      <c r="B121" s="1">
        <v>44.14</v>
      </c>
      <c r="C121" s="1">
        <f>1-D121</f>
        <v>0.64400000000000002</v>
      </c>
      <c r="D121" s="1">
        <v>0.35599999999999998</v>
      </c>
      <c r="E121" s="1">
        <f>1-F121</f>
        <v>0.42490000000000006</v>
      </c>
      <c r="F121" s="1">
        <v>0.57509999999999994</v>
      </c>
      <c r="G121" t="s">
        <v>10</v>
      </c>
    </row>
    <row r="122" spans="1:7" x14ac:dyDescent="0.25">
      <c r="A122" s="1">
        <v>260</v>
      </c>
      <c r="B122" s="1">
        <v>45.69</v>
      </c>
      <c r="C122" s="1">
        <f>1-D122</f>
        <v>0.60329999999999995</v>
      </c>
      <c r="D122" s="1">
        <v>0.3967</v>
      </c>
      <c r="E122" s="1">
        <f>1-F122</f>
        <v>0.46679999999999999</v>
      </c>
      <c r="F122" s="1">
        <v>0.53320000000000001</v>
      </c>
      <c r="G122" t="s">
        <v>10</v>
      </c>
    </row>
    <row r="123" spans="1:7" x14ac:dyDescent="0.25">
      <c r="A123" s="1">
        <v>280</v>
      </c>
      <c r="B123" s="1">
        <v>7.44</v>
      </c>
      <c r="C123" s="1"/>
      <c r="D123" s="1"/>
      <c r="E123" s="1">
        <f>1-F123</f>
        <v>0.71089999999999998</v>
      </c>
      <c r="F123" s="1">
        <v>0.28910000000000002</v>
      </c>
      <c r="G123" t="s">
        <v>10</v>
      </c>
    </row>
    <row r="124" spans="1:7" x14ac:dyDescent="0.25">
      <c r="A124" s="1">
        <v>280</v>
      </c>
      <c r="B124" s="1">
        <v>9.15</v>
      </c>
      <c r="C124" s="1"/>
      <c r="D124" s="1"/>
      <c r="E124" s="1">
        <f>1-F124</f>
        <v>0.63880000000000003</v>
      </c>
      <c r="F124" s="1">
        <v>0.36120000000000002</v>
      </c>
      <c r="G124" t="s">
        <v>10</v>
      </c>
    </row>
    <row r="125" spans="1:7" x14ac:dyDescent="0.25">
      <c r="A125" s="1">
        <v>280</v>
      </c>
      <c r="B125" s="1">
        <v>11.27</v>
      </c>
      <c r="C125" s="1"/>
      <c r="D125" s="1"/>
      <c r="E125" s="1">
        <f>1-F125</f>
        <v>0.57489999999999997</v>
      </c>
      <c r="F125" s="1">
        <v>0.42509999999999998</v>
      </c>
      <c r="G125" t="s">
        <v>10</v>
      </c>
    </row>
    <row r="126" spans="1:7" x14ac:dyDescent="0.25">
      <c r="A126" s="1">
        <v>280</v>
      </c>
      <c r="B126" s="1">
        <v>13.8</v>
      </c>
      <c r="C126" s="1">
        <f>1-D126</f>
        <v>0.89</v>
      </c>
      <c r="D126" s="1">
        <v>0.11</v>
      </c>
      <c r="E126" s="1">
        <f>1-F126</f>
        <v>0.52689999999999992</v>
      </c>
      <c r="F126" s="1">
        <v>0.47310000000000002</v>
      </c>
      <c r="G126" t="s">
        <v>10</v>
      </c>
    </row>
    <row r="127" spans="1:7" x14ac:dyDescent="0.25">
      <c r="A127" s="1">
        <v>280</v>
      </c>
      <c r="B127" s="1">
        <v>18.350000000000001</v>
      </c>
      <c r="C127" s="1">
        <f>1-D127</f>
        <v>0.84199999999999997</v>
      </c>
      <c r="D127" s="1">
        <v>0.158</v>
      </c>
      <c r="E127" s="1">
        <f>1-F127</f>
        <v>0.48340000000000005</v>
      </c>
      <c r="F127" s="1">
        <v>0.51659999999999995</v>
      </c>
      <c r="G127" t="s">
        <v>10</v>
      </c>
    </row>
    <row r="128" spans="1:7" x14ac:dyDescent="0.25">
      <c r="A128" s="1">
        <v>280</v>
      </c>
      <c r="B128" s="1">
        <v>20.3</v>
      </c>
      <c r="C128" s="1">
        <f>1-D128</f>
        <v>0.82089999999999996</v>
      </c>
      <c r="D128" s="1">
        <v>0.17910000000000001</v>
      </c>
      <c r="E128" s="1">
        <f>1-F128</f>
        <v>0.47450000000000003</v>
      </c>
      <c r="F128" s="1">
        <v>0.52549999999999997</v>
      </c>
      <c r="G128" t="s">
        <v>10</v>
      </c>
    </row>
    <row r="129" spans="1:7" x14ac:dyDescent="0.25">
      <c r="A129" s="1">
        <v>280</v>
      </c>
      <c r="B129" s="1">
        <v>22.62</v>
      </c>
      <c r="C129" s="1">
        <f>1-D129</f>
        <v>0.8</v>
      </c>
      <c r="D129" s="1">
        <v>0.2</v>
      </c>
      <c r="E129" s="1">
        <f>1-F129</f>
        <v>0.47360000000000002</v>
      </c>
      <c r="F129" s="1">
        <v>0.52639999999999998</v>
      </c>
      <c r="G129" t="s">
        <v>10</v>
      </c>
    </row>
    <row r="130" spans="1:7" x14ac:dyDescent="0.25">
      <c r="A130" s="1">
        <v>280</v>
      </c>
      <c r="B130" s="1">
        <v>24.56</v>
      </c>
      <c r="C130" s="1">
        <f>1-D130</f>
        <v>0.78049999999999997</v>
      </c>
      <c r="D130" s="1">
        <v>0.2195</v>
      </c>
      <c r="E130" s="1"/>
      <c r="F130" s="1"/>
      <c r="G130" t="s">
        <v>10</v>
      </c>
    </row>
    <row r="131" spans="1:7" x14ac:dyDescent="0.25">
      <c r="A131" s="1">
        <v>280</v>
      </c>
      <c r="B131" s="1">
        <v>26.01</v>
      </c>
      <c r="C131" s="1">
        <f>1-D131</f>
        <v>0.76419999999999999</v>
      </c>
      <c r="D131" s="1">
        <v>0.23580000000000001</v>
      </c>
      <c r="E131" s="1">
        <f>1-F131</f>
        <v>0.48060000000000003</v>
      </c>
      <c r="F131" s="1">
        <v>0.51939999999999997</v>
      </c>
      <c r="G131" t="s">
        <v>10</v>
      </c>
    </row>
    <row r="132" spans="1:7" x14ac:dyDescent="0.25">
      <c r="A132" s="1">
        <v>280</v>
      </c>
      <c r="B132" s="1">
        <v>27.45</v>
      </c>
      <c r="C132" s="1">
        <f>1-D132</f>
        <v>0.74639999999999995</v>
      </c>
      <c r="D132" s="1">
        <v>0.25359999999999999</v>
      </c>
      <c r="E132" s="1">
        <f>1-F132</f>
        <v>0.48670000000000002</v>
      </c>
      <c r="F132" s="1">
        <v>0.51329999999999998</v>
      </c>
      <c r="G132" t="s">
        <v>10</v>
      </c>
    </row>
    <row r="133" spans="1:7" x14ac:dyDescent="0.25">
      <c r="A133" s="1">
        <v>280</v>
      </c>
      <c r="B133" s="1">
        <v>29.25</v>
      </c>
      <c r="C133" s="1">
        <f>1-D133</f>
        <v>0.72550000000000003</v>
      </c>
      <c r="D133" s="1">
        <v>0.27450000000000002</v>
      </c>
      <c r="E133" s="1">
        <f>1-F133</f>
        <v>0.49609999999999999</v>
      </c>
      <c r="F133" s="1">
        <v>0.50390000000000001</v>
      </c>
      <c r="G133" t="s">
        <v>10</v>
      </c>
    </row>
    <row r="134" spans="1:7" x14ac:dyDescent="0.25">
      <c r="A134" s="1">
        <v>280</v>
      </c>
      <c r="B134" s="1">
        <v>31.19</v>
      </c>
      <c r="C134" s="1">
        <f>1-D134</f>
        <v>0.69569999999999999</v>
      </c>
      <c r="D134" s="1">
        <v>0.30430000000000001</v>
      </c>
      <c r="E134" s="1">
        <f>1-F134</f>
        <v>0.52600000000000002</v>
      </c>
      <c r="F134" s="1">
        <v>0.47399999999999998</v>
      </c>
      <c r="G134" t="s">
        <v>10</v>
      </c>
    </row>
    <row r="135" spans="1:7" x14ac:dyDescent="0.25">
      <c r="A135" s="1">
        <v>280</v>
      </c>
      <c r="B135" s="1">
        <v>31.96</v>
      </c>
      <c r="C135" s="1">
        <f>1-D135</f>
        <v>0.67300000000000004</v>
      </c>
      <c r="D135" s="1">
        <v>0.32700000000000001</v>
      </c>
      <c r="E135" s="1">
        <f>1-F135</f>
        <v>0.55279999999999996</v>
      </c>
      <c r="F135" s="1">
        <v>0.44719999999999999</v>
      </c>
      <c r="G135" t="s">
        <v>10</v>
      </c>
    </row>
    <row r="136" spans="1:7" x14ac:dyDescent="0.25">
      <c r="A136" s="1">
        <v>290</v>
      </c>
      <c r="B136" s="1">
        <v>8.5299999999999994</v>
      </c>
      <c r="C136" s="1">
        <f>1-D136</f>
        <v>0.95950000000000002</v>
      </c>
      <c r="D136" s="1">
        <v>4.0500000000000001E-2</v>
      </c>
      <c r="E136" s="1">
        <f>1-F136</f>
        <v>0.80120000000000002</v>
      </c>
      <c r="F136" s="1">
        <v>0.1988</v>
      </c>
      <c r="G136" t="s">
        <v>10</v>
      </c>
    </row>
    <row r="137" spans="1:7" x14ac:dyDescent="0.25">
      <c r="A137" s="1">
        <v>290</v>
      </c>
      <c r="B137" s="1">
        <v>9.49</v>
      </c>
      <c r="C137" s="1">
        <f>1-D137</f>
        <v>0.94720000000000004</v>
      </c>
      <c r="D137" s="1">
        <v>5.28E-2</v>
      </c>
      <c r="E137" s="1">
        <f>1-F137</f>
        <v>0.76580000000000004</v>
      </c>
      <c r="F137" s="1">
        <v>0.23419999999999999</v>
      </c>
      <c r="G137" t="s">
        <v>10</v>
      </c>
    </row>
    <row r="138" spans="1:7" x14ac:dyDescent="0.25">
      <c r="A138" s="1">
        <v>290</v>
      </c>
      <c r="B138" s="1">
        <v>11.29</v>
      </c>
      <c r="C138" s="1">
        <f>1-D138</f>
        <v>0.91959999999999997</v>
      </c>
      <c r="D138" s="1">
        <v>8.0399999999999999E-2</v>
      </c>
      <c r="E138" s="1">
        <f>1-F138</f>
        <v>0.71330000000000005</v>
      </c>
      <c r="F138" s="1">
        <v>0.28670000000000001</v>
      </c>
      <c r="G138" t="s">
        <v>10</v>
      </c>
    </row>
    <row r="139" spans="1:7" x14ac:dyDescent="0.25">
      <c r="A139" s="1">
        <v>290</v>
      </c>
      <c r="B139" s="1">
        <v>11.72</v>
      </c>
      <c r="C139" s="1"/>
      <c r="D139" s="1"/>
      <c r="E139" s="1">
        <f>1-F139</f>
        <v>0.70310000000000006</v>
      </c>
      <c r="F139" s="1">
        <v>0.2969</v>
      </c>
      <c r="G139" t="s">
        <v>10</v>
      </c>
    </row>
    <row r="140" spans="1:7" x14ac:dyDescent="0.25">
      <c r="A140" s="1">
        <v>290</v>
      </c>
      <c r="B140" s="1">
        <v>13.88</v>
      </c>
      <c r="C140" s="1">
        <f>1-D140</f>
        <v>0.87739999999999996</v>
      </c>
      <c r="D140" s="1">
        <v>0.1226</v>
      </c>
      <c r="E140" s="1">
        <f>1-F140</f>
        <v>0.6704</v>
      </c>
      <c r="F140" s="1">
        <v>0.3296</v>
      </c>
      <c r="G140" t="s">
        <v>10</v>
      </c>
    </row>
    <row r="141" spans="1:7" x14ac:dyDescent="0.25">
      <c r="A141" s="1">
        <v>290</v>
      </c>
      <c r="B141" s="1">
        <v>15.65</v>
      </c>
      <c r="C141" s="1">
        <f>1-D141</f>
        <v>0.85509999999999997</v>
      </c>
      <c r="D141" s="1">
        <v>0.1449</v>
      </c>
      <c r="E141" s="1">
        <f>1-F141</f>
        <v>0.65400000000000003</v>
      </c>
      <c r="F141" s="1">
        <v>0.34599999999999997</v>
      </c>
      <c r="G141" t="s">
        <v>10</v>
      </c>
    </row>
    <row r="142" spans="1:7" x14ac:dyDescent="0.25">
      <c r="A142" s="1">
        <v>290</v>
      </c>
      <c r="B142" s="1">
        <v>17.27</v>
      </c>
      <c r="C142" s="1">
        <f>1-D142</f>
        <v>0.83299999999999996</v>
      </c>
      <c r="D142" s="1">
        <v>0.16700000000000001</v>
      </c>
      <c r="E142" s="1">
        <f>1-F142</f>
        <v>0.64749999999999996</v>
      </c>
      <c r="F142" s="1">
        <v>0.35249999999999998</v>
      </c>
      <c r="G142" t="s">
        <v>10</v>
      </c>
    </row>
    <row r="143" spans="1:7" x14ac:dyDescent="0.25">
      <c r="A143" s="1">
        <v>290</v>
      </c>
      <c r="B143" s="1">
        <v>18.95</v>
      </c>
      <c r="C143" s="1">
        <f>1-D143</f>
        <v>0.80800000000000005</v>
      </c>
      <c r="D143" s="1">
        <v>0.192</v>
      </c>
      <c r="E143" s="1">
        <f>1-F143</f>
        <v>0.6673</v>
      </c>
      <c r="F143" s="1">
        <v>0.3327</v>
      </c>
      <c r="G143" t="s">
        <v>10</v>
      </c>
    </row>
    <row r="144" spans="1:7" x14ac:dyDescent="0.25">
      <c r="A144" s="1">
        <v>290</v>
      </c>
      <c r="B144" s="1">
        <v>19.71</v>
      </c>
      <c r="C144" s="1">
        <f>1-D144</f>
        <v>0.79349999999999998</v>
      </c>
      <c r="D144" s="1">
        <v>0.20649999999999999</v>
      </c>
      <c r="E144" s="1">
        <f>1-F144</f>
        <v>0.67589999999999995</v>
      </c>
      <c r="F144" s="1">
        <v>0.3241</v>
      </c>
      <c r="G144" t="s">
        <v>10</v>
      </c>
    </row>
    <row r="148" spans="1:7" x14ac:dyDescent="0.25">
      <c r="A148" s="3"/>
      <c r="B148" s="3"/>
      <c r="C148" s="3"/>
      <c r="D148" s="3"/>
      <c r="E148" s="3"/>
      <c r="F148" s="3"/>
      <c r="G14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114D-4404-49F2-9C0F-C33E9C67737E}">
  <dimension ref="A1:G43"/>
  <sheetViews>
    <sheetView zoomScale="160" zoomScaleNormal="160" workbookViewId="0">
      <selection sqref="A1:G1"/>
    </sheetView>
  </sheetViews>
  <sheetFormatPr defaultRowHeight="15" x14ac:dyDescent="0.25"/>
  <cols>
    <col min="7" max="7" width="25.425781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</row>
    <row r="2" spans="1:7" x14ac:dyDescent="0.25">
      <c r="A2" s="1">
        <v>278.14999999999998</v>
      </c>
      <c r="B2" s="1">
        <v>4.8049999999999997</v>
      </c>
      <c r="C2" s="1">
        <f>1-D2</f>
        <v>0.99119999999999997</v>
      </c>
      <c r="D2" s="1">
        <v>8.8000000000000005E-3</v>
      </c>
      <c r="E2" s="1">
        <f>1-F2</f>
        <v>0.8861</v>
      </c>
      <c r="F2" s="1">
        <v>0.1139</v>
      </c>
      <c r="G2" t="s">
        <v>11</v>
      </c>
    </row>
    <row r="3" spans="1:7" x14ac:dyDescent="0.25">
      <c r="A3" s="1">
        <v>278.14999999999998</v>
      </c>
      <c r="B3" s="1">
        <v>5.8639999999999999</v>
      </c>
      <c r="C3" s="1">
        <f t="shared" ref="C3:C43" si="0">1-D3</f>
        <v>0.9798</v>
      </c>
      <c r="D3" s="1">
        <v>2.0199999999999999E-2</v>
      </c>
      <c r="E3" s="1">
        <f t="shared" ref="E3:E41" si="1">1-F3</f>
        <v>0.81579999999999997</v>
      </c>
      <c r="F3" s="1">
        <v>0.1842</v>
      </c>
      <c r="G3" t="s">
        <v>11</v>
      </c>
    </row>
    <row r="4" spans="1:7" x14ac:dyDescent="0.25">
      <c r="A4" s="1">
        <v>278.14999999999998</v>
      </c>
      <c r="B4" s="1">
        <v>6.9329999999999998</v>
      </c>
      <c r="C4" s="1">
        <f t="shared" si="0"/>
        <v>0.97509999999999997</v>
      </c>
      <c r="D4" s="1">
        <v>2.4899999999999999E-2</v>
      </c>
      <c r="E4" s="1">
        <f t="shared" si="1"/>
        <v>0.74669999999999992</v>
      </c>
      <c r="F4" s="1">
        <v>0.25330000000000003</v>
      </c>
      <c r="G4" t="s">
        <v>11</v>
      </c>
    </row>
    <row r="5" spans="1:7" x14ac:dyDescent="0.25">
      <c r="A5" s="1">
        <v>278.14999999999998</v>
      </c>
      <c r="B5" s="1">
        <v>7.7219999999999995</v>
      </c>
      <c r="C5" s="1">
        <f t="shared" si="0"/>
        <v>0.97099999999999997</v>
      </c>
      <c r="D5" s="1">
        <v>2.9000000000000001E-2</v>
      </c>
      <c r="E5" s="1">
        <f t="shared" si="1"/>
        <v>0.72110000000000007</v>
      </c>
      <c r="F5" s="1">
        <v>0.27889999999999998</v>
      </c>
      <c r="G5" t="s">
        <v>11</v>
      </c>
    </row>
    <row r="6" spans="1:7" x14ac:dyDescent="0.25">
      <c r="A6" s="1">
        <v>278.14999999999998</v>
      </c>
      <c r="B6" s="1">
        <v>8.6709999999999994</v>
      </c>
      <c r="C6" s="1">
        <f t="shared" si="0"/>
        <v>0.95550000000000002</v>
      </c>
      <c r="D6" s="1">
        <v>4.4499999999999998E-2</v>
      </c>
      <c r="E6" s="1">
        <f t="shared" si="1"/>
        <v>0.69629999999999992</v>
      </c>
      <c r="F6" s="1">
        <v>0.30370000000000003</v>
      </c>
      <c r="G6" t="s">
        <v>11</v>
      </c>
    </row>
    <row r="7" spans="1:7" x14ac:dyDescent="0.25">
      <c r="A7" s="1">
        <v>278.14999999999998</v>
      </c>
      <c r="B7" s="1">
        <v>9.9610000000000003</v>
      </c>
      <c r="C7" s="1">
        <f t="shared" si="0"/>
        <v>0.93859999999999999</v>
      </c>
      <c r="D7" s="1">
        <v>6.1400000000000003E-2</v>
      </c>
      <c r="E7" s="1">
        <f t="shared" si="1"/>
        <v>0.65890000000000004</v>
      </c>
      <c r="F7" s="1">
        <v>0.34110000000000001</v>
      </c>
      <c r="G7" t="s">
        <v>11</v>
      </c>
    </row>
    <row r="8" spans="1:7" x14ac:dyDescent="0.25">
      <c r="A8" s="1">
        <v>278.14999999999998</v>
      </c>
      <c r="B8" s="1">
        <v>10.86</v>
      </c>
      <c r="C8" s="1">
        <f t="shared" si="0"/>
        <v>0.93389999999999995</v>
      </c>
      <c r="D8" s="1">
        <v>6.6100000000000006E-2</v>
      </c>
      <c r="E8" s="1">
        <f t="shared" si="1"/>
        <v>0.64190000000000003</v>
      </c>
      <c r="F8" s="1">
        <v>0.35809999999999997</v>
      </c>
      <c r="G8" t="s">
        <v>11</v>
      </c>
    </row>
    <row r="9" spans="1:7" x14ac:dyDescent="0.25">
      <c r="A9" s="1">
        <v>278.14999999999998</v>
      </c>
      <c r="B9" s="1">
        <v>11.4</v>
      </c>
      <c r="C9" s="1">
        <f t="shared" si="0"/>
        <v>0.92820000000000003</v>
      </c>
      <c r="D9" s="1">
        <v>7.1800000000000003E-2</v>
      </c>
      <c r="E9" s="1">
        <f t="shared" si="1"/>
        <v>0.62380000000000002</v>
      </c>
      <c r="F9" s="1">
        <v>0.37619999999999998</v>
      </c>
      <c r="G9" t="s">
        <v>11</v>
      </c>
    </row>
    <row r="10" spans="1:7" x14ac:dyDescent="0.25">
      <c r="A10" s="1">
        <v>278.14999999999998</v>
      </c>
      <c r="B10" s="1">
        <v>11.77</v>
      </c>
      <c r="C10" s="1">
        <f t="shared" si="0"/>
        <v>0.92510000000000003</v>
      </c>
      <c r="D10" s="1">
        <v>7.4899999999999994E-2</v>
      </c>
      <c r="E10" s="1">
        <f t="shared" si="1"/>
        <v>0.61820000000000008</v>
      </c>
      <c r="F10" s="1">
        <v>0.38179999999999997</v>
      </c>
      <c r="G10" t="s">
        <v>11</v>
      </c>
    </row>
    <row r="11" spans="1:7" x14ac:dyDescent="0.25">
      <c r="A11" s="1">
        <v>278.14999999999998</v>
      </c>
      <c r="B11" s="1">
        <v>12.6</v>
      </c>
      <c r="C11" s="1">
        <f t="shared" si="0"/>
        <v>0.91810000000000003</v>
      </c>
      <c r="D11" s="1">
        <v>8.1900000000000001E-2</v>
      </c>
      <c r="E11" s="1">
        <f t="shared" si="1"/>
        <v>0.58979999999999999</v>
      </c>
      <c r="F11" s="1">
        <v>0.41020000000000001</v>
      </c>
      <c r="G11" t="s">
        <v>11</v>
      </c>
    </row>
    <row r="12" spans="1:7" x14ac:dyDescent="0.25">
      <c r="A12" s="1">
        <v>278.14999999999998</v>
      </c>
      <c r="B12" s="1">
        <v>13.687999999999999</v>
      </c>
      <c r="C12" s="1">
        <f t="shared" si="0"/>
        <v>0.90880000000000005</v>
      </c>
      <c r="D12" s="1">
        <v>9.1200000000000003E-2</v>
      </c>
      <c r="E12" s="1">
        <f t="shared" si="1"/>
        <v>0.56689999999999996</v>
      </c>
      <c r="F12" s="1">
        <v>0.43309999999999998</v>
      </c>
      <c r="G12" t="s">
        <v>11</v>
      </c>
    </row>
    <row r="13" spans="1:7" x14ac:dyDescent="0.25">
      <c r="A13" s="1">
        <v>278.14999999999998</v>
      </c>
      <c r="B13" s="1">
        <v>14.487</v>
      </c>
      <c r="C13" s="1">
        <f t="shared" si="0"/>
        <v>0.90300000000000002</v>
      </c>
      <c r="D13" s="1">
        <v>9.7000000000000003E-2</v>
      </c>
      <c r="E13" s="1">
        <f t="shared" si="1"/>
        <v>0.54930000000000001</v>
      </c>
      <c r="F13" s="1">
        <v>0.45069999999999999</v>
      </c>
      <c r="G13" t="s">
        <v>11</v>
      </c>
    </row>
    <row r="14" spans="1:7" x14ac:dyDescent="0.25">
      <c r="A14" s="1">
        <v>278.14999999999998</v>
      </c>
      <c r="B14" s="1">
        <v>15.366999999999999</v>
      </c>
      <c r="C14" s="1">
        <f t="shared" si="0"/>
        <v>0.89739999999999998</v>
      </c>
      <c r="D14" s="1">
        <v>0.1026</v>
      </c>
      <c r="E14" s="1">
        <f t="shared" si="1"/>
        <v>0.52039999999999997</v>
      </c>
      <c r="F14" s="1">
        <v>0.47960000000000003</v>
      </c>
      <c r="G14" t="s">
        <v>11</v>
      </c>
    </row>
    <row r="15" spans="1:7" x14ac:dyDescent="0.25">
      <c r="A15" s="1">
        <v>278.14999999999998</v>
      </c>
      <c r="B15" s="1">
        <v>16.984999999999999</v>
      </c>
      <c r="C15" s="1">
        <f t="shared" si="0"/>
        <v>0.8821</v>
      </c>
      <c r="D15" s="1">
        <v>0.1179</v>
      </c>
      <c r="E15" s="1">
        <f t="shared" si="1"/>
        <v>0.49619999989999997</v>
      </c>
      <c r="F15" s="1">
        <v>0.50380000010000003</v>
      </c>
      <c r="G15" t="s">
        <v>11</v>
      </c>
    </row>
    <row r="16" spans="1:7" x14ac:dyDescent="0.25">
      <c r="A16" s="1">
        <v>278.14999999999998</v>
      </c>
      <c r="B16" s="1">
        <v>18.68</v>
      </c>
      <c r="C16" s="1">
        <f t="shared" si="0"/>
        <v>0.87090000000000001</v>
      </c>
      <c r="D16" s="1">
        <v>0.12909999999999999</v>
      </c>
      <c r="E16" s="1">
        <f t="shared" si="1"/>
        <v>0.49580000000000002</v>
      </c>
      <c r="F16" s="1">
        <v>0.50419999999999998</v>
      </c>
      <c r="G16" t="s">
        <v>11</v>
      </c>
    </row>
    <row r="17" spans="1:7" x14ac:dyDescent="0.25">
      <c r="A17" s="1">
        <v>278.14999999999998</v>
      </c>
      <c r="B17" s="1">
        <v>19.253</v>
      </c>
      <c r="C17" s="1">
        <f t="shared" si="0"/>
        <v>0.86929999999999996</v>
      </c>
      <c r="D17" s="1">
        <v>0.13070000000000001</v>
      </c>
      <c r="E17" s="1">
        <f t="shared" si="1"/>
        <v>0.49450000000000005</v>
      </c>
      <c r="F17" s="1">
        <v>0.50549999999999995</v>
      </c>
      <c r="G17" t="s">
        <v>11</v>
      </c>
    </row>
    <row r="18" spans="1:7" x14ac:dyDescent="0.25">
      <c r="A18" s="1">
        <v>290.14999999999998</v>
      </c>
      <c r="B18" s="1">
        <v>6.1740000000000004</v>
      </c>
      <c r="C18" s="1">
        <f t="shared" si="0"/>
        <v>0.98870000000000002</v>
      </c>
      <c r="D18" s="1">
        <v>1.1299999999999999E-2</v>
      </c>
      <c r="E18" s="1">
        <f t="shared" si="1"/>
        <v>0.95050000000000001</v>
      </c>
      <c r="F18" s="1">
        <v>4.9500000000000002E-2</v>
      </c>
      <c r="G18" t="s">
        <v>11</v>
      </c>
    </row>
    <row r="19" spans="1:7" x14ac:dyDescent="0.25">
      <c r="A19" s="1">
        <v>290.14999999999998</v>
      </c>
      <c r="B19" s="1">
        <v>7.1</v>
      </c>
      <c r="C19" s="1">
        <f t="shared" si="0"/>
        <v>0.97719999999999996</v>
      </c>
      <c r="D19" s="1">
        <v>2.2800000000000001E-2</v>
      </c>
      <c r="E19" s="1">
        <f t="shared" si="1"/>
        <v>0.90210000000000001</v>
      </c>
      <c r="F19" s="1">
        <v>9.7900000000000001E-2</v>
      </c>
      <c r="G19" t="s">
        <v>11</v>
      </c>
    </row>
    <row r="20" spans="1:7" x14ac:dyDescent="0.25">
      <c r="A20" s="1">
        <v>290.14999999999998</v>
      </c>
      <c r="B20" s="1">
        <v>8.3919999999999995</v>
      </c>
      <c r="C20" s="1">
        <f t="shared" si="0"/>
        <v>0.96509999999999996</v>
      </c>
      <c r="D20" s="1">
        <v>3.49E-2</v>
      </c>
      <c r="E20" s="1">
        <f t="shared" si="1"/>
        <v>0.84440000000000004</v>
      </c>
      <c r="F20" s="1">
        <v>0.15559999999999999</v>
      </c>
      <c r="G20" t="s">
        <v>11</v>
      </c>
    </row>
    <row r="21" spans="1:7" x14ac:dyDescent="0.25">
      <c r="A21" s="1">
        <v>290.14999999999998</v>
      </c>
      <c r="B21" s="1">
        <v>9.23</v>
      </c>
      <c r="C21" s="1">
        <f t="shared" si="0"/>
        <v>0.94769999999999999</v>
      </c>
      <c r="D21" s="1">
        <v>5.2299999999999999E-2</v>
      </c>
      <c r="E21" s="1">
        <f t="shared" si="1"/>
        <v>0.7944</v>
      </c>
      <c r="F21" s="1">
        <v>0.2056</v>
      </c>
      <c r="G21" t="s">
        <v>11</v>
      </c>
    </row>
    <row r="22" spans="1:7" x14ac:dyDescent="0.25">
      <c r="A22" s="1">
        <v>290.14999999999998</v>
      </c>
      <c r="B22" s="1">
        <v>9.3099999999999987</v>
      </c>
      <c r="C22" s="1">
        <f t="shared" si="0"/>
        <v>0.94589999999999996</v>
      </c>
      <c r="D22" s="1">
        <v>5.4100000000000002E-2</v>
      </c>
      <c r="E22" s="1">
        <f t="shared" si="1"/>
        <v>0.78110000000000002</v>
      </c>
      <c r="F22" s="1">
        <v>0.21890000000000001</v>
      </c>
      <c r="G22" t="s">
        <v>11</v>
      </c>
    </row>
    <row r="23" spans="1:7" x14ac:dyDescent="0.25">
      <c r="A23" s="1">
        <v>290.14999999999998</v>
      </c>
      <c r="B23" s="1">
        <v>9.7900000000000009</v>
      </c>
      <c r="C23" s="1">
        <f t="shared" si="0"/>
        <v>0.94269999999999998</v>
      </c>
      <c r="D23" s="1">
        <v>5.7299999999999997E-2</v>
      </c>
      <c r="E23" s="1">
        <f t="shared" si="1"/>
        <v>0.7611</v>
      </c>
      <c r="F23" s="1">
        <v>0.2389</v>
      </c>
      <c r="G23" t="s">
        <v>11</v>
      </c>
    </row>
    <row r="24" spans="1:7" x14ac:dyDescent="0.25">
      <c r="A24" s="1">
        <v>290.14999999999998</v>
      </c>
      <c r="B24" s="1">
        <v>9.93</v>
      </c>
      <c r="C24" s="1">
        <f t="shared" si="0"/>
        <v>0.9395</v>
      </c>
      <c r="D24" s="1">
        <v>6.0499999999999998E-2</v>
      </c>
      <c r="E24" s="1"/>
      <c r="F24" s="1"/>
      <c r="G24" t="s">
        <v>11</v>
      </c>
    </row>
    <row r="25" spans="1:7" x14ac:dyDescent="0.25">
      <c r="A25" s="1">
        <v>290.14999999999998</v>
      </c>
      <c r="B25" s="1">
        <v>10.370000000000001</v>
      </c>
      <c r="C25" s="1">
        <f t="shared" si="0"/>
        <v>0.93389999999999995</v>
      </c>
      <c r="D25" s="1">
        <v>6.6100000000000006E-2</v>
      </c>
      <c r="E25" s="1"/>
      <c r="F25" s="1"/>
      <c r="G25" t="s">
        <v>11</v>
      </c>
    </row>
    <row r="26" spans="1:7" x14ac:dyDescent="0.25">
      <c r="A26" s="1">
        <v>290.14999999999998</v>
      </c>
      <c r="B26" s="1">
        <v>10.93</v>
      </c>
      <c r="C26" s="1">
        <f t="shared" si="0"/>
        <v>0.92869999999999997</v>
      </c>
      <c r="D26" s="1">
        <v>7.1300000000000002E-2</v>
      </c>
      <c r="E26" s="1"/>
      <c r="F26" s="1"/>
      <c r="G26" t="s">
        <v>11</v>
      </c>
    </row>
    <row r="27" spans="1:7" x14ac:dyDescent="0.25">
      <c r="A27" s="1">
        <v>290.14999999999998</v>
      </c>
      <c r="B27" s="1">
        <v>11.620000000000001</v>
      </c>
      <c r="C27" s="1">
        <f t="shared" si="0"/>
        <v>0.9204</v>
      </c>
      <c r="D27" s="1">
        <v>7.9600000000000004E-2</v>
      </c>
      <c r="E27" s="1">
        <f t="shared" si="1"/>
        <v>0.72649999999999992</v>
      </c>
      <c r="F27" s="1">
        <v>0.27350000000000002</v>
      </c>
      <c r="G27" t="s">
        <v>11</v>
      </c>
    </row>
    <row r="28" spans="1:7" x14ac:dyDescent="0.25">
      <c r="A28" s="1">
        <v>290.14999999999998</v>
      </c>
      <c r="B28" s="1">
        <v>12.379999999999999</v>
      </c>
      <c r="C28" s="1">
        <f t="shared" si="0"/>
        <v>0.9103</v>
      </c>
      <c r="D28" s="1">
        <v>8.9700000000000002E-2</v>
      </c>
      <c r="E28" s="1">
        <f t="shared" si="1"/>
        <v>0.71799999999999997</v>
      </c>
      <c r="F28" s="1">
        <v>0.28199999999999997</v>
      </c>
      <c r="G28" t="s">
        <v>11</v>
      </c>
    </row>
    <row r="29" spans="1:7" x14ac:dyDescent="0.25">
      <c r="A29" s="1">
        <v>290.14999999999998</v>
      </c>
      <c r="B29" s="1">
        <v>13.290000000000001</v>
      </c>
      <c r="C29" s="1">
        <f t="shared" si="0"/>
        <v>0.89690000000000003</v>
      </c>
      <c r="D29" s="1">
        <v>0.1031</v>
      </c>
      <c r="E29" s="1">
        <f t="shared" si="1"/>
        <v>0.70819999999999994</v>
      </c>
      <c r="F29" s="1">
        <v>0.2918</v>
      </c>
      <c r="G29" t="s">
        <v>11</v>
      </c>
    </row>
    <row r="30" spans="1:7" x14ac:dyDescent="0.25">
      <c r="A30" s="1">
        <v>290.14999999999998</v>
      </c>
      <c r="B30" s="1">
        <v>13.558000000000002</v>
      </c>
      <c r="C30" s="1">
        <f t="shared" si="0"/>
        <v>0.89629999999999999</v>
      </c>
      <c r="D30" s="1">
        <v>0.1037</v>
      </c>
      <c r="E30" s="1"/>
      <c r="F30" s="1"/>
      <c r="G30" t="s">
        <v>11</v>
      </c>
    </row>
    <row r="31" spans="1:7" x14ac:dyDescent="0.25">
      <c r="A31" s="1">
        <v>290.14999999999998</v>
      </c>
      <c r="B31" s="1">
        <v>14.547000000000001</v>
      </c>
      <c r="C31" s="1">
        <f t="shared" si="0"/>
        <v>0.8861</v>
      </c>
      <c r="D31" s="1">
        <v>0.1139</v>
      </c>
      <c r="E31" s="1"/>
      <c r="F31" s="1"/>
      <c r="G31" t="s">
        <v>11</v>
      </c>
    </row>
    <row r="32" spans="1:7" x14ac:dyDescent="0.25">
      <c r="A32" s="1">
        <v>290.14999999999998</v>
      </c>
      <c r="B32" s="1">
        <v>14.997</v>
      </c>
      <c r="C32" s="1">
        <f t="shared" si="0"/>
        <v>0.87850000000000006</v>
      </c>
      <c r="D32" s="1">
        <v>0.1215</v>
      </c>
      <c r="E32" s="1"/>
      <c r="F32" s="1"/>
      <c r="G32" t="s">
        <v>11</v>
      </c>
    </row>
    <row r="33" spans="1:7" x14ac:dyDescent="0.25">
      <c r="A33" s="1">
        <v>290.14999999999998</v>
      </c>
      <c r="B33" s="1">
        <v>16.026</v>
      </c>
      <c r="C33" s="1">
        <f t="shared" si="0"/>
        <v>0.86360000000000003</v>
      </c>
      <c r="D33" s="1">
        <v>0.13639999999999999</v>
      </c>
      <c r="E33" s="1">
        <f t="shared" si="1"/>
        <v>0.67989999999999995</v>
      </c>
      <c r="F33" s="1">
        <v>0.3201</v>
      </c>
      <c r="G33" t="s">
        <v>11</v>
      </c>
    </row>
    <row r="34" spans="1:7" x14ac:dyDescent="0.25">
      <c r="A34" s="1">
        <v>290.14999999999998</v>
      </c>
      <c r="B34" s="1">
        <v>17.565000000000001</v>
      </c>
      <c r="C34" s="1">
        <f t="shared" si="0"/>
        <v>0.84550000000000003</v>
      </c>
      <c r="D34" s="1">
        <v>0.1545</v>
      </c>
      <c r="E34" s="1">
        <f>1-F34</f>
        <v>0.66379999999999995</v>
      </c>
      <c r="F34" s="1">
        <v>0.3362</v>
      </c>
      <c r="G34" t="s">
        <v>11</v>
      </c>
    </row>
    <row r="35" spans="1:7" x14ac:dyDescent="0.25">
      <c r="A35" s="1">
        <v>290.14999999999998</v>
      </c>
      <c r="B35" s="1">
        <v>18.393999999999998</v>
      </c>
      <c r="C35" s="1">
        <f t="shared" si="0"/>
        <v>0.84289999999999998</v>
      </c>
      <c r="D35" s="1">
        <v>0.15709999999999999</v>
      </c>
      <c r="E35" s="1">
        <f t="shared" si="1"/>
        <v>0.67710000000000004</v>
      </c>
      <c r="F35" s="1">
        <v>0.32290000000000002</v>
      </c>
      <c r="G35" t="s">
        <v>11</v>
      </c>
    </row>
    <row r="36" spans="1:7" x14ac:dyDescent="0.25">
      <c r="A36" s="1">
        <v>298.14999999999998</v>
      </c>
      <c r="B36" s="1">
        <v>7.1930000000000005</v>
      </c>
      <c r="C36" s="1">
        <f t="shared" si="0"/>
        <v>0.99039999999999995</v>
      </c>
      <c r="D36" s="1">
        <v>9.5999999999999992E-3</v>
      </c>
      <c r="E36" s="1">
        <f t="shared" si="1"/>
        <v>0.95750000000000002</v>
      </c>
      <c r="F36" s="1">
        <v>4.2500000000000003E-2</v>
      </c>
      <c r="G36" t="s">
        <v>11</v>
      </c>
    </row>
    <row r="37" spans="1:7" x14ac:dyDescent="0.25">
      <c r="A37" s="1">
        <v>298.14999999999998</v>
      </c>
      <c r="B37" s="1">
        <v>8.02</v>
      </c>
      <c r="C37" s="1">
        <f t="shared" si="0"/>
        <v>0.97160000000000002</v>
      </c>
      <c r="D37" s="1">
        <v>2.8400000000000002E-2</v>
      </c>
      <c r="E37" s="1">
        <f t="shared" si="1"/>
        <v>0.92569999999999997</v>
      </c>
      <c r="F37" s="1">
        <v>7.4300000000000005E-2</v>
      </c>
      <c r="G37" t="s">
        <v>11</v>
      </c>
    </row>
    <row r="38" spans="1:7" x14ac:dyDescent="0.25">
      <c r="A38" s="1">
        <v>298.14999999999998</v>
      </c>
      <c r="B38" s="1">
        <v>8.5920000000000005</v>
      </c>
      <c r="C38" s="1">
        <f t="shared" si="0"/>
        <v>0.96179999999999999</v>
      </c>
      <c r="D38" s="1">
        <v>3.8199999999999998E-2</v>
      </c>
      <c r="E38" s="1">
        <f t="shared" si="1"/>
        <v>0.89939999999999998</v>
      </c>
      <c r="F38" s="1">
        <v>0.10059999999999999</v>
      </c>
      <c r="G38" t="s">
        <v>11</v>
      </c>
    </row>
    <row r="39" spans="1:7" x14ac:dyDescent="0.25">
      <c r="A39" s="1">
        <v>298.14999999999998</v>
      </c>
      <c r="B39" s="1">
        <v>9.0609999999999999</v>
      </c>
      <c r="C39" s="1">
        <f t="shared" si="0"/>
        <v>0.9556</v>
      </c>
      <c r="D39" s="1">
        <v>4.4400000000000002E-2</v>
      </c>
      <c r="E39" s="1">
        <f t="shared" si="1"/>
        <v>0.86670000000000003</v>
      </c>
      <c r="F39" s="1">
        <v>0.1333</v>
      </c>
      <c r="G39" t="s">
        <v>11</v>
      </c>
    </row>
    <row r="40" spans="1:7" x14ac:dyDescent="0.25">
      <c r="A40" s="1">
        <v>298.14999999999998</v>
      </c>
      <c r="B40" s="1">
        <v>9.57</v>
      </c>
      <c r="C40" s="1">
        <f t="shared" si="0"/>
        <v>0.94389999999999996</v>
      </c>
      <c r="D40" s="1">
        <v>5.6099999999999997E-2</v>
      </c>
      <c r="E40" s="1">
        <f t="shared" si="1"/>
        <v>0.83909999999999996</v>
      </c>
      <c r="F40" s="1">
        <v>0.16089999999999999</v>
      </c>
      <c r="G40" t="s">
        <v>11</v>
      </c>
    </row>
    <row r="41" spans="1:7" x14ac:dyDescent="0.25">
      <c r="A41" s="1">
        <v>298.14999999999998</v>
      </c>
      <c r="B41" s="1">
        <v>11.09</v>
      </c>
      <c r="C41" s="1">
        <f t="shared" si="0"/>
        <v>0.91920000000000002</v>
      </c>
      <c r="D41" s="1">
        <v>8.0799999999999997E-2</v>
      </c>
      <c r="E41" s="1">
        <f t="shared" si="1"/>
        <v>0.80620000000000003</v>
      </c>
      <c r="F41" s="1">
        <v>0.1938</v>
      </c>
      <c r="G41" t="s">
        <v>11</v>
      </c>
    </row>
    <row r="42" spans="1:7" x14ac:dyDescent="0.25">
      <c r="A42" s="1">
        <v>298.14999999999998</v>
      </c>
      <c r="B42" s="1">
        <v>11.39</v>
      </c>
      <c r="C42" s="1">
        <f t="shared" si="0"/>
        <v>0.91220000000000001</v>
      </c>
      <c r="D42" s="1">
        <v>8.7800000000000003E-2</v>
      </c>
      <c r="E42" s="1"/>
      <c r="F42" s="1"/>
      <c r="G42" t="s">
        <v>11</v>
      </c>
    </row>
    <row r="43" spans="1:7" x14ac:dyDescent="0.25">
      <c r="A43" s="3">
        <v>298.14999999999998</v>
      </c>
      <c r="B43" s="3">
        <v>11.59</v>
      </c>
      <c r="C43" s="3">
        <f t="shared" si="0"/>
        <v>0.91100000000000003</v>
      </c>
      <c r="D43" s="3">
        <v>8.8999999999999996E-2</v>
      </c>
      <c r="E43" s="3"/>
      <c r="F43" s="3"/>
      <c r="G43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142A-DA68-449D-988B-DF69D4D590B8}">
  <dimension ref="A1:G96"/>
  <sheetViews>
    <sheetView tabSelected="1" workbookViewId="0">
      <selection sqref="A1:G1"/>
    </sheetView>
  </sheetViews>
  <sheetFormatPr defaultRowHeight="15" x14ac:dyDescent="0.25"/>
  <cols>
    <col min="7" max="7" width="25.425781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3</v>
      </c>
      <c r="F1" s="5" t="s">
        <v>5</v>
      </c>
      <c r="G1" s="5" t="s">
        <v>6</v>
      </c>
    </row>
    <row r="2" spans="1:7" x14ac:dyDescent="0.25">
      <c r="A2" s="1">
        <v>218.15899999999999</v>
      </c>
      <c r="B2" s="1">
        <v>0.55840000000000001</v>
      </c>
      <c r="C2" s="1">
        <f t="shared" ref="C2:C65" si="0">1-D2</f>
        <v>1</v>
      </c>
      <c r="D2" s="1">
        <v>0</v>
      </c>
      <c r="E2" s="1">
        <f t="shared" ref="E2:E66" si="1">1-F2</f>
        <v>1</v>
      </c>
      <c r="F2" s="1">
        <v>0</v>
      </c>
      <c r="G2" t="s">
        <v>12</v>
      </c>
    </row>
    <row r="3" spans="1:7" x14ac:dyDescent="0.25">
      <c r="A3" s="1">
        <v>218.17400000000001</v>
      </c>
      <c r="B3" s="1">
        <v>0.96250000000000002</v>
      </c>
      <c r="C3" s="1">
        <f t="shared" si="0"/>
        <v>0.99909999999999999</v>
      </c>
      <c r="D3" s="1">
        <v>8.9999999999999998E-4</v>
      </c>
      <c r="E3" s="1">
        <f t="shared" si="1"/>
        <v>0.60719999999999996</v>
      </c>
      <c r="F3" s="1">
        <v>0.39279999999999998</v>
      </c>
      <c r="G3" t="s">
        <v>12</v>
      </c>
    </row>
    <row r="4" spans="1:7" x14ac:dyDescent="0.25">
      <c r="A4" s="1">
        <v>218.166</v>
      </c>
      <c r="B4" s="1">
        <v>1.4769000000000001</v>
      </c>
      <c r="C4" s="1">
        <f t="shared" si="0"/>
        <v>0.99760000000000004</v>
      </c>
      <c r="D4" s="1">
        <v>2.3999999999999998E-3</v>
      </c>
      <c r="E4" s="1">
        <f t="shared" si="1"/>
        <v>0.4073</v>
      </c>
      <c r="F4" s="1">
        <v>0.5927</v>
      </c>
      <c r="G4" t="s">
        <v>12</v>
      </c>
    </row>
    <row r="5" spans="1:7" x14ac:dyDescent="0.25">
      <c r="A5" s="1">
        <v>218.15</v>
      </c>
      <c r="B5" s="1">
        <v>1.9502999999999999</v>
      </c>
      <c r="C5" s="1">
        <f t="shared" si="0"/>
        <v>0.99639999999999995</v>
      </c>
      <c r="D5" s="1">
        <v>3.5999999999999999E-3</v>
      </c>
      <c r="E5" s="1">
        <f t="shared" si="1"/>
        <v>0.32089999999999996</v>
      </c>
      <c r="F5" s="1">
        <v>0.67910000000000004</v>
      </c>
      <c r="G5" t="s">
        <v>12</v>
      </c>
    </row>
    <row r="6" spans="1:7" x14ac:dyDescent="0.25">
      <c r="A6" s="1">
        <v>218.18100000000001</v>
      </c>
      <c r="B6" s="1">
        <v>3.0059999999999998</v>
      </c>
      <c r="C6" s="1">
        <f t="shared" si="0"/>
        <v>0.99350000000000005</v>
      </c>
      <c r="D6" s="1">
        <v>6.4999999999999997E-3</v>
      </c>
      <c r="E6" s="1">
        <f t="shared" si="1"/>
        <v>0.21250000000000002</v>
      </c>
      <c r="F6" s="1">
        <v>0.78749999999999998</v>
      </c>
      <c r="G6" t="s">
        <v>12</v>
      </c>
    </row>
    <row r="7" spans="1:7" x14ac:dyDescent="0.25">
      <c r="A7" s="1">
        <v>218.15600000000001</v>
      </c>
      <c r="B7" s="1">
        <v>4.0155000000000003</v>
      </c>
      <c r="C7" s="1">
        <f t="shared" si="0"/>
        <v>0.9909</v>
      </c>
      <c r="D7" s="1">
        <v>9.1000000000000004E-3</v>
      </c>
      <c r="E7" s="1">
        <f t="shared" si="1"/>
        <v>0.17579999999999996</v>
      </c>
      <c r="F7" s="1">
        <v>0.82420000000000004</v>
      </c>
      <c r="G7" t="s">
        <v>12</v>
      </c>
    </row>
    <row r="8" spans="1:7" x14ac:dyDescent="0.25">
      <c r="A8" s="1">
        <v>218.15700000000001</v>
      </c>
      <c r="B8" s="1">
        <v>4.9846000000000004</v>
      </c>
      <c r="C8" s="1">
        <f t="shared" si="0"/>
        <v>0.98860000000000003</v>
      </c>
      <c r="D8" s="1">
        <v>1.14E-2</v>
      </c>
      <c r="E8" s="1">
        <f t="shared" si="1"/>
        <v>0.14839999999999998</v>
      </c>
      <c r="F8" s="1">
        <v>0.85160000000000002</v>
      </c>
      <c r="G8" t="s">
        <v>12</v>
      </c>
    </row>
    <row r="9" spans="1:7" x14ac:dyDescent="0.25">
      <c r="A9" s="1">
        <v>218.15799999999999</v>
      </c>
      <c r="B9" s="1">
        <v>6.0050999999999997</v>
      </c>
      <c r="C9" s="1">
        <f t="shared" si="0"/>
        <v>0.98599999999999999</v>
      </c>
      <c r="D9" s="1">
        <v>1.4E-2</v>
      </c>
      <c r="E9" s="1">
        <f t="shared" si="1"/>
        <v>0.12949999999999995</v>
      </c>
      <c r="F9" s="1">
        <v>0.87050000000000005</v>
      </c>
      <c r="G9" t="s">
        <v>12</v>
      </c>
    </row>
    <row r="10" spans="1:7" x14ac:dyDescent="0.25">
      <c r="A10" s="1">
        <v>218.15700000000001</v>
      </c>
      <c r="B10" s="1">
        <v>7.4984999999999999</v>
      </c>
      <c r="C10" s="1">
        <f t="shared" si="0"/>
        <v>0.98229999999999995</v>
      </c>
      <c r="D10" s="1">
        <v>1.77E-2</v>
      </c>
      <c r="E10" s="1">
        <f t="shared" si="1"/>
        <v>0.11060000000000003</v>
      </c>
      <c r="F10" s="1">
        <v>0.88939999999999997</v>
      </c>
      <c r="G10" t="s">
        <v>12</v>
      </c>
    </row>
    <row r="11" spans="1:7" x14ac:dyDescent="0.25">
      <c r="A11" s="1">
        <v>218.16499999999999</v>
      </c>
      <c r="B11" s="1">
        <v>9.9818999999999996</v>
      </c>
      <c r="C11" s="1">
        <f t="shared" si="0"/>
        <v>0.97560000000000002</v>
      </c>
      <c r="D11" s="1">
        <v>2.4400000000000002E-2</v>
      </c>
      <c r="E11" s="1">
        <f t="shared" si="1"/>
        <v>9.2999999999999972E-2</v>
      </c>
      <c r="F11" s="1">
        <v>0.90700000000000003</v>
      </c>
      <c r="G11" t="s">
        <v>12</v>
      </c>
    </row>
    <row r="12" spans="1:7" x14ac:dyDescent="0.25">
      <c r="A12" s="1">
        <v>218.166</v>
      </c>
      <c r="B12" s="1">
        <v>12.5</v>
      </c>
      <c r="C12" s="1">
        <f t="shared" si="0"/>
        <v>0.97019999999999995</v>
      </c>
      <c r="D12" s="1">
        <v>2.98E-2</v>
      </c>
      <c r="E12" s="1">
        <f t="shared" si="1"/>
        <v>8.1500000000000017E-2</v>
      </c>
      <c r="F12" s="1">
        <v>0.91849999999999998</v>
      </c>
      <c r="G12" t="s">
        <v>12</v>
      </c>
    </row>
    <row r="13" spans="1:7" x14ac:dyDescent="0.25">
      <c r="A13" s="1">
        <v>218.161</v>
      </c>
      <c r="B13" s="1">
        <v>14.958</v>
      </c>
      <c r="C13" s="1">
        <f t="shared" si="0"/>
        <v>0.96409999999999996</v>
      </c>
      <c r="D13" s="1">
        <v>3.5900000000000001E-2</v>
      </c>
      <c r="E13" s="1">
        <f t="shared" si="1"/>
        <v>7.4500000000000011E-2</v>
      </c>
      <c r="F13" s="1">
        <v>0.92549999999999999</v>
      </c>
      <c r="G13" t="s">
        <v>12</v>
      </c>
    </row>
    <row r="14" spans="1:7" x14ac:dyDescent="0.25">
      <c r="A14" s="1">
        <v>233.136</v>
      </c>
      <c r="B14" s="1">
        <v>1.0086999999999999</v>
      </c>
      <c r="C14" s="1">
        <f t="shared" si="0"/>
        <v>1</v>
      </c>
      <c r="D14" s="1">
        <v>0</v>
      </c>
      <c r="E14" s="1">
        <f t="shared" si="1"/>
        <v>1</v>
      </c>
      <c r="F14" s="1">
        <v>0</v>
      </c>
      <c r="G14" t="s">
        <v>12</v>
      </c>
    </row>
    <row r="15" spans="1:7" x14ac:dyDescent="0.25">
      <c r="A15" s="1">
        <v>233.137</v>
      </c>
      <c r="B15" s="1">
        <v>1.3855</v>
      </c>
      <c r="C15" s="1">
        <f t="shared" si="0"/>
        <v>0.99870000000000003</v>
      </c>
      <c r="D15" s="1">
        <v>1.2999999999999999E-3</v>
      </c>
      <c r="E15" s="1">
        <f t="shared" si="1"/>
        <v>0.76150000000000007</v>
      </c>
      <c r="F15" s="1">
        <v>0.23849999999999999</v>
      </c>
      <c r="G15" t="s">
        <v>12</v>
      </c>
    </row>
    <row r="16" spans="1:7" x14ac:dyDescent="0.25">
      <c r="A16" s="1">
        <v>233.13800000000001</v>
      </c>
      <c r="B16" s="1">
        <v>1.7432000000000001</v>
      </c>
      <c r="C16" s="1">
        <f t="shared" si="0"/>
        <v>0.99739999999999995</v>
      </c>
      <c r="D16" s="1">
        <v>2.5999999999999999E-3</v>
      </c>
      <c r="E16" s="1">
        <f t="shared" si="1"/>
        <v>0.62680000000000002</v>
      </c>
      <c r="F16" s="1">
        <v>0.37319999999999998</v>
      </c>
      <c r="G16" t="s">
        <v>12</v>
      </c>
    </row>
    <row r="17" spans="1:7" x14ac:dyDescent="0.25">
      <c r="A17" s="1">
        <v>233.13900000000001</v>
      </c>
      <c r="B17" s="1">
        <v>2.2667000000000002</v>
      </c>
      <c r="C17" s="1">
        <f t="shared" si="0"/>
        <v>0.99560000000000004</v>
      </c>
      <c r="D17" s="1">
        <v>4.4000000000000003E-3</v>
      </c>
      <c r="E17" s="1">
        <f t="shared" si="1"/>
        <v>0.50330000000000008</v>
      </c>
      <c r="F17" s="1">
        <v>0.49669999999999997</v>
      </c>
      <c r="G17" t="s">
        <v>12</v>
      </c>
    </row>
    <row r="18" spans="1:7" x14ac:dyDescent="0.25">
      <c r="A18" s="1">
        <v>233.14400000000001</v>
      </c>
      <c r="B18" s="1">
        <v>3.0449000000000002</v>
      </c>
      <c r="C18" s="1">
        <f t="shared" si="0"/>
        <v>0.99270000000000003</v>
      </c>
      <c r="D18" s="1">
        <v>7.3000000000000001E-3</v>
      </c>
      <c r="E18" s="1">
        <f t="shared" si="1"/>
        <v>0.38539999999999996</v>
      </c>
      <c r="F18" s="1">
        <v>0.61460000000000004</v>
      </c>
      <c r="G18" t="s">
        <v>12</v>
      </c>
    </row>
    <row r="19" spans="1:7" x14ac:dyDescent="0.25">
      <c r="A19" s="1">
        <v>233.14599999999999</v>
      </c>
      <c r="B19" s="1">
        <v>4.0651999999999999</v>
      </c>
      <c r="C19" s="1">
        <f t="shared" si="0"/>
        <v>0.98939999999999995</v>
      </c>
      <c r="D19" s="1">
        <v>1.06E-2</v>
      </c>
      <c r="E19" s="1">
        <f t="shared" si="1"/>
        <v>0.30779999999999996</v>
      </c>
      <c r="F19" s="1">
        <v>0.69220000000000004</v>
      </c>
      <c r="G19" t="s">
        <v>12</v>
      </c>
    </row>
    <row r="20" spans="1:7" x14ac:dyDescent="0.25">
      <c r="A20" s="1">
        <v>233.15</v>
      </c>
      <c r="B20" s="1">
        <v>4.9901999999999997</v>
      </c>
      <c r="C20" s="1">
        <f t="shared" si="0"/>
        <v>0.98640000000000005</v>
      </c>
      <c r="D20" s="1">
        <v>1.3599999999999999E-2</v>
      </c>
      <c r="E20" s="1">
        <f t="shared" si="1"/>
        <v>0.26370000000000005</v>
      </c>
      <c r="F20" s="1">
        <v>0.73629999999999995</v>
      </c>
      <c r="G20" t="s">
        <v>12</v>
      </c>
    </row>
    <row r="21" spans="1:7" x14ac:dyDescent="0.25">
      <c r="A21" s="1">
        <v>233.149</v>
      </c>
      <c r="B21" s="1">
        <v>6.1448</v>
      </c>
      <c r="C21" s="1">
        <f t="shared" si="0"/>
        <v>0.98270000000000002</v>
      </c>
      <c r="D21" s="1">
        <v>1.7299999999999999E-2</v>
      </c>
      <c r="E21" s="1">
        <f t="shared" si="1"/>
        <v>0.22750000000000004</v>
      </c>
      <c r="F21" s="1">
        <v>0.77249999999999996</v>
      </c>
      <c r="G21" t="s">
        <v>12</v>
      </c>
    </row>
    <row r="22" spans="1:7" x14ac:dyDescent="0.25">
      <c r="A22" s="1">
        <v>233.15</v>
      </c>
      <c r="B22" s="1">
        <v>7.5194999999999999</v>
      </c>
      <c r="C22" s="1">
        <f t="shared" si="0"/>
        <v>0.97829999999999995</v>
      </c>
      <c r="D22" s="1">
        <v>2.1700000000000001E-2</v>
      </c>
      <c r="E22" s="1">
        <f t="shared" si="1"/>
        <v>0.19750000000000001</v>
      </c>
      <c r="F22" s="1">
        <v>0.80249999999999999</v>
      </c>
      <c r="G22" t="s">
        <v>12</v>
      </c>
    </row>
    <row r="23" spans="1:7" x14ac:dyDescent="0.25">
      <c r="A23" s="1">
        <v>233.149</v>
      </c>
      <c r="B23" s="1">
        <v>9.9450000000000003</v>
      </c>
      <c r="C23" s="1">
        <f t="shared" si="0"/>
        <v>0.97050000000000003</v>
      </c>
      <c r="D23" s="1">
        <v>2.9499999999999998E-2</v>
      </c>
      <c r="E23" s="1">
        <f t="shared" si="1"/>
        <v>0.16490000000000005</v>
      </c>
      <c r="F23" s="1">
        <v>0.83509999999999995</v>
      </c>
      <c r="G23" t="s">
        <v>12</v>
      </c>
    </row>
    <row r="24" spans="1:7" x14ac:dyDescent="0.25">
      <c r="A24" s="1">
        <v>233.15199999999999</v>
      </c>
      <c r="B24" s="1">
        <v>12.342000000000001</v>
      </c>
      <c r="C24" s="1">
        <f t="shared" si="0"/>
        <v>0.96279999999999999</v>
      </c>
      <c r="D24" s="1">
        <v>3.7199999999999997E-2</v>
      </c>
      <c r="E24" s="1">
        <f t="shared" si="1"/>
        <v>0.14570000000000005</v>
      </c>
      <c r="F24" s="1">
        <v>0.85429999999999995</v>
      </c>
      <c r="G24" t="s">
        <v>12</v>
      </c>
    </row>
    <row r="25" spans="1:7" x14ac:dyDescent="0.25">
      <c r="A25" s="1">
        <v>233.15</v>
      </c>
      <c r="B25" s="1">
        <v>14.868</v>
      </c>
      <c r="C25" s="1">
        <f t="shared" si="0"/>
        <v>0.95489999999999997</v>
      </c>
      <c r="D25" s="1">
        <v>4.5100000000000001E-2</v>
      </c>
      <c r="E25" s="1">
        <f t="shared" si="1"/>
        <v>0.13129999999999997</v>
      </c>
      <c r="F25" s="1">
        <v>0.86870000000000003</v>
      </c>
      <c r="G25" t="s">
        <v>12</v>
      </c>
    </row>
    <row r="26" spans="1:7" x14ac:dyDescent="0.25">
      <c r="A26" s="1">
        <v>243.09299999999999</v>
      </c>
      <c r="B26" s="1">
        <v>1.4279999999999999</v>
      </c>
      <c r="C26" s="1">
        <f t="shared" si="0"/>
        <v>1</v>
      </c>
      <c r="D26" s="1">
        <v>0</v>
      </c>
      <c r="E26" s="1">
        <f t="shared" si="1"/>
        <v>1</v>
      </c>
      <c r="F26" s="1">
        <v>0</v>
      </c>
      <c r="G26" t="s">
        <v>12</v>
      </c>
    </row>
    <row r="27" spans="1:7" x14ac:dyDescent="0.25">
      <c r="A27" s="1">
        <v>243.148</v>
      </c>
      <c r="B27" s="1">
        <v>1.88</v>
      </c>
      <c r="C27" s="1">
        <f t="shared" si="0"/>
        <v>0.99829999999999997</v>
      </c>
      <c r="D27" s="1">
        <v>1.6999999999999999E-3</v>
      </c>
      <c r="E27" s="1">
        <f t="shared" si="1"/>
        <v>0.80349999999999999</v>
      </c>
      <c r="F27" s="1">
        <v>0.19650000000000001</v>
      </c>
      <c r="G27" t="s">
        <v>12</v>
      </c>
    </row>
    <row r="28" spans="1:7" x14ac:dyDescent="0.25">
      <c r="A28" s="1">
        <v>243.149</v>
      </c>
      <c r="B28" s="1">
        <v>2.1307</v>
      </c>
      <c r="C28" s="1">
        <f t="shared" si="0"/>
        <v>0.99739999999999995</v>
      </c>
      <c r="D28" s="1">
        <v>2.5999999999999999E-3</v>
      </c>
      <c r="E28" s="1">
        <f t="shared" si="1"/>
        <v>0.72449999999999992</v>
      </c>
      <c r="F28" s="1">
        <v>0.27550000000000002</v>
      </c>
      <c r="G28" t="s">
        <v>12</v>
      </c>
    </row>
    <row r="29" spans="1:7" x14ac:dyDescent="0.25">
      <c r="A29" s="1">
        <v>243.15600000000001</v>
      </c>
      <c r="B29" s="1">
        <v>3.1976</v>
      </c>
      <c r="C29" s="1">
        <f t="shared" si="0"/>
        <v>0.99270000000000003</v>
      </c>
      <c r="D29" s="1">
        <v>7.3000000000000001E-3</v>
      </c>
      <c r="E29" s="1">
        <f t="shared" si="1"/>
        <v>0.52059999999999995</v>
      </c>
      <c r="F29" s="1">
        <v>0.47939999999999999</v>
      </c>
      <c r="G29" t="s">
        <v>12</v>
      </c>
    </row>
    <row r="30" spans="1:7" x14ac:dyDescent="0.25">
      <c r="A30" s="1">
        <v>243.15600000000001</v>
      </c>
      <c r="B30" s="1">
        <v>4.0948000000000002</v>
      </c>
      <c r="C30" s="1">
        <f t="shared" si="0"/>
        <v>0.98909999999999998</v>
      </c>
      <c r="D30" s="1">
        <v>1.09E-2</v>
      </c>
      <c r="E30" s="1">
        <f t="shared" si="1"/>
        <v>0.42869999999999997</v>
      </c>
      <c r="F30" s="1">
        <v>0.57130000000000003</v>
      </c>
      <c r="G30" t="s">
        <v>12</v>
      </c>
    </row>
    <row r="31" spans="1:7" x14ac:dyDescent="0.25">
      <c r="A31" s="1">
        <v>243.155</v>
      </c>
      <c r="B31" s="1">
        <v>5.0362999999999998</v>
      </c>
      <c r="C31" s="1">
        <f t="shared" si="0"/>
        <v>0.98540000000000005</v>
      </c>
      <c r="D31" s="1">
        <v>1.46E-2</v>
      </c>
      <c r="E31" s="1">
        <f t="shared" si="1"/>
        <v>0.36470000000000002</v>
      </c>
      <c r="F31" s="1">
        <v>0.63529999999999998</v>
      </c>
      <c r="G31" t="s">
        <v>12</v>
      </c>
    </row>
    <row r="32" spans="1:7" x14ac:dyDescent="0.25">
      <c r="A32" s="1">
        <v>243.15899999999999</v>
      </c>
      <c r="B32" s="1">
        <v>6.1395999999999997</v>
      </c>
      <c r="C32" s="1">
        <f t="shared" si="0"/>
        <v>0.98099999999999998</v>
      </c>
      <c r="D32" s="1">
        <v>1.9E-2</v>
      </c>
      <c r="E32" s="1">
        <f t="shared" si="1"/>
        <v>0.31599999999999995</v>
      </c>
      <c r="F32" s="1">
        <v>0.68400000000000005</v>
      </c>
      <c r="G32" t="s">
        <v>12</v>
      </c>
    </row>
    <row r="33" spans="1:7" x14ac:dyDescent="0.25">
      <c r="A33" s="1">
        <v>243.14500000000001</v>
      </c>
      <c r="B33" s="1">
        <v>7.5427999999999997</v>
      </c>
      <c r="C33" s="1">
        <f t="shared" si="0"/>
        <v>0.97550000000000003</v>
      </c>
      <c r="D33" s="1">
        <v>2.4500000000000001E-2</v>
      </c>
      <c r="E33" s="1">
        <f t="shared" si="1"/>
        <v>0.27410000000000001</v>
      </c>
      <c r="F33" s="1">
        <v>0.72589999999999999</v>
      </c>
      <c r="G33" t="s">
        <v>12</v>
      </c>
    </row>
    <row r="34" spans="1:7" x14ac:dyDescent="0.25">
      <c r="A34" s="1">
        <v>243.148</v>
      </c>
      <c r="B34" s="1">
        <v>10.042</v>
      </c>
      <c r="C34" s="1">
        <f t="shared" si="0"/>
        <v>0.96550000000000002</v>
      </c>
      <c r="D34" s="1">
        <v>3.4500000000000003E-2</v>
      </c>
      <c r="E34" s="1">
        <f t="shared" si="1"/>
        <v>0.2288</v>
      </c>
      <c r="F34" s="1">
        <v>0.7712</v>
      </c>
      <c r="G34" t="s">
        <v>12</v>
      </c>
    </row>
    <row r="35" spans="1:7" x14ac:dyDescent="0.25">
      <c r="A35" s="1">
        <v>243.15100000000001</v>
      </c>
      <c r="B35" s="1">
        <v>12.343</v>
      </c>
      <c r="C35" s="1">
        <f t="shared" si="0"/>
        <v>0.95669999999999999</v>
      </c>
      <c r="D35" s="1">
        <v>4.3299999999999998E-2</v>
      </c>
      <c r="E35" s="1">
        <f t="shared" si="1"/>
        <v>0.2016</v>
      </c>
      <c r="F35" s="1">
        <v>0.7984</v>
      </c>
      <c r="G35" t="s">
        <v>12</v>
      </c>
    </row>
    <row r="36" spans="1:7" x14ac:dyDescent="0.25">
      <c r="A36" s="1">
        <v>243.15</v>
      </c>
      <c r="B36" s="1">
        <v>14.949</v>
      </c>
      <c r="C36" s="1">
        <f t="shared" si="0"/>
        <v>0.94689999999999996</v>
      </c>
      <c r="D36" s="1">
        <v>5.3100000000000001E-2</v>
      </c>
      <c r="E36" s="1">
        <f t="shared" si="1"/>
        <v>0.18240000000000001</v>
      </c>
      <c r="F36" s="1">
        <v>0.81759999999999999</v>
      </c>
      <c r="G36" t="s">
        <v>12</v>
      </c>
    </row>
    <row r="37" spans="1:7" x14ac:dyDescent="0.25">
      <c r="A37" s="1">
        <v>258.06</v>
      </c>
      <c r="B37" s="1">
        <v>2.2909000000000002</v>
      </c>
      <c r="C37" s="1">
        <f t="shared" si="0"/>
        <v>1</v>
      </c>
      <c r="D37" s="1">
        <v>0</v>
      </c>
      <c r="E37" s="1">
        <f t="shared" si="1"/>
        <v>1</v>
      </c>
      <c r="F37" s="1">
        <v>0</v>
      </c>
      <c r="G37" t="s">
        <v>12</v>
      </c>
    </row>
    <row r="38" spans="1:7" x14ac:dyDescent="0.25">
      <c r="A38" s="1">
        <v>258.14600000000002</v>
      </c>
      <c r="B38" s="1">
        <v>2.8592</v>
      </c>
      <c r="C38" s="1">
        <f t="shared" si="0"/>
        <v>0.997</v>
      </c>
      <c r="D38" s="1">
        <v>3.0000000000000001E-3</v>
      </c>
      <c r="E38" s="1">
        <f t="shared" si="1"/>
        <v>0.85260000000000002</v>
      </c>
      <c r="F38" s="1">
        <v>0.1474</v>
      </c>
      <c r="G38" t="s">
        <v>12</v>
      </c>
    </row>
    <row r="39" spans="1:7" x14ac:dyDescent="0.25">
      <c r="A39" s="1">
        <v>258.14699999999999</v>
      </c>
      <c r="B39" s="1">
        <v>3.2454000000000001</v>
      </c>
      <c r="C39" s="1">
        <f t="shared" si="0"/>
        <v>0.995</v>
      </c>
      <c r="D39" s="1">
        <v>5.0000000000000001E-3</v>
      </c>
      <c r="E39" s="1">
        <f t="shared" si="1"/>
        <v>0.7762</v>
      </c>
      <c r="F39" s="1">
        <v>0.2238</v>
      </c>
      <c r="G39" t="s">
        <v>12</v>
      </c>
    </row>
    <row r="40" spans="1:7" x14ac:dyDescent="0.25">
      <c r="A40" s="1">
        <v>258.14999999999998</v>
      </c>
      <c r="B40" s="1">
        <v>4.1368</v>
      </c>
      <c r="C40" s="1">
        <f t="shared" si="0"/>
        <v>0.99019999999999997</v>
      </c>
      <c r="D40" s="1">
        <v>9.7999999999999997E-3</v>
      </c>
      <c r="E40" s="1">
        <f t="shared" si="1"/>
        <v>0.65070000000000006</v>
      </c>
      <c r="F40" s="1">
        <v>0.3493</v>
      </c>
      <c r="G40" t="s">
        <v>12</v>
      </c>
    </row>
    <row r="41" spans="1:7" x14ac:dyDescent="0.25">
      <c r="A41" s="1">
        <v>258.15100000000001</v>
      </c>
      <c r="B41" s="1">
        <v>5.1711</v>
      </c>
      <c r="C41" s="1">
        <f t="shared" si="0"/>
        <v>0.9849</v>
      </c>
      <c r="D41" s="1">
        <v>1.5100000000000001E-2</v>
      </c>
      <c r="E41" s="1">
        <f t="shared" si="1"/>
        <v>0.55469999999999997</v>
      </c>
      <c r="F41" s="1">
        <v>0.44529999999999997</v>
      </c>
      <c r="G41" t="s">
        <v>12</v>
      </c>
    </row>
    <row r="42" spans="1:7" x14ac:dyDescent="0.25">
      <c r="A42" s="1">
        <v>258.15100000000001</v>
      </c>
      <c r="B42" s="1">
        <v>6.3395000000000001</v>
      </c>
      <c r="C42" s="1">
        <f t="shared" si="0"/>
        <v>0.97899999999999998</v>
      </c>
      <c r="D42" s="1">
        <v>2.1000000000000001E-2</v>
      </c>
      <c r="E42" s="1">
        <f t="shared" si="1"/>
        <v>0.4829</v>
      </c>
      <c r="F42" s="1">
        <v>0.5171</v>
      </c>
      <c r="G42" t="s">
        <v>12</v>
      </c>
    </row>
    <row r="43" spans="1:7" x14ac:dyDescent="0.25">
      <c r="A43" s="1">
        <v>258.15300000000002</v>
      </c>
      <c r="B43" s="1">
        <v>7.5330000000000004</v>
      </c>
      <c r="C43" s="1">
        <f t="shared" si="0"/>
        <v>0.9728</v>
      </c>
      <c r="D43" s="1">
        <v>2.7199999999999998E-2</v>
      </c>
      <c r="E43" s="1">
        <f>1-F43</f>
        <v>0.43069999999999997</v>
      </c>
      <c r="F43" s="1">
        <v>0.56930000000000003</v>
      </c>
      <c r="G43" t="s">
        <v>12</v>
      </c>
    </row>
    <row r="44" spans="1:7" x14ac:dyDescent="0.25">
      <c r="A44" s="1">
        <v>258.14400000000001</v>
      </c>
      <c r="B44" s="1">
        <v>9.9880999999999993</v>
      </c>
      <c r="C44" s="1">
        <f t="shared" si="0"/>
        <v>0.96019999999999994</v>
      </c>
      <c r="D44" s="1">
        <v>3.9800000000000002E-2</v>
      </c>
      <c r="E44" s="1">
        <f t="shared" si="1"/>
        <v>0.36029999999999995</v>
      </c>
      <c r="F44" s="1">
        <v>0.63970000000000005</v>
      </c>
      <c r="G44" t="s">
        <v>12</v>
      </c>
    </row>
    <row r="45" spans="1:7" x14ac:dyDescent="0.25">
      <c r="A45" s="1">
        <v>258.14699999999999</v>
      </c>
      <c r="B45" s="1">
        <v>12.204000000000001</v>
      </c>
      <c r="C45" s="1">
        <f t="shared" si="0"/>
        <v>0.94920000000000004</v>
      </c>
      <c r="D45" s="1">
        <v>5.0799999999999998E-2</v>
      </c>
      <c r="E45" s="1">
        <f t="shared" si="1"/>
        <v>0.32079999999999997</v>
      </c>
      <c r="F45" s="1">
        <v>0.67920000000000003</v>
      </c>
      <c r="G45" t="s">
        <v>12</v>
      </c>
    </row>
    <row r="46" spans="1:7" x14ac:dyDescent="0.25">
      <c r="A46" s="1">
        <v>258.149</v>
      </c>
      <c r="B46" s="1">
        <v>15.442</v>
      </c>
      <c r="C46" s="1">
        <f t="shared" si="0"/>
        <v>0.93230000000000002</v>
      </c>
      <c r="D46" s="1">
        <v>6.7699999999999996E-2</v>
      </c>
      <c r="E46" s="1">
        <f t="shared" si="1"/>
        <v>0.28549999999999998</v>
      </c>
      <c r="F46" s="1">
        <v>0.71450000000000002</v>
      </c>
      <c r="G46" t="s">
        <v>12</v>
      </c>
    </row>
    <row r="47" spans="1:7" x14ac:dyDescent="0.25">
      <c r="A47" s="1">
        <v>273.17700000000002</v>
      </c>
      <c r="B47" s="1">
        <v>3.488</v>
      </c>
      <c r="C47" s="1">
        <f t="shared" si="0"/>
        <v>1</v>
      </c>
      <c r="D47" s="1">
        <v>0</v>
      </c>
      <c r="E47" s="1">
        <f t="shared" si="1"/>
        <v>1</v>
      </c>
      <c r="F47" s="1">
        <v>0</v>
      </c>
      <c r="G47" t="s">
        <v>12</v>
      </c>
    </row>
    <row r="48" spans="1:7" x14ac:dyDescent="0.25">
      <c r="A48" s="1">
        <v>273.17700000000002</v>
      </c>
      <c r="B48" s="1">
        <v>4.0824999999999996</v>
      </c>
      <c r="C48" s="1">
        <f t="shared" si="0"/>
        <v>0.99590000000000001</v>
      </c>
      <c r="D48" s="1">
        <v>4.1000000000000003E-3</v>
      </c>
      <c r="E48" s="1">
        <f t="shared" si="1"/>
        <v>0.90579999999999994</v>
      </c>
      <c r="F48" s="1">
        <v>9.4200000000000006E-2</v>
      </c>
      <c r="G48" t="s">
        <v>12</v>
      </c>
    </row>
    <row r="49" spans="1:7" x14ac:dyDescent="0.25">
      <c r="A49" s="1">
        <v>273.19099999999997</v>
      </c>
      <c r="B49" s="1">
        <v>4.3654000000000002</v>
      </c>
      <c r="C49" s="1">
        <f t="shared" si="0"/>
        <v>0.99399999999999999</v>
      </c>
      <c r="D49" s="1">
        <v>6.0000000000000001E-3</v>
      </c>
      <c r="E49" s="1">
        <f t="shared" si="1"/>
        <v>0.86840000000000006</v>
      </c>
      <c r="F49" s="1">
        <v>0.13159999999999999</v>
      </c>
      <c r="G49" t="s">
        <v>12</v>
      </c>
    </row>
    <row r="50" spans="1:7" x14ac:dyDescent="0.25">
      <c r="A50" s="1">
        <v>273.19</v>
      </c>
      <c r="B50" s="1">
        <v>4.673</v>
      </c>
      <c r="C50" s="1">
        <f t="shared" si="0"/>
        <v>0.99180000000000001</v>
      </c>
      <c r="D50" s="1">
        <v>8.2000000000000007E-3</v>
      </c>
      <c r="E50" s="1">
        <f t="shared" si="1"/>
        <v>0.83210000000000006</v>
      </c>
      <c r="F50" s="1">
        <v>0.16789999999999999</v>
      </c>
      <c r="G50" t="s">
        <v>12</v>
      </c>
    </row>
    <row r="51" spans="1:7" x14ac:dyDescent="0.25">
      <c r="A51" s="1">
        <v>273.19</v>
      </c>
      <c r="B51" s="1">
        <v>5.3010000000000002</v>
      </c>
      <c r="C51" s="1">
        <f t="shared" si="0"/>
        <v>0.98760000000000003</v>
      </c>
      <c r="D51" s="1">
        <v>1.24E-2</v>
      </c>
      <c r="E51" s="1">
        <f t="shared" si="1"/>
        <v>0.77010000000000001</v>
      </c>
      <c r="F51" s="1">
        <v>0.22989999999999999</v>
      </c>
      <c r="G51" t="s">
        <v>12</v>
      </c>
    </row>
    <row r="52" spans="1:7" x14ac:dyDescent="0.25">
      <c r="A52" s="1">
        <v>273.19200000000001</v>
      </c>
      <c r="B52" s="1">
        <v>6.2539999999999996</v>
      </c>
      <c r="C52" s="1">
        <f t="shared" si="0"/>
        <v>0.98109999999999997</v>
      </c>
      <c r="D52" s="1">
        <v>1.89E-2</v>
      </c>
      <c r="E52" s="1">
        <f t="shared" si="1"/>
        <v>0.69569999999999999</v>
      </c>
      <c r="F52" s="1">
        <v>0.30430000000000001</v>
      </c>
      <c r="G52" t="s">
        <v>12</v>
      </c>
    </row>
    <row r="53" spans="1:7" x14ac:dyDescent="0.25">
      <c r="A53" s="1">
        <v>273.19400000000002</v>
      </c>
      <c r="B53" s="1">
        <v>7.6130000000000004</v>
      </c>
      <c r="C53" s="1">
        <f t="shared" si="0"/>
        <v>0.97189999999999999</v>
      </c>
      <c r="D53" s="1">
        <v>2.81E-2</v>
      </c>
      <c r="E53" s="1">
        <f t="shared" si="1"/>
        <v>0.61899999999999999</v>
      </c>
      <c r="F53" s="1">
        <v>0.38100000000000001</v>
      </c>
      <c r="G53" t="s">
        <v>12</v>
      </c>
    </row>
    <row r="54" spans="1:7" x14ac:dyDescent="0.25">
      <c r="A54" s="1">
        <v>273.19299999999998</v>
      </c>
      <c r="B54" s="1">
        <v>10.132999999999999</v>
      </c>
      <c r="C54" s="1">
        <f t="shared" si="0"/>
        <v>0.9546</v>
      </c>
      <c r="D54" s="1">
        <v>4.5400000000000003E-2</v>
      </c>
      <c r="E54" s="1">
        <f t="shared" si="1"/>
        <v>0.52790000000000004</v>
      </c>
      <c r="F54" s="1">
        <v>0.47210000000000002</v>
      </c>
      <c r="G54" t="s">
        <v>12</v>
      </c>
    </row>
    <row r="55" spans="1:7" x14ac:dyDescent="0.25">
      <c r="A55" s="1">
        <v>273.19299999999998</v>
      </c>
      <c r="B55" s="1">
        <v>12.458</v>
      </c>
      <c r="C55" s="1">
        <f t="shared" si="0"/>
        <v>0.93759999989999998</v>
      </c>
      <c r="D55" s="1">
        <v>6.2400000099999998E-2</v>
      </c>
      <c r="E55" s="1">
        <f t="shared" si="1"/>
        <v>0.4758</v>
      </c>
      <c r="F55" s="1">
        <v>0.5242</v>
      </c>
      <c r="G55" t="s">
        <v>12</v>
      </c>
    </row>
    <row r="56" spans="1:7" x14ac:dyDescent="0.25">
      <c r="A56" s="1">
        <v>273.197</v>
      </c>
      <c r="B56" s="1">
        <v>14.867000000000001</v>
      </c>
      <c r="C56" s="1">
        <f t="shared" si="0"/>
        <v>0.91379999999999995</v>
      </c>
      <c r="D56" s="1">
        <v>8.6199999999999999E-2</v>
      </c>
      <c r="E56" s="1">
        <f t="shared" si="1"/>
        <v>0.43979999999999997</v>
      </c>
      <c r="F56" s="1">
        <v>0.56020000000000003</v>
      </c>
      <c r="G56" t="s">
        <v>12</v>
      </c>
    </row>
    <row r="57" spans="1:7" x14ac:dyDescent="0.25">
      <c r="A57" s="1">
        <v>280.654</v>
      </c>
      <c r="B57" s="1">
        <v>4.2324999999999999</v>
      </c>
      <c r="C57" s="1">
        <f t="shared" si="0"/>
        <v>1</v>
      </c>
      <c r="D57" s="1">
        <v>0</v>
      </c>
      <c r="E57" s="1">
        <f t="shared" si="1"/>
        <v>1</v>
      </c>
      <c r="F57" s="1">
        <v>0</v>
      </c>
      <c r="G57" t="s">
        <v>12</v>
      </c>
    </row>
    <row r="58" spans="1:7" x14ac:dyDescent="0.25">
      <c r="A58" s="1">
        <v>280.65300000000002</v>
      </c>
      <c r="B58" s="1">
        <v>4.4867999999999997</v>
      </c>
      <c r="C58" s="1">
        <f t="shared" si="0"/>
        <v>0.998</v>
      </c>
      <c r="D58" s="1">
        <v>2E-3</v>
      </c>
      <c r="E58" s="1">
        <f t="shared" si="1"/>
        <v>0.96730000000000005</v>
      </c>
      <c r="F58" s="1">
        <v>3.27E-2</v>
      </c>
      <c r="G58" t="s">
        <v>12</v>
      </c>
    </row>
    <row r="59" spans="1:7" x14ac:dyDescent="0.25">
      <c r="A59" s="1">
        <v>280.654</v>
      </c>
      <c r="B59" s="1">
        <v>4.7774999999999999</v>
      </c>
      <c r="C59" s="1">
        <f t="shared" si="0"/>
        <v>0.99570000000000003</v>
      </c>
      <c r="D59" s="1">
        <v>4.3E-3</v>
      </c>
      <c r="E59" s="1">
        <f t="shared" si="1"/>
        <v>0.93240000000000001</v>
      </c>
      <c r="F59" s="1">
        <v>6.7599999999999993E-2</v>
      </c>
      <c r="G59" t="s">
        <v>12</v>
      </c>
    </row>
    <row r="60" spans="1:7" x14ac:dyDescent="0.25">
      <c r="A60" s="1">
        <v>280.65600000000001</v>
      </c>
      <c r="B60" s="1">
        <v>5.1334</v>
      </c>
      <c r="C60" s="1">
        <f t="shared" si="0"/>
        <v>0.99280000000000002</v>
      </c>
      <c r="D60" s="1">
        <v>7.1999999999999998E-3</v>
      </c>
      <c r="E60" s="1">
        <f t="shared" si="1"/>
        <v>0.89439999999999997</v>
      </c>
      <c r="F60" s="1">
        <v>0.1056</v>
      </c>
      <c r="G60" t="s">
        <v>12</v>
      </c>
    </row>
    <row r="61" spans="1:7" x14ac:dyDescent="0.25">
      <c r="A61" s="1">
        <v>280.65499999999997</v>
      </c>
      <c r="B61" s="1">
        <v>6.2531999999999996</v>
      </c>
      <c r="C61" s="1">
        <f t="shared" si="0"/>
        <v>0.9839</v>
      </c>
      <c r="D61" s="1">
        <v>1.61E-2</v>
      </c>
      <c r="E61" s="1">
        <f t="shared" si="1"/>
        <v>0.7984</v>
      </c>
      <c r="F61" s="1">
        <v>0.2016</v>
      </c>
      <c r="G61" t="s">
        <v>12</v>
      </c>
    </row>
    <row r="62" spans="1:7" x14ac:dyDescent="0.25">
      <c r="A62" s="1">
        <v>280.65699999999998</v>
      </c>
      <c r="B62" s="1">
        <v>7.6868999999999996</v>
      </c>
      <c r="C62" s="1">
        <f t="shared" si="0"/>
        <v>0.97250000000000003</v>
      </c>
      <c r="D62" s="1">
        <v>2.75E-2</v>
      </c>
      <c r="E62" s="1">
        <f t="shared" si="1"/>
        <v>0.71279999999999999</v>
      </c>
      <c r="F62" s="1">
        <v>0.28720000000000001</v>
      </c>
      <c r="G62" t="s">
        <v>12</v>
      </c>
    </row>
    <row r="63" spans="1:7" x14ac:dyDescent="0.25">
      <c r="A63" s="1">
        <v>280.65499999999997</v>
      </c>
      <c r="B63" s="1">
        <v>10.079000000000001</v>
      </c>
      <c r="C63" s="1">
        <f t="shared" si="0"/>
        <v>0.95369999999999999</v>
      </c>
      <c r="D63" s="1">
        <v>4.6300000000000001E-2</v>
      </c>
      <c r="E63" s="1">
        <f t="shared" si="1"/>
        <v>0.62380000000000002</v>
      </c>
      <c r="F63" s="1">
        <v>0.37619999999999998</v>
      </c>
      <c r="G63" t="s">
        <v>12</v>
      </c>
    </row>
    <row r="64" spans="1:7" x14ac:dyDescent="0.25">
      <c r="A64" s="1">
        <v>280.65699999999998</v>
      </c>
      <c r="B64" s="1">
        <v>12.351000000000001</v>
      </c>
      <c r="C64" s="1">
        <f t="shared" si="0"/>
        <v>0.93379999999999996</v>
      </c>
      <c r="D64" s="1">
        <v>6.6199999999999995E-2</v>
      </c>
      <c r="E64" s="1">
        <f>1-F64</f>
        <v>0.56859999999999999</v>
      </c>
      <c r="F64" s="1">
        <v>0.43140000000000001</v>
      </c>
      <c r="G64" t="s">
        <v>12</v>
      </c>
    </row>
    <row r="65" spans="1:7" x14ac:dyDescent="0.25">
      <c r="A65" s="1">
        <v>280.65699999999998</v>
      </c>
      <c r="B65" s="1">
        <v>14.967000000000001</v>
      </c>
      <c r="C65" s="1">
        <f t="shared" si="0"/>
        <v>0.91049999999999998</v>
      </c>
      <c r="D65" s="1">
        <v>8.9499999999999996E-2</v>
      </c>
      <c r="E65" s="1">
        <f t="shared" si="1"/>
        <v>0.5292</v>
      </c>
      <c r="F65" s="1">
        <v>0.4708</v>
      </c>
      <c r="G65" t="s">
        <v>12</v>
      </c>
    </row>
    <row r="66" spans="1:7" x14ac:dyDescent="0.25">
      <c r="A66" s="1">
        <v>288.16300000000001</v>
      </c>
      <c r="B66" s="1">
        <v>5.0895999999999999</v>
      </c>
      <c r="C66" s="1">
        <f t="shared" ref="C66:C96" si="2">1-D66</f>
        <v>1</v>
      </c>
      <c r="D66" s="1">
        <v>0</v>
      </c>
      <c r="E66" s="1">
        <f t="shared" si="1"/>
        <v>1</v>
      </c>
      <c r="F66" s="1">
        <v>0</v>
      </c>
      <c r="G66" t="s">
        <v>12</v>
      </c>
    </row>
    <row r="67" spans="1:7" x14ac:dyDescent="0.25">
      <c r="A67" s="1">
        <v>288.16699999999997</v>
      </c>
      <c r="B67" s="1">
        <v>5.2805</v>
      </c>
      <c r="C67" s="1">
        <f t="shared" si="2"/>
        <v>0.99829999999999997</v>
      </c>
      <c r="D67" s="1">
        <v>1.6999999999999999E-3</v>
      </c>
      <c r="E67" s="1">
        <f t="shared" ref="E67:E84" si="3">1-F67</f>
        <v>0.9819</v>
      </c>
      <c r="F67" s="1">
        <v>1.8100000000000002E-2</v>
      </c>
      <c r="G67" t="s">
        <v>12</v>
      </c>
    </row>
    <row r="68" spans="1:7" x14ac:dyDescent="0.25">
      <c r="A68" s="1">
        <v>288.16199999999998</v>
      </c>
      <c r="B68" s="1">
        <v>6.7510000000000003</v>
      </c>
      <c r="C68" s="1">
        <f>1-D68</f>
        <v>0.98440000000000005</v>
      </c>
      <c r="D68" s="1">
        <v>1.5599999999999999E-2</v>
      </c>
      <c r="E68" s="1">
        <f t="shared" si="3"/>
        <v>0.86970000000000003</v>
      </c>
      <c r="F68" s="1">
        <v>0.1303</v>
      </c>
      <c r="G68" t="s">
        <v>12</v>
      </c>
    </row>
    <row r="69" spans="1:7" x14ac:dyDescent="0.25">
      <c r="A69" s="1">
        <v>288.16899999999998</v>
      </c>
      <c r="B69" s="1">
        <v>7.7069999999999999</v>
      </c>
      <c r="C69" s="1">
        <f t="shared" ref="C69:C96" si="4">1-D69</f>
        <v>0.97550000000000003</v>
      </c>
      <c r="D69" s="1">
        <v>2.4500000000000001E-2</v>
      </c>
      <c r="E69" s="1">
        <f t="shared" si="3"/>
        <v>0.81909999999999994</v>
      </c>
      <c r="F69" s="1">
        <v>0.18090000000000001</v>
      </c>
      <c r="G69" t="s">
        <v>12</v>
      </c>
    </row>
    <row r="70" spans="1:7" x14ac:dyDescent="0.25">
      <c r="A70" s="1">
        <v>288.16899999999998</v>
      </c>
      <c r="B70" s="1">
        <v>9.1920000000000002</v>
      </c>
      <c r="C70" s="1">
        <f t="shared" si="4"/>
        <v>0.96120000000000005</v>
      </c>
      <c r="D70" s="1">
        <v>3.8800000000000001E-2</v>
      </c>
      <c r="E70" s="1">
        <f t="shared" si="3"/>
        <v>0.75750000000000006</v>
      </c>
      <c r="F70" s="1">
        <v>0.24249999999999999</v>
      </c>
      <c r="G70" t="s">
        <v>12</v>
      </c>
    </row>
    <row r="71" spans="1:7" x14ac:dyDescent="0.25">
      <c r="A71" s="1">
        <v>288.17</v>
      </c>
      <c r="B71" s="1">
        <v>10.234</v>
      </c>
      <c r="C71" s="1">
        <f t="shared" si="4"/>
        <v>0.95099999999999996</v>
      </c>
      <c r="D71" s="1">
        <v>4.9000000000000002E-2</v>
      </c>
      <c r="E71" s="1">
        <f t="shared" si="3"/>
        <v>0.7228</v>
      </c>
      <c r="F71" s="1">
        <v>0.2772</v>
      </c>
      <c r="G71" t="s">
        <v>12</v>
      </c>
    </row>
    <row r="72" spans="1:7" x14ac:dyDescent="0.25">
      <c r="A72" s="1">
        <v>288.17200000000003</v>
      </c>
      <c r="B72" s="1">
        <v>12.843</v>
      </c>
      <c r="C72" s="1">
        <f t="shared" si="4"/>
        <v>0.9232999999</v>
      </c>
      <c r="D72" s="1">
        <v>7.6700000099999999E-2</v>
      </c>
      <c r="E72" s="1">
        <f t="shared" si="3"/>
        <v>0.6663</v>
      </c>
      <c r="F72" s="1">
        <v>0.3337</v>
      </c>
      <c r="G72" t="s">
        <v>12</v>
      </c>
    </row>
    <row r="73" spans="1:7" x14ac:dyDescent="0.25">
      <c r="A73" s="1">
        <v>288.16899999999998</v>
      </c>
      <c r="B73" s="1">
        <v>14.301</v>
      </c>
      <c r="C73" s="1">
        <f t="shared" si="4"/>
        <v>0.90620000000000001</v>
      </c>
      <c r="D73" s="1">
        <v>9.3799999999999994E-2</v>
      </c>
      <c r="E73" s="1">
        <f t="shared" si="3"/>
        <v>0.64200000000000002</v>
      </c>
      <c r="F73" s="1">
        <v>0.35799999999999998</v>
      </c>
      <c r="G73" t="s">
        <v>12</v>
      </c>
    </row>
    <row r="74" spans="1:7" x14ac:dyDescent="0.25">
      <c r="A74" s="1">
        <v>288.16899999999998</v>
      </c>
      <c r="B74" s="1">
        <v>15.089</v>
      </c>
      <c r="C74" s="1">
        <f t="shared" si="4"/>
        <v>0.89690000000000003</v>
      </c>
      <c r="D74" s="1">
        <v>0.1031</v>
      </c>
      <c r="E74" s="1">
        <f t="shared" si="3"/>
        <v>0.63369999999999993</v>
      </c>
      <c r="F74" s="1">
        <v>0.36630000000000001</v>
      </c>
      <c r="G74" t="s">
        <v>12</v>
      </c>
    </row>
    <row r="75" spans="1:7" x14ac:dyDescent="0.25">
      <c r="A75" s="1">
        <v>295.64999999999998</v>
      </c>
      <c r="B75" s="1">
        <v>6.0739999999999998</v>
      </c>
      <c r="C75" s="1">
        <f t="shared" si="4"/>
        <v>1</v>
      </c>
      <c r="D75" s="1">
        <v>0</v>
      </c>
      <c r="E75" s="1">
        <f t="shared" si="3"/>
        <v>1</v>
      </c>
      <c r="F75" s="1">
        <v>0</v>
      </c>
      <c r="G75" t="s">
        <v>12</v>
      </c>
    </row>
    <row r="76" spans="1:7" x14ac:dyDescent="0.25">
      <c r="A76" s="1">
        <v>295.65100000000001</v>
      </c>
      <c r="B76" s="1">
        <v>7.4596999999999998</v>
      </c>
      <c r="C76" s="1">
        <f t="shared" si="4"/>
        <v>0.98370000000000002</v>
      </c>
      <c r="D76" s="1">
        <v>1.6299999999999999E-2</v>
      </c>
      <c r="E76" s="1">
        <f t="shared" si="3"/>
        <v>0.91890000000000005</v>
      </c>
      <c r="F76" s="1">
        <v>8.1100000000000005E-2</v>
      </c>
      <c r="G76" t="s">
        <v>12</v>
      </c>
    </row>
    <row r="77" spans="1:7" x14ac:dyDescent="0.25">
      <c r="A77" s="1">
        <v>295.65199999999999</v>
      </c>
      <c r="B77" s="1">
        <v>9.1281999999999996</v>
      </c>
      <c r="C77" s="1">
        <f t="shared" si="4"/>
        <v>0.96289999999999998</v>
      </c>
      <c r="D77" s="1">
        <v>3.7100000000000001E-2</v>
      </c>
      <c r="E77" s="1">
        <f t="shared" si="3"/>
        <v>0.85160000000000002</v>
      </c>
      <c r="F77" s="1">
        <v>0.1484</v>
      </c>
      <c r="G77" t="s">
        <v>12</v>
      </c>
    </row>
    <row r="78" spans="1:7" x14ac:dyDescent="0.25">
      <c r="A78" s="1">
        <v>295.65199999999999</v>
      </c>
      <c r="B78" s="1">
        <v>10.135999999999999</v>
      </c>
      <c r="C78" s="1">
        <f t="shared" si="4"/>
        <v>0.94930000000000003</v>
      </c>
      <c r="D78" s="1">
        <v>5.0700000000000002E-2</v>
      </c>
      <c r="E78" s="1">
        <f t="shared" si="3"/>
        <v>0.82340000000000002</v>
      </c>
      <c r="F78" s="1">
        <v>0.17660000000000001</v>
      </c>
      <c r="G78" t="s">
        <v>12</v>
      </c>
    </row>
    <row r="79" spans="1:7" x14ac:dyDescent="0.25">
      <c r="A79" s="1">
        <v>295.65600000000001</v>
      </c>
      <c r="B79" s="1">
        <v>12.427</v>
      </c>
      <c r="C79" s="1">
        <f t="shared" si="4"/>
        <v>0.91529999989999999</v>
      </c>
      <c r="D79" s="1">
        <v>8.4700000100000006E-2</v>
      </c>
      <c r="E79" s="1">
        <f t="shared" si="3"/>
        <v>0.78510000000000002</v>
      </c>
      <c r="F79" s="1">
        <v>0.21490000000000001</v>
      </c>
      <c r="G79" t="s">
        <v>12</v>
      </c>
    </row>
    <row r="80" spans="1:7" x14ac:dyDescent="0.25">
      <c r="A80" s="1">
        <v>295.66000000000003</v>
      </c>
      <c r="B80" s="1">
        <v>13.743</v>
      </c>
      <c r="C80" s="1">
        <f t="shared" si="4"/>
        <v>0.88870000000000005</v>
      </c>
      <c r="D80" s="1">
        <v>0.1113</v>
      </c>
      <c r="E80" s="1">
        <f t="shared" si="3"/>
        <v>0.78300000000000003</v>
      </c>
      <c r="F80" s="1">
        <v>0.217</v>
      </c>
      <c r="G80" t="s">
        <v>12</v>
      </c>
    </row>
    <row r="81" spans="1:7" x14ac:dyDescent="0.25">
      <c r="A81" s="1">
        <v>295.65600000000001</v>
      </c>
      <c r="B81" s="1">
        <v>13.808999999999999</v>
      </c>
      <c r="C81" s="1">
        <f t="shared" si="4"/>
        <v>0.88629999999999998</v>
      </c>
      <c r="D81" s="1">
        <v>0.1137</v>
      </c>
      <c r="E81" s="1">
        <f t="shared" si="3"/>
        <v>0.78359999999999996</v>
      </c>
      <c r="F81" s="1">
        <v>0.21640000000000001</v>
      </c>
      <c r="G81" t="s">
        <v>12</v>
      </c>
    </row>
    <row r="82" spans="1:7" x14ac:dyDescent="0.25">
      <c r="A82" s="1">
        <v>295.66699999999997</v>
      </c>
      <c r="B82" s="1">
        <v>13.879</v>
      </c>
      <c r="C82" s="1">
        <f t="shared" si="4"/>
        <v>0.88429999999999997</v>
      </c>
      <c r="D82" s="1">
        <v>0.1157</v>
      </c>
      <c r="E82" s="1">
        <f t="shared" si="3"/>
        <v>0.78370000000000006</v>
      </c>
      <c r="F82" s="1">
        <v>0.21629999999999999</v>
      </c>
      <c r="G82" t="s">
        <v>12</v>
      </c>
    </row>
    <row r="83" spans="1:7" x14ac:dyDescent="0.25">
      <c r="A83" s="1">
        <v>295.66699999999997</v>
      </c>
      <c r="B83" s="1">
        <v>14.13</v>
      </c>
      <c r="C83" s="1">
        <f t="shared" si="4"/>
        <v>0.87609999999999999</v>
      </c>
      <c r="D83" s="1">
        <v>0.1239</v>
      </c>
      <c r="E83" s="1">
        <f t="shared" si="3"/>
        <v>0.78570000000000007</v>
      </c>
      <c r="F83" s="1">
        <v>0.21429999999999999</v>
      </c>
      <c r="G83" t="s">
        <v>12</v>
      </c>
    </row>
    <row r="84" spans="1:7" x14ac:dyDescent="0.25">
      <c r="A84" s="1">
        <v>295.66699999999997</v>
      </c>
      <c r="B84" s="1">
        <v>14.276999999999999</v>
      </c>
      <c r="C84" s="1">
        <f t="shared" si="4"/>
        <v>0.871</v>
      </c>
      <c r="D84" s="1">
        <v>0.129</v>
      </c>
      <c r="E84" s="1">
        <f t="shared" si="3"/>
        <v>0.78820000000000001</v>
      </c>
      <c r="F84" s="1">
        <v>0.21179999999999999</v>
      </c>
      <c r="G84" t="s">
        <v>12</v>
      </c>
    </row>
    <row r="85" spans="1:7" x14ac:dyDescent="0.25">
      <c r="A85" s="1">
        <v>295.66399999999999</v>
      </c>
      <c r="B85" s="1">
        <v>14.414</v>
      </c>
      <c r="C85" s="1">
        <f t="shared" si="4"/>
        <v>0.86539999999999995</v>
      </c>
      <c r="D85" s="1">
        <v>0.1346</v>
      </c>
      <c r="E85" s="1">
        <f>1-F85</f>
        <v>0.79200000000000004</v>
      </c>
      <c r="F85" s="1">
        <v>0.20799999999999999</v>
      </c>
      <c r="G85" t="s">
        <v>12</v>
      </c>
    </row>
    <row r="86" spans="1:7" x14ac:dyDescent="0.25">
      <c r="A86" s="1">
        <v>295.66699999999997</v>
      </c>
      <c r="B86" s="1">
        <v>14.593999999999999</v>
      </c>
      <c r="C86" s="1">
        <f t="shared" si="4"/>
        <v>0.85619999999999996</v>
      </c>
      <c r="D86" s="1">
        <v>0.14380000000000001</v>
      </c>
      <c r="E86" s="1">
        <f t="shared" ref="E86:E96" si="5">1-F86</f>
        <v>0.79869999999999997</v>
      </c>
      <c r="F86" s="1">
        <v>0.20130000000000001</v>
      </c>
      <c r="G86" t="s">
        <v>12</v>
      </c>
    </row>
    <row r="87" spans="1:7" x14ac:dyDescent="0.25">
      <c r="A87" s="1">
        <v>295.666</v>
      </c>
      <c r="B87" s="1">
        <v>14.645</v>
      </c>
      <c r="C87" s="1">
        <f t="shared" si="4"/>
        <v>0.8246</v>
      </c>
      <c r="D87" s="1">
        <v>0.1754</v>
      </c>
      <c r="E87" s="1">
        <f t="shared" si="5"/>
        <v>0.80069999999999997</v>
      </c>
      <c r="F87" s="1">
        <v>0.1993</v>
      </c>
      <c r="G87" t="s">
        <v>12</v>
      </c>
    </row>
    <row r="88" spans="1:7" x14ac:dyDescent="0.25">
      <c r="A88" s="1">
        <v>303.14400000000001</v>
      </c>
      <c r="B88" s="1">
        <v>7.2129000000000003</v>
      </c>
      <c r="C88" s="1">
        <f t="shared" si="4"/>
        <v>1</v>
      </c>
      <c r="D88" s="1">
        <v>0</v>
      </c>
      <c r="E88" s="1">
        <f t="shared" si="5"/>
        <v>1</v>
      </c>
      <c r="F88" s="1">
        <v>0</v>
      </c>
      <c r="G88" t="s">
        <v>12</v>
      </c>
    </row>
    <row r="89" spans="1:7" x14ac:dyDescent="0.25">
      <c r="A89" s="1">
        <v>303.142</v>
      </c>
      <c r="B89" s="1">
        <v>7.2801</v>
      </c>
      <c r="C89" s="1">
        <f t="shared" si="4"/>
        <v>0.99890000000000001</v>
      </c>
      <c r="D89" s="1">
        <v>1.1000000000000001E-3</v>
      </c>
      <c r="E89" s="1">
        <f t="shared" si="5"/>
        <v>0.99750000000000005</v>
      </c>
      <c r="F89" s="1">
        <v>2.5000000000000001E-3</v>
      </c>
      <c r="G89" t="s">
        <v>12</v>
      </c>
    </row>
    <row r="90" spans="1:7" x14ac:dyDescent="0.25">
      <c r="A90" s="1">
        <v>303.14400000000001</v>
      </c>
      <c r="B90" s="1">
        <v>7.6536999999999997</v>
      </c>
      <c r="C90" s="1">
        <f t="shared" si="4"/>
        <v>0.9919</v>
      </c>
      <c r="D90" s="1">
        <v>8.0999999999999996E-3</v>
      </c>
      <c r="E90" s="1">
        <f t="shared" si="5"/>
        <v>0.98509999999999998</v>
      </c>
      <c r="F90" s="1">
        <v>1.49E-2</v>
      </c>
      <c r="G90" t="s">
        <v>12</v>
      </c>
    </row>
    <row r="91" spans="1:7" x14ac:dyDescent="0.25">
      <c r="A91" s="1">
        <v>303.14600000000002</v>
      </c>
      <c r="B91" s="1">
        <v>7.7697000000000003</v>
      </c>
      <c r="C91" s="1">
        <f t="shared" si="4"/>
        <v>0.98960000000000004</v>
      </c>
      <c r="D91" s="1">
        <v>1.04E-2</v>
      </c>
      <c r="E91" s="1">
        <f t="shared" si="5"/>
        <v>0.98170000000000002</v>
      </c>
      <c r="F91" s="1">
        <v>1.83E-2</v>
      </c>
      <c r="G91" t="s">
        <v>12</v>
      </c>
    </row>
    <row r="92" spans="1:7" x14ac:dyDescent="0.25">
      <c r="A92" s="1">
        <v>303.14499999999998</v>
      </c>
      <c r="B92" s="1">
        <v>7.7824</v>
      </c>
      <c r="C92" s="1">
        <f t="shared" si="4"/>
        <v>0.98850000000000005</v>
      </c>
      <c r="D92" s="1">
        <v>1.15E-2</v>
      </c>
      <c r="E92" s="1">
        <f t="shared" si="5"/>
        <v>0.98089999999999999</v>
      </c>
      <c r="F92" s="1">
        <v>1.9099999999999999E-2</v>
      </c>
      <c r="G92" t="s">
        <v>12</v>
      </c>
    </row>
    <row r="93" spans="1:7" x14ac:dyDescent="0.25">
      <c r="A93" s="1">
        <v>303.14100000000002</v>
      </c>
      <c r="B93" s="1">
        <v>7.8040000000000003</v>
      </c>
      <c r="C93" s="1">
        <f t="shared" si="4"/>
        <v>0.98819999999999997</v>
      </c>
      <c r="D93" s="1">
        <v>1.18E-2</v>
      </c>
      <c r="E93" s="1">
        <f t="shared" si="5"/>
        <v>0.98050000000000004</v>
      </c>
      <c r="F93" s="1">
        <v>1.95E-2</v>
      </c>
      <c r="G93" t="s">
        <v>12</v>
      </c>
    </row>
    <row r="94" spans="1:7" x14ac:dyDescent="0.25">
      <c r="A94" s="1">
        <v>303.14400000000001</v>
      </c>
      <c r="B94" s="1">
        <v>7.8396999999999997</v>
      </c>
      <c r="C94" s="1">
        <f t="shared" si="4"/>
        <v>0.98709999999999998</v>
      </c>
      <c r="D94" s="1">
        <v>1.29E-2</v>
      </c>
      <c r="E94" s="1">
        <f t="shared" si="5"/>
        <v>0.9798</v>
      </c>
      <c r="F94" s="1">
        <v>2.0199999999999999E-2</v>
      </c>
      <c r="G94" t="s">
        <v>12</v>
      </c>
    </row>
    <row r="95" spans="1:7" x14ac:dyDescent="0.25">
      <c r="A95" s="1">
        <v>303.149</v>
      </c>
      <c r="B95" s="1">
        <v>7.8632999999999997</v>
      </c>
      <c r="C95" s="1">
        <f t="shared" si="4"/>
        <v>0.98699999999999999</v>
      </c>
      <c r="D95" s="1">
        <v>1.2999999999999999E-2</v>
      </c>
      <c r="E95" s="1">
        <f t="shared" si="5"/>
        <v>0.97919999999999996</v>
      </c>
      <c r="F95" s="1">
        <v>2.0799999999999999E-2</v>
      </c>
      <c r="G95" t="s">
        <v>12</v>
      </c>
    </row>
    <row r="96" spans="1:7" x14ac:dyDescent="0.25">
      <c r="A96" s="3">
        <v>303.15499999999997</v>
      </c>
      <c r="B96" s="3">
        <v>7.9306999999999999</v>
      </c>
      <c r="C96" s="3">
        <f t="shared" si="4"/>
        <v>0.98270000000000002</v>
      </c>
      <c r="D96" s="3">
        <v>1.7299999999999999E-2</v>
      </c>
      <c r="E96" s="3">
        <f t="shared" si="5"/>
        <v>0.97729999999999995</v>
      </c>
      <c r="F96" s="3">
        <v>2.2700000000000001E-2</v>
      </c>
      <c r="G9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Kaminishi et al. 1966</vt:lpstr>
      <vt:lpstr>Spano et al. 1968</vt:lpstr>
      <vt:lpstr>Yorizane et al. 1970</vt:lpstr>
      <vt:lpstr>Tsang et al. 1981</vt:lpstr>
      <vt:lpstr>Bezanehtak et al. 2002</vt:lpstr>
      <vt:lpstr>Fandino et al.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2026-02-09T15:17:17Z</dcterms:modified>
</cp:coreProperties>
</file>