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CO2_H2\"/>
    </mc:Choice>
  </mc:AlternateContent>
  <xr:revisionPtr revIDLastSave="0" documentId="13_ncr:1_{3FC2C9F3-A5C1-42C4-871E-91989B9EB159}" xr6:coauthVersionLast="47" xr6:coauthVersionMax="47" xr10:uidLastSave="{00000000-0000-0000-0000-000000000000}"/>
  <bookViews>
    <workbookView xWindow="-28920" yWindow="-60" windowWidth="29040" windowHeight="15720" tabRatio="777" xr2:uid="{00000000-000D-0000-FFFF-FFFF00000000}"/>
  </bookViews>
  <sheets>
    <sheet name="Verschoyle 1931" sheetId="1" r:id="rId1"/>
    <sheet name="Akers et al. 1957" sheetId="7" r:id="rId2"/>
    <sheet name="Maimoni 1961" sheetId="6" r:id="rId3"/>
    <sheet name="Omar et al. 1962" sheetId="5" r:id="rId4"/>
    <sheet name="Yorizane et al. 1971" sheetId="3" r:id="rId5"/>
    <sheet name="Streett et al. 1978" sheetId="2" r:id="rId6"/>
    <sheet name="Kremer et al. 1983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C4" i="4"/>
  <c r="E3" i="4"/>
  <c r="C3" i="4"/>
  <c r="E2" i="4"/>
  <c r="C2" i="4"/>
  <c r="E78" i="2"/>
  <c r="C78" i="2"/>
  <c r="E77" i="2"/>
  <c r="C77" i="2"/>
  <c r="E76" i="2"/>
  <c r="C76" i="2"/>
  <c r="E75" i="2"/>
  <c r="C75" i="2"/>
  <c r="E74" i="2"/>
  <c r="C74" i="2"/>
  <c r="E73" i="2"/>
  <c r="C73" i="2"/>
  <c r="E72" i="2"/>
  <c r="C72" i="2"/>
  <c r="E71" i="2"/>
  <c r="C71" i="2"/>
  <c r="E70" i="2"/>
  <c r="C70" i="2"/>
  <c r="E69" i="2"/>
  <c r="C69" i="2"/>
  <c r="E68" i="2"/>
  <c r="C68" i="2"/>
  <c r="E67" i="2"/>
  <c r="C67" i="2"/>
  <c r="E66" i="2"/>
  <c r="C66" i="2"/>
  <c r="E65" i="2"/>
  <c r="C65" i="2"/>
  <c r="E64" i="2"/>
  <c r="C64" i="2"/>
  <c r="E63" i="2"/>
  <c r="C63" i="2"/>
  <c r="E62" i="2"/>
  <c r="C62" i="2"/>
  <c r="E61" i="2"/>
  <c r="C61" i="2"/>
  <c r="E60" i="2"/>
  <c r="C60" i="2"/>
  <c r="E59" i="2"/>
  <c r="C59" i="2"/>
  <c r="E58" i="2"/>
  <c r="C58" i="2"/>
  <c r="E57" i="2"/>
  <c r="C57" i="2"/>
  <c r="E56" i="2"/>
  <c r="C56" i="2"/>
  <c r="E55" i="2"/>
  <c r="C55" i="2"/>
  <c r="E54" i="2"/>
  <c r="C54" i="2"/>
  <c r="E53" i="2"/>
  <c r="C53" i="2"/>
  <c r="E52" i="2"/>
  <c r="C52" i="2"/>
  <c r="E51" i="2"/>
  <c r="C51" i="2"/>
  <c r="E50" i="2"/>
  <c r="C50" i="2"/>
  <c r="E49" i="2"/>
  <c r="C49" i="2"/>
  <c r="E48" i="2"/>
  <c r="C48" i="2"/>
  <c r="E47" i="2"/>
  <c r="C47" i="2"/>
  <c r="C46" i="2"/>
  <c r="E45" i="2"/>
  <c r="C45" i="2"/>
  <c r="E44" i="2"/>
  <c r="C44" i="2"/>
  <c r="E43" i="2"/>
  <c r="C43" i="2"/>
  <c r="E42" i="2"/>
  <c r="C42" i="2"/>
  <c r="E41" i="2"/>
  <c r="C40" i="2"/>
  <c r="E39" i="2"/>
  <c r="C39" i="2"/>
  <c r="E38" i="2"/>
  <c r="C38" i="2"/>
  <c r="E37" i="2"/>
  <c r="C37" i="2"/>
  <c r="E36" i="2"/>
  <c r="C36" i="2"/>
  <c r="E35" i="2"/>
  <c r="C35" i="2"/>
  <c r="E34" i="2"/>
  <c r="C34" i="2"/>
  <c r="E33" i="2"/>
  <c r="C33" i="2"/>
  <c r="E32" i="2"/>
  <c r="C32" i="2"/>
  <c r="E31" i="2"/>
  <c r="C31" i="2"/>
  <c r="E30" i="2"/>
  <c r="C30" i="2"/>
  <c r="E29" i="2"/>
  <c r="C29" i="2"/>
  <c r="E28" i="2"/>
  <c r="C28" i="2"/>
  <c r="E27" i="2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C2" i="2"/>
  <c r="E18" i="3"/>
  <c r="C18" i="3"/>
  <c r="A18" i="3"/>
  <c r="E17" i="3"/>
  <c r="C17" i="3"/>
  <c r="A17" i="3"/>
  <c r="E16" i="3"/>
  <c r="C16" i="3"/>
  <c r="A16" i="3"/>
  <c r="E15" i="3"/>
  <c r="C15" i="3"/>
  <c r="A15" i="3"/>
  <c r="E14" i="3"/>
  <c r="C14" i="3"/>
  <c r="A14" i="3"/>
  <c r="E13" i="3"/>
  <c r="C13" i="3"/>
  <c r="A13" i="3"/>
  <c r="E12" i="3"/>
  <c r="C12" i="3"/>
  <c r="A12" i="3"/>
  <c r="E11" i="3"/>
  <c r="C11" i="3"/>
  <c r="A11" i="3"/>
  <c r="E10" i="3"/>
  <c r="C10" i="3"/>
  <c r="A10" i="3"/>
  <c r="E9" i="3"/>
  <c r="C9" i="3"/>
  <c r="A9" i="3"/>
  <c r="E8" i="3"/>
  <c r="C8" i="3"/>
  <c r="A8" i="3"/>
  <c r="E7" i="3"/>
  <c r="C7" i="3"/>
  <c r="A7" i="3"/>
  <c r="E6" i="3"/>
  <c r="C6" i="3"/>
  <c r="A6" i="3"/>
  <c r="E5" i="3"/>
  <c r="C5" i="3"/>
  <c r="A5" i="3"/>
  <c r="E4" i="3"/>
  <c r="C4" i="3"/>
  <c r="A4" i="3"/>
  <c r="E3" i="3"/>
  <c r="C3" i="3"/>
  <c r="A3" i="3"/>
  <c r="E2" i="3"/>
  <c r="C2" i="3"/>
  <c r="A2" i="3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E18" i="6"/>
  <c r="C18" i="6"/>
  <c r="E17" i="6"/>
  <c r="C17" i="6"/>
  <c r="E16" i="6"/>
  <c r="C16" i="6"/>
  <c r="E15" i="6"/>
  <c r="C15" i="6"/>
  <c r="E14" i="6"/>
  <c r="C14" i="6"/>
  <c r="E13" i="6"/>
  <c r="C13" i="6"/>
  <c r="E12" i="6"/>
  <c r="C12" i="6"/>
  <c r="E11" i="6"/>
  <c r="E10" i="6"/>
  <c r="C10" i="6"/>
  <c r="E9" i="6"/>
  <c r="C9" i="6"/>
  <c r="E8" i="6"/>
  <c r="E7" i="6"/>
  <c r="E6" i="6"/>
  <c r="C6" i="6"/>
  <c r="E5" i="6"/>
  <c r="C5" i="6"/>
  <c r="E4" i="6"/>
  <c r="C4" i="6"/>
  <c r="E3" i="6"/>
  <c r="E2" i="6"/>
  <c r="C2" i="6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C2" i="7"/>
</calcChain>
</file>

<file path=xl/sharedStrings.xml><?xml version="1.0" encoding="utf-8"?>
<sst xmlns="http://schemas.openxmlformats.org/spreadsheetml/2006/main" count="263" uniqueCount="79">
  <si>
    <t>T/K</t>
  </si>
  <si>
    <t>P/Mpa</t>
  </si>
  <si>
    <t>x1</t>
  </si>
  <si>
    <t>x2</t>
  </si>
  <si>
    <t>y1</t>
  </si>
  <si>
    <t>y2</t>
  </si>
  <si>
    <t>Source</t>
  </si>
  <si>
    <t>Kremer et al. 1983</t>
  </si>
  <si>
    <t>Streett et al. 1978</t>
  </si>
  <si>
    <t>Yorizane et al. 1971</t>
  </si>
  <si>
    <t>Omar et al. 1962</t>
  </si>
  <si>
    <t>Maimoni 1961</t>
  </si>
  <si>
    <t>Akers et al. 1957</t>
  </si>
  <si>
    <t>Verschoyle 1931</t>
  </si>
  <si>
    <t>Verschoyle 1932</t>
  </si>
  <si>
    <t>Verschoyle 1933</t>
  </si>
  <si>
    <t>Verschoyle 1934</t>
  </si>
  <si>
    <t>Verschoyle 1935</t>
  </si>
  <si>
    <t>Verschoyle 1936</t>
  </si>
  <si>
    <t>Verschoyle 1937</t>
  </si>
  <si>
    <t>Verschoyle 1938</t>
  </si>
  <si>
    <t>Verschoyle 1939</t>
  </si>
  <si>
    <t>Verschoyle 1940</t>
  </si>
  <si>
    <t>Verschoyle 1941</t>
  </si>
  <si>
    <t>Verschoyle 1942</t>
  </si>
  <si>
    <t>Verschoyle 1943</t>
  </si>
  <si>
    <t>Verschoyle 1944</t>
  </si>
  <si>
    <t>Verschoyle 1945</t>
  </si>
  <si>
    <t>Verschoyle 1946</t>
  </si>
  <si>
    <t>Verschoyle 1947</t>
  </si>
  <si>
    <t>Verschoyle 1948</t>
  </si>
  <si>
    <t>Verschoyle 1949</t>
  </si>
  <si>
    <t>Verschoyle 1950</t>
  </si>
  <si>
    <t>Verschoyle 1951</t>
  </si>
  <si>
    <t>Verschoyle 1952</t>
  </si>
  <si>
    <t>Verschoyle 1953</t>
  </si>
  <si>
    <t>Verschoyle 1954</t>
  </si>
  <si>
    <t>Verschoyle 1955</t>
  </si>
  <si>
    <t>Verschoyle 1956</t>
  </si>
  <si>
    <t>Verschoyle 1957</t>
  </si>
  <si>
    <t>Verschoyle 1958</t>
  </si>
  <si>
    <t>Verschoyle 1959</t>
  </si>
  <si>
    <t>Verschoyle 1960</t>
  </si>
  <si>
    <t>Verschoyle 1961</t>
  </si>
  <si>
    <t>Verschoyle 1962</t>
  </si>
  <si>
    <t>Verschoyle 1963</t>
  </si>
  <si>
    <t>Verschoyle 1964</t>
  </si>
  <si>
    <t>Verschoyle 1965</t>
  </si>
  <si>
    <t>Verschoyle 1966</t>
  </si>
  <si>
    <t>Verschoyle 1967</t>
  </si>
  <si>
    <t>Verschoyle 1968</t>
  </si>
  <si>
    <t>Verschoyle 1969</t>
  </si>
  <si>
    <t>Verschoyle 1970</t>
  </si>
  <si>
    <t>Verschoyle 1971</t>
  </si>
  <si>
    <t>Verschoyle 1972</t>
  </si>
  <si>
    <t>Verschoyle 1973</t>
  </si>
  <si>
    <t>Verschoyle 1974</t>
  </si>
  <si>
    <t>Verschoyle 1975</t>
  </si>
  <si>
    <t>Verschoyle 1976</t>
  </si>
  <si>
    <t>Verschoyle 1977</t>
  </si>
  <si>
    <t>Verschoyle 1978</t>
  </si>
  <si>
    <t>Verschoyle 1979</t>
  </si>
  <si>
    <t>Verschoyle 1980</t>
  </si>
  <si>
    <t>Verschoyle 1981</t>
  </si>
  <si>
    <t>Verschoyle 1982</t>
  </si>
  <si>
    <t>Verschoyle 1983</t>
  </si>
  <si>
    <t>Verschoyle 1984</t>
  </si>
  <si>
    <t>Verschoyle 1985</t>
  </si>
  <si>
    <t>Verschoyle 1986</t>
  </si>
  <si>
    <t>Verschoyle 1987</t>
  </si>
  <si>
    <t>Verschoyle 1988</t>
  </si>
  <si>
    <t>Verschoyle 1989</t>
  </si>
  <si>
    <t>Verschoyle 1990</t>
  </si>
  <si>
    <t>Verschoyle 1991</t>
  </si>
  <si>
    <t>Verschoyle 1992</t>
  </si>
  <si>
    <t>Verschoyle 1993</t>
  </si>
  <si>
    <t>Verschoyle 1994</t>
  </si>
  <si>
    <t>Verschoyle 1995</t>
  </si>
  <si>
    <t>Verschoyle 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</si>
</sst>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topLeftCell="A37" workbookViewId="0">
      <selection activeCell="H49" sqref="H49"/>
    </sheetView>
  </sheetViews>
  <sheetFormatPr defaultRowHeight="15" x14ac:dyDescent="0.25"/>
  <cols>
    <col min="7" max="7" width="26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88.14</v>
      </c>
      <c r="B2" s="3">
        <v>13.955492249999999</v>
      </c>
      <c r="C2" s="4">
        <v>0.53</v>
      </c>
      <c r="D2" s="4">
        <v>0.47</v>
      </c>
      <c r="E2" s="4">
        <v>0.49199999999999999</v>
      </c>
      <c r="F2" s="4">
        <v>0.50800000000000001</v>
      </c>
      <c r="G2" t="s">
        <v>13</v>
      </c>
    </row>
    <row r="3" spans="1:7" x14ac:dyDescent="0.25">
      <c r="A3" s="2">
        <v>88.129999999999967</v>
      </c>
      <c r="B3" s="3">
        <v>13.456973250000001</v>
      </c>
      <c r="C3" s="4">
        <v>0.58000000000000007</v>
      </c>
      <c r="D3" s="4">
        <v>0.42</v>
      </c>
      <c r="E3" s="4">
        <v>0.28800000000000003</v>
      </c>
      <c r="F3" s="4">
        <v>0.71199999999999997</v>
      </c>
      <c r="G3" t="s">
        <v>14</v>
      </c>
    </row>
    <row r="4" spans="1:7" x14ac:dyDescent="0.25">
      <c r="A4" s="2">
        <v>88.149999999999977</v>
      </c>
      <c r="B4" s="3">
        <v>12.977706000000001</v>
      </c>
      <c r="C4" s="4">
        <v>0.61299999999999999</v>
      </c>
      <c r="D4" s="4">
        <v>0.38700000000000001</v>
      </c>
      <c r="E4" s="4">
        <v>0.255</v>
      </c>
      <c r="F4" s="4">
        <v>0.745</v>
      </c>
      <c r="G4" t="s">
        <v>15</v>
      </c>
    </row>
    <row r="5" spans="1:7" x14ac:dyDescent="0.25">
      <c r="A5" s="2">
        <v>88.129999999999967</v>
      </c>
      <c r="B5" s="3">
        <v>11.990800500000001</v>
      </c>
      <c r="C5" s="4">
        <v>0.55000000000000004</v>
      </c>
      <c r="D5" s="4">
        <v>0.45</v>
      </c>
      <c r="E5" s="4">
        <v>0.21699999999999997</v>
      </c>
      <c r="F5" s="4">
        <v>0.78300000000000003</v>
      </c>
      <c r="G5" t="s">
        <v>16</v>
      </c>
    </row>
    <row r="6" spans="1:7" x14ac:dyDescent="0.25">
      <c r="A6" s="2">
        <v>88.149999999999977</v>
      </c>
      <c r="B6" s="3">
        <v>10.537800000000001</v>
      </c>
      <c r="C6" s="4">
        <v>0.76200000000000001</v>
      </c>
      <c r="D6" s="4">
        <v>0.23799999999999999</v>
      </c>
      <c r="E6" s="4">
        <v>0.17900000000000005</v>
      </c>
      <c r="F6" s="4">
        <v>0.82099999999999995</v>
      </c>
      <c r="G6" t="s">
        <v>17</v>
      </c>
    </row>
    <row r="7" spans="1:7" x14ac:dyDescent="0.25">
      <c r="A7" s="2">
        <v>88.139999999999986</v>
      </c>
      <c r="B7" s="3">
        <v>8.1059999999999999</v>
      </c>
      <c r="C7" s="4">
        <v>0.79300000000000004</v>
      </c>
      <c r="D7" s="4">
        <v>0.20699999999999999</v>
      </c>
      <c r="E7" s="4">
        <v>0.13400000000000001</v>
      </c>
      <c r="F7" s="4">
        <v>0.86599999999999999</v>
      </c>
      <c r="G7" t="s">
        <v>18</v>
      </c>
    </row>
    <row r="8" spans="1:7" x14ac:dyDescent="0.25">
      <c r="A8" s="2">
        <v>88.139999999999986</v>
      </c>
      <c r="B8" s="3">
        <v>5.6833192500000003</v>
      </c>
      <c r="C8" s="4"/>
      <c r="D8" s="4"/>
      <c r="E8" s="4">
        <v>0.13800000000000001</v>
      </c>
      <c r="F8" s="4">
        <v>0.86199999999999999</v>
      </c>
      <c r="G8" t="s">
        <v>19</v>
      </c>
    </row>
    <row r="9" spans="1:7" x14ac:dyDescent="0.25">
      <c r="A9" s="2">
        <v>88.129999999999967</v>
      </c>
      <c r="B9" s="3">
        <v>4.1583779999999999</v>
      </c>
      <c r="C9" s="4">
        <v>0.90800000000000003</v>
      </c>
      <c r="D9" s="4">
        <v>9.1999999999999998E-2</v>
      </c>
      <c r="E9" s="4">
        <v>0.14700000000000002</v>
      </c>
      <c r="F9" s="4">
        <v>0.85299999999999998</v>
      </c>
      <c r="G9" t="s">
        <v>20</v>
      </c>
    </row>
    <row r="10" spans="1:7" x14ac:dyDescent="0.25">
      <c r="A10" s="2">
        <v>88.139999999999986</v>
      </c>
      <c r="B10" s="3">
        <v>2.7114569999999998</v>
      </c>
      <c r="C10" s="4">
        <v>0.94699999999999995</v>
      </c>
      <c r="D10" s="4">
        <v>5.2999999999999999E-2</v>
      </c>
      <c r="E10" s="4">
        <v>0.16700000000000004</v>
      </c>
      <c r="F10" s="4">
        <v>0.83299999999999996</v>
      </c>
      <c r="G10" t="s">
        <v>21</v>
      </c>
    </row>
    <row r="11" spans="1:7" x14ac:dyDescent="0.25">
      <c r="A11" s="2">
        <v>88.159999999999968</v>
      </c>
      <c r="B11" s="3">
        <v>1.7235382500000003</v>
      </c>
      <c r="C11" s="4">
        <v>0.97599999999999998</v>
      </c>
      <c r="D11" s="4">
        <v>2.4E-2</v>
      </c>
      <c r="E11" s="4">
        <v>0.22999999999999998</v>
      </c>
      <c r="F11" s="4">
        <v>0.77</v>
      </c>
      <c r="G11" t="s">
        <v>22</v>
      </c>
    </row>
    <row r="12" spans="1:7" x14ac:dyDescent="0.25">
      <c r="A12" s="2">
        <v>88.149999999999977</v>
      </c>
      <c r="B12" s="3">
        <v>0.24216674999999999</v>
      </c>
      <c r="C12" s="4">
        <v>1</v>
      </c>
      <c r="D12" s="4">
        <v>0</v>
      </c>
      <c r="E12" s="4">
        <v>1</v>
      </c>
      <c r="F12" s="4">
        <v>0</v>
      </c>
      <c r="G12" t="s">
        <v>23</v>
      </c>
    </row>
    <row r="13" spans="1:7" x14ac:dyDescent="0.25">
      <c r="A13" s="2">
        <v>78.149999999999977</v>
      </c>
      <c r="B13" s="3">
        <v>19.34192925</v>
      </c>
      <c r="C13" s="4">
        <v>0.45099999999999996</v>
      </c>
      <c r="D13" s="4">
        <v>0.54900000000000004</v>
      </c>
      <c r="E13" s="4">
        <v>0.38300000000000001</v>
      </c>
      <c r="F13" s="4">
        <v>0.61699999999999999</v>
      </c>
      <c r="G13" t="s">
        <v>24</v>
      </c>
    </row>
    <row r="14" spans="1:7" x14ac:dyDescent="0.25">
      <c r="A14" s="2">
        <v>78.129999999999967</v>
      </c>
      <c r="B14" s="3">
        <v>18.753231</v>
      </c>
      <c r="C14" s="4">
        <v>0.52100000000000002</v>
      </c>
      <c r="D14" s="4">
        <v>0.47899999999999998</v>
      </c>
      <c r="E14" s="4">
        <v>0.30000000000000004</v>
      </c>
      <c r="F14" s="4">
        <v>0.7</v>
      </c>
      <c r="G14" t="s">
        <v>25</v>
      </c>
    </row>
    <row r="15" spans="1:7" x14ac:dyDescent="0.25">
      <c r="A15" s="2">
        <v>78.119999999999976</v>
      </c>
      <c r="B15" s="3">
        <v>17.890245974999999</v>
      </c>
      <c r="C15" s="4">
        <v>0.57000000000000006</v>
      </c>
      <c r="D15" s="4">
        <v>0.43</v>
      </c>
      <c r="E15" s="4">
        <v>0.24099999999999999</v>
      </c>
      <c r="F15" s="4">
        <v>0.75900000000000001</v>
      </c>
      <c r="G15" t="s">
        <v>26</v>
      </c>
    </row>
    <row r="16" spans="1:7" x14ac:dyDescent="0.25">
      <c r="A16" s="2">
        <v>78.129999999999967</v>
      </c>
      <c r="B16" s="3">
        <v>16.402491000000001</v>
      </c>
      <c r="C16" s="4">
        <v>0.621</v>
      </c>
      <c r="D16" s="4">
        <v>0.379</v>
      </c>
      <c r="E16" s="4">
        <v>0.18700000000000006</v>
      </c>
      <c r="F16" s="4">
        <v>0.81299999999999994</v>
      </c>
      <c r="G16" t="s">
        <v>27</v>
      </c>
    </row>
    <row r="17" spans="1:7" x14ac:dyDescent="0.25">
      <c r="A17" s="2">
        <v>78.139999999999986</v>
      </c>
      <c r="B17" s="3">
        <v>14.93226525</v>
      </c>
      <c r="C17" s="4">
        <v>0.66599999999999993</v>
      </c>
      <c r="D17" s="4">
        <v>0.33400000000000002</v>
      </c>
      <c r="E17" s="4">
        <v>0.16000000000000003</v>
      </c>
      <c r="F17" s="4">
        <v>0.84</v>
      </c>
      <c r="G17" t="s">
        <v>28</v>
      </c>
    </row>
    <row r="18" spans="1:7" x14ac:dyDescent="0.25">
      <c r="A18" s="2">
        <v>78.129999999999967</v>
      </c>
      <c r="B18" s="3">
        <v>11.51052</v>
      </c>
      <c r="C18" s="4">
        <v>0.752</v>
      </c>
      <c r="D18" s="4">
        <v>0.248</v>
      </c>
      <c r="E18" s="4">
        <v>0.10499999999999998</v>
      </c>
      <c r="F18" s="4">
        <v>0.89500000000000002</v>
      </c>
      <c r="G18" t="s">
        <v>29</v>
      </c>
    </row>
    <row r="19" spans="1:7" x14ac:dyDescent="0.25">
      <c r="A19" s="2">
        <v>78.129999999999967</v>
      </c>
      <c r="B19" s="3">
        <v>8.0958675000000007</v>
      </c>
      <c r="C19" s="4">
        <v>0.82499999999999996</v>
      </c>
      <c r="D19" s="4">
        <v>0.17499999999999999</v>
      </c>
      <c r="E19" s="4">
        <v>7.7999999999999958E-2</v>
      </c>
      <c r="F19" s="4">
        <v>0.92200000000000004</v>
      </c>
      <c r="G19" t="s">
        <v>30</v>
      </c>
    </row>
    <row r="20" spans="1:7" x14ac:dyDescent="0.25">
      <c r="A20" s="2">
        <v>78.129999999999967</v>
      </c>
      <c r="B20" s="3">
        <v>5.6296169999999996</v>
      </c>
      <c r="C20" s="4">
        <v>0.88100000000000001</v>
      </c>
      <c r="D20" s="4">
        <v>0.11899999999999999</v>
      </c>
      <c r="E20" s="4">
        <v>6.2999999999999945E-2</v>
      </c>
      <c r="F20" s="4">
        <v>0.93700000000000006</v>
      </c>
      <c r="G20" t="s">
        <v>31</v>
      </c>
    </row>
    <row r="21" spans="1:7" x14ac:dyDescent="0.25">
      <c r="A21" s="2">
        <v>78.139999999999986</v>
      </c>
      <c r="B21" s="3">
        <v>3.7074817500000004</v>
      </c>
      <c r="C21" s="4">
        <v>0.92700000000000005</v>
      </c>
      <c r="D21" s="4">
        <v>7.2999999999999995E-2</v>
      </c>
      <c r="E21" s="4">
        <v>6.9999999999999951E-2</v>
      </c>
      <c r="F21" s="4">
        <v>0.93</v>
      </c>
      <c r="G21" t="s">
        <v>32</v>
      </c>
    </row>
    <row r="22" spans="1:7" x14ac:dyDescent="0.25">
      <c r="A22" s="2">
        <v>78.129999999999967</v>
      </c>
      <c r="B22" s="3">
        <v>1.7417767500000003</v>
      </c>
      <c r="C22" s="4">
        <v>0.97699999999999998</v>
      </c>
      <c r="D22" s="4">
        <v>2.3E-2</v>
      </c>
      <c r="E22" s="4">
        <v>9.4999999999999973E-2</v>
      </c>
      <c r="F22" s="4">
        <v>0.90500000000000003</v>
      </c>
      <c r="G22" t="s">
        <v>33</v>
      </c>
    </row>
    <row r="23" spans="1:7" x14ac:dyDescent="0.25">
      <c r="A23" s="2">
        <v>78.149999999999977</v>
      </c>
      <c r="B23" s="3">
        <v>0.11145750000000001</v>
      </c>
      <c r="C23" s="4">
        <v>1</v>
      </c>
      <c r="D23" s="4">
        <v>0</v>
      </c>
      <c r="E23" s="4">
        <v>1</v>
      </c>
      <c r="F23" s="4">
        <v>0</v>
      </c>
      <c r="G23" t="s">
        <v>34</v>
      </c>
    </row>
    <row r="24" spans="1:7" x14ac:dyDescent="0.25">
      <c r="A24" s="2">
        <v>68.119999999999976</v>
      </c>
      <c r="B24" s="3">
        <v>22.77887325</v>
      </c>
      <c r="C24" s="4">
        <v>0.68900000000000006</v>
      </c>
      <c r="D24" s="4">
        <v>0.311</v>
      </c>
      <c r="E24" s="4">
        <v>0.14600000000000002</v>
      </c>
      <c r="F24" s="4">
        <v>0.85399999999999998</v>
      </c>
      <c r="G24" t="s">
        <v>35</v>
      </c>
    </row>
    <row r="25" spans="1:7" x14ac:dyDescent="0.25">
      <c r="A25" s="2">
        <v>68.139999999999986</v>
      </c>
      <c r="B25" s="3">
        <v>22.579263000000001</v>
      </c>
      <c r="C25" s="4">
        <v>0.69300000000000006</v>
      </c>
      <c r="D25" s="4">
        <v>0.307</v>
      </c>
      <c r="E25" s="4">
        <v>0.11899999999999999</v>
      </c>
      <c r="F25" s="4">
        <v>0.88100000000000001</v>
      </c>
      <c r="G25" t="s">
        <v>36</v>
      </c>
    </row>
    <row r="26" spans="1:7" x14ac:dyDescent="0.25">
      <c r="A26" s="2">
        <v>68.119999999999976</v>
      </c>
      <c r="B26" s="3">
        <v>21.306621</v>
      </c>
      <c r="C26" s="4">
        <v>0.70399999999999996</v>
      </c>
      <c r="D26" s="4">
        <v>0.29599999999999999</v>
      </c>
      <c r="E26" s="4">
        <v>0.11699999999999999</v>
      </c>
      <c r="F26" s="4">
        <v>0.88300000000000001</v>
      </c>
      <c r="G26" t="s">
        <v>37</v>
      </c>
    </row>
    <row r="27" spans="1:7" x14ac:dyDescent="0.25">
      <c r="A27" s="2">
        <v>68.109999999999985</v>
      </c>
      <c r="B27" s="3">
        <v>21.205296000000001</v>
      </c>
      <c r="C27" s="4">
        <v>0.70399999999999996</v>
      </c>
      <c r="D27" s="4">
        <v>0.29599999999999999</v>
      </c>
      <c r="E27" s="4">
        <v>0.13</v>
      </c>
      <c r="F27" s="4">
        <v>0.87</v>
      </c>
      <c r="G27" t="s">
        <v>38</v>
      </c>
    </row>
    <row r="28" spans="1:7" x14ac:dyDescent="0.25">
      <c r="A28" s="2">
        <v>68.139999999999986</v>
      </c>
      <c r="B28" s="3">
        <v>17.873729999999998</v>
      </c>
      <c r="C28" s="4">
        <v>0.748</v>
      </c>
      <c r="D28" s="4">
        <v>0.252</v>
      </c>
      <c r="E28" s="4">
        <v>9.6999999999999975E-2</v>
      </c>
      <c r="F28" s="4">
        <v>0.90300000000000002</v>
      </c>
      <c r="G28" t="s">
        <v>39</v>
      </c>
    </row>
    <row r="29" spans="1:7" x14ac:dyDescent="0.25">
      <c r="A29" s="2">
        <v>68.139999999999986</v>
      </c>
      <c r="B29" s="3">
        <v>14.939358</v>
      </c>
      <c r="C29" s="4">
        <v>0.78</v>
      </c>
      <c r="D29" s="4">
        <v>0.22</v>
      </c>
      <c r="E29" s="4">
        <v>9.1999999999999971E-2</v>
      </c>
      <c r="F29" s="4">
        <v>0.90800000000000003</v>
      </c>
      <c r="G29" t="s">
        <v>40</v>
      </c>
    </row>
    <row r="30" spans="1:7" x14ac:dyDescent="0.25">
      <c r="A30" s="2">
        <v>67.849999999999966</v>
      </c>
      <c r="B30" s="3">
        <v>14.936318249999999</v>
      </c>
      <c r="C30" s="4">
        <v>0.78100000000000003</v>
      </c>
      <c r="D30" s="4">
        <v>0.219</v>
      </c>
      <c r="E30" s="4">
        <v>7.7999999999999958E-2</v>
      </c>
      <c r="F30" s="4">
        <v>0.92200000000000004</v>
      </c>
      <c r="G30" t="s">
        <v>41</v>
      </c>
    </row>
    <row r="31" spans="1:7" x14ac:dyDescent="0.25">
      <c r="A31" s="2">
        <v>68.099999999999966</v>
      </c>
      <c r="B31" s="3">
        <v>12.003972750000001</v>
      </c>
      <c r="C31" s="4">
        <v>0.81899999999999995</v>
      </c>
      <c r="D31" s="4">
        <v>0.18099999999999999</v>
      </c>
      <c r="E31" s="4">
        <v>5.600000000000005E-2</v>
      </c>
      <c r="F31" s="4">
        <v>0.94399999999999995</v>
      </c>
      <c r="G31" t="s">
        <v>42</v>
      </c>
    </row>
    <row r="32" spans="1:7" x14ac:dyDescent="0.25">
      <c r="A32" s="2">
        <v>68.119999999999976</v>
      </c>
      <c r="B32" s="3">
        <v>9.0858127500000005</v>
      </c>
      <c r="C32" s="4">
        <v>0.85299999999999998</v>
      </c>
      <c r="D32" s="4">
        <v>0.14699999999999999</v>
      </c>
      <c r="E32" s="4">
        <v>4.7000000000000042E-2</v>
      </c>
      <c r="F32" s="4">
        <v>0.95299999999999996</v>
      </c>
      <c r="G32" t="s">
        <v>43</v>
      </c>
    </row>
    <row r="33" spans="1:7" x14ac:dyDescent="0.25">
      <c r="A33" s="2">
        <v>68.099999999999966</v>
      </c>
      <c r="B33" s="3">
        <v>9.0736537500000001</v>
      </c>
      <c r="C33" s="4">
        <v>0.84599999999999997</v>
      </c>
      <c r="D33" s="4">
        <v>0.154</v>
      </c>
      <c r="E33" s="4">
        <v>4.500000000000004E-2</v>
      </c>
      <c r="F33" s="4">
        <v>0.95499999999999996</v>
      </c>
      <c r="G33" t="s">
        <v>44</v>
      </c>
    </row>
    <row r="34" spans="1:7" x14ac:dyDescent="0.25">
      <c r="A34" s="2">
        <v>68.099999999999966</v>
      </c>
      <c r="B34" s="3">
        <v>5.6620410000000003</v>
      </c>
      <c r="C34" s="4">
        <v>0.90600000000000003</v>
      </c>
      <c r="D34" s="4">
        <v>9.4E-2</v>
      </c>
      <c r="E34" s="4">
        <v>2.7000000000000024E-2</v>
      </c>
      <c r="F34" s="4">
        <v>0.97299999999999998</v>
      </c>
      <c r="G34" t="s">
        <v>45</v>
      </c>
    </row>
    <row r="35" spans="1:7" x14ac:dyDescent="0.25">
      <c r="A35" s="2">
        <v>68.149999999999977</v>
      </c>
      <c r="B35" s="3">
        <v>4.6498042499999999</v>
      </c>
      <c r="C35" s="4">
        <v>0.92400000000000004</v>
      </c>
      <c r="D35" s="4">
        <v>7.5999999999999998E-2</v>
      </c>
      <c r="E35" s="4">
        <v>2.1000000000000019E-2</v>
      </c>
      <c r="F35" s="4">
        <v>0.97899999999999998</v>
      </c>
      <c r="G35" t="s">
        <v>46</v>
      </c>
    </row>
    <row r="36" spans="1:7" x14ac:dyDescent="0.25">
      <c r="A36" s="2">
        <v>68.119999999999976</v>
      </c>
      <c r="B36" s="3">
        <v>3.6456734999999996</v>
      </c>
      <c r="C36" s="4">
        <v>0.93399999999999994</v>
      </c>
      <c r="D36" s="4">
        <v>6.6000000000000003E-2</v>
      </c>
      <c r="E36" s="4">
        <v>2.4000000000000021E-2</v>
      </c>
      <c r="F36" s="4">
        <v>0.97599999999999998</v>
      </c>
      <c r="G36" t="s">
        <v>47</v>
      </c>
    </row>
    <row r="37" spans="1:7" x14ac:dyDescent="0.25">
      <c r="A37" s="2">
        <v>68.139999999999986</v>
      </c>
      <c r="B37" s="3">
        <v>2.6932185</v>
      </c>
      <c r="C37" s="4">
        <v>0.95399999999999996</v>
      </c>
      <c r="D37" s="4">
        <v>4.5999999999999999E-2</v>
      </c>
      <c r="E37" s="4">
        <v>2.4000000000000021E-2</v>
      </c>
      <c r="F37" s="4">
        <v>0.97599999999999998</v>
      </c>
      <c r="G37" t="s">
        <v>48</v>
      </c>
    </row>
    <row r="38" spans="1:7" x14ac:dyDescent="0.25">
      <c r="A38" s="2">
        <v>68.119999999999976</v>
      </c>
      <c r="B38" s="3">
        <v>1.7417767500000003</v>
      </c>
      <c r="C38" s="4">
        <v>0.96699999999999997</v>
      </c>
      <c r="D38" s="4">
        <v>3.3000000000000002E-2</v>
      </c>
      <c r="E38" s="4">
        <v>2.7000000000000024E-2</v>
      </c>
      <c r="F38" s="4">
        <v>0.97299999999999998</v>
      </c>
      <c r="G38" t="s">
        <v>49</v>
      </c>
    </row>
    <row r="39" spans="1:7" x14ac:dyDescent="0.25">
      <c r="A39" s="2">
        <v>68.149999999999977</v>
      </c>
      <c r="B39" s="3">
        <v>2.9384249999999997E-2</v>
      </c>
      <c r="C39" s="4">
        <v>1</v>
      </c>
      <c r="D39" s="4">
        <v>0</v>
      </c>
      <c r="E39" s="4">
        <v>1</v>
      </c>
      <c r="F39" s="4">
        <v>0</v>
      </c>
      <c r="G39" t="s">
        <v>50</v>
      </c>
    </row>
    <row r="40" spans="1:7" x14ac:dyDescent="0.25">
      <c r="A40" s="2">
        <v>63.139999999999986</v>
      </c>
      <c r="B40" s="3">
        <v>21.797034</v>
      </c>
      <c r="C40" s="4">
        <v>0.77800000000000002</v>
      </c>
      <c r="D40" s="4">
        <v>0.222</v>
      </c>
      <c r="E40" s="4">
        <v>7.0999999999999952E-2</v>
      </c>
      <c r="F40" s="4">
        <v>0.92900000000000005</v>
      </c>
      <c r="G40" t="s">
        <v>51</v>
      </c>
    </row>
    <row r="41" spans="1:7" x14ac:dyDescent="0.25">
      <c r="A41" s="2">
        <v>63.139999999999986</v>
      </c>
      <c r="B41" s="3">
        <v>21.797034</v>
      </c>
      <c r="C41" s="4">
        <v>0.77900000000000003</v>
      </c>
      <c r="D41" s="4">
        <v>0.221</v>
      </c>
      <c r="E41" s="4"/>
      <c r="F41" s="4"/>
      <c r="G41" t="s">
        <v>52</v>
      </c>
    </row>
    <row r="42" spans="1:7" x14ac:dyDescent="0.25">
      <c r="A42" s="2">
        <v>63.159999999999968</v>
      </c>
      <c r="B42" s="3">
        <v>20.818234499999999</v>
      </c>
      <c r="C42" s="4">
        <v>0.78400000000000003</v>
      </c>
      <c r="D42" s="4">
        <v>0.216</v>
      </c>
      <c r="E42" s="4">
        <v>6.4999999999999947E-2</v>
      </c>
      <c r="F42" s="4">
        <v>0.93500000000000005</v>
      </c>
      <c r="G42" t="s">
        <v>53</v>
      </c>
    </row>
    <row r="43" spans="1:7" x14ac:dyDescent="0.25">
      <c r="A43" s="2">
        <v>63.159999999999968</v>
      </c>
      <c r="B43" s="3">
        <v>20.81316825</v>
      </c>
      <c r="C43" s="4">
        <v>0.79</v>
      </c>
      <c r="D43" s="4">
        <v>0.21</v>
      </c>
      <c r="E43" s="4">
        <v>8.4999999999999964E-2</v>
      </c>
      <c r="F43" s="4">
        <v>0.91500000000000004</v>
      </c>
      <c r="G43" t="s">
        <v>54</v>
      </c>
    </row>
    <row r="44" spans="1:7" x14ac:dyDescent="0.25">
      <c r="A44" s="2">
        <v>63.119999999999976</v>
      </c>
      <c r="B44" s="3">
        <v>17.876769750000001</v>
      </c>
      <c r="C44" s="4">
        <v>0.81099999999999994</v>
      </c>
      <c r="D44" s="4">
        <v>0.189</v>
      </c>
      <c r="E44" s="4">
        <v>6.2999999999999945E-2</v>
      </c>
      <c r="F44" s="4">
        <v>0.93700000000000006</v>
      </c>
      <c r="G44" t="s">
        <v>55</v>
      </c>
    </row>
    <row r="45" spans="1:7" x14ac:dyDescent="0.25">
      <c r="A45" s="2">
        <v>63.149999999999977</v>
      </c>
      <c r="B45" s="3">
        <v>17.873729999999998</v>
      </c>
      <c r="C45" s="4">
        <v>0.80499999999999994</v>
      </c>
      <c r="D45" s="4">
        <v>0.19500000000000001</v>
      </c>
      <c r="E45" s="4">
        <v>6.9999999999999951E-2</v>
      </c>
      <c r="F45" s="4">
        <v>0.93</v>
      </c>
      <c r="G45" t="s">
        <v>56</v>
      </c>
    </row>
    <row r="46" spans="1:7" x14ac:dyDescent="0.25">
      <c r="A46" s="2">
        <v>63.159999999999968</v>
      </c>
      <c r="B46" s="3">
        <v>17.873729999999998</v>
      </c>
      <c r="C46" s="4">
        <v>0.80899999999999994</v>
      </c>
      <c r="D46" s="4">
        <v>0.191</v>
      </c>
      <c r="E46" s="4"/>
      <c r="F46" s="4"/>
      <c r="G46" t="s">
        <v>57</v>
      </c>
    </row>
    <row r="47" spans="1:7" x14ac:dyDescent="0.25">
      <c r="A47" s="2">
        <v>63.149999999999977</v>
      </c>
      <c r="B47" s="3">
        <v>14.939358</v>
      </c>
      <c r="C47" s="4">
        <v>0.83199999999999996</v>
      </c>
      <c r="D47" s="4">
        <v>0.16800000000000001</v>
      </c>
      <c r="E47" s="4"/>
      <c r="F47" s="4"/>
      <c r="G47" t="s">
        <v>58</v>
      </c>
    </row>
    <row r="48" spans="1:7" x14ac:dyDescent="0.25">
      <c r="A48" s="2">
        <v>63.159999999999968</v>
      </c>
      <c r="B48" s="3">
        <v>14.936318249999999</v>
      </c>
      <c r="C48" s="4">
        <v>0.82699999999999996</v>
      </c>
      <c r="D48" s="4">
        <v>0.17299999999999999</v>
      </c>
      <c r="E48" s="4"/>
      <c r="F48" s="4"/>
      <c r="G48" t="s">
        <v>59</v>
      </c>
    </row>
    <row r="49" spans="1:7" x14ac:dyDescent="0.25">
      <c r="A49" s="2">
        <v>63.169999999999987</v>
      </c>
      <c r="B49" s="3">
        <v>14.935305</v>
      </c>
      <c r="C49" s="4">
        <v>0.82800000000000007</v>
      </c>
      <c r="D49" s="4">
        <v>0.17199999999999999</v>
      </c>
      <c r="E49" s="4">
        <v>4.3000000000000038E-2</v>
      </c>
      <c r="F49" s="4">
        <v>0.95699999999999996</v>
      </c>
      <c r="G49" t="s">
        <v>60</v>
      </c>
    </row>
    <row r="50" spans="1:7" x14ac:dyDescent="0.25">
      <c r="A50" s="2">
        <v>63.159999999999968</v>
      </c>
      <c r="B50" s="3">
        <v>14.930238749999999</v>
      </c>
      <c r="C50" s="4">
        <v>0.83699999999999997</v>
      </c>
      <c r="D50" s="4">
        <v>0.16300000000000001</v>
      </c>
      <c r="E50" s="4"/>
      <c r="F50" s="4"/>
      <c r="G50" t="s">
        <v>61</v>
      </c>
    </row>
    <row r="51" spans="1:7" x14ac:dyDescent="0.25">
      <c r="A51" s="2">
        <v>63.149999999999977</v>
      </c>
      <c r="B51" s="3">
        <v>12.004986000000001</v>
      </c>
      <c r="C51" s="4">
        <v>0.85399999999999998</v>
      </c>
      <c r="D51" s="4">
        <v>0.14599999999999999</v>
      </c>
      <c r="E51" s="4">
        <v>3.2000000000000028E-2</v>
      </c>
      <c r="F51" s="4">
        <v>0.96799999999999997</v>
      </c>
      <c r="G51" t="s">
        <v>62</v>
      </c>
    </row>
    <row r="52" spans="1:7" x14ac:dyDescent="0.25">
      <c r="A52" s="2">
        <v>63.159999999999968</v>
      </c>
      <c r="B52" s="3">
        <v>12.00194625</v>
      </c>
      <c r="C52" s="4">
        <v>0.84799999999999998</v>
      </c>
      <c r="D52" s="4">
        <v>0.152</v>
      </c>
      <c r="E52" s="4"/>
      <c r="F52" s="4"/>
      <c r="G52" t="s">
        <v>63</v>
      </c>
    </row>
    <row r="53" spans="1:7" x14ac:dyDescent="0.25">
      <c r="A53" s="2">
        <v>63.149999999999977</v>
      </c>
      <c r="B53" s="3">
        <v>12.000933</v>
      </c>
      <c r="C53" s="4">
        <v>0.85299999999999998</v>
      </c>
      <c r="D53" s="4">
        <v>0.14699999999999999</v>
      </c>
      <c r="E53" s="4">
        <v>4.3000000000000038E-2</v>
      </c>
      <c r="F53" s="4">
        <v>0.95699999999999996</v>
      </c>
      <c r="G53" t="s">
        <v>64</v>
      </c>
    </row>
    <row r="54" spans="1:7" x14ac:dyDescent="0.25">
      <c r="A54" s="2">
        <v>63.159999999999968</v>
      </c>
      <c r="B54" s="3">
        <v>11.997893250000001</v>
      </c>
      <c r="C54" s="4">
        <v>0.85699999999999998</v>
      </c>
      <c r="D54" s="4">
        <v>0.14299999999999999</v>
      </c>
      <c r="E54" s="4">
        <v>5.2000000000000046E-2</v>
      </c>
      <c r="F54" s="4">
        <v>0.94799999999999995</v>
      </c>
      <c r="G54" t="s">
        <v>65</v>
      </c>
    </row>
    <row r="55" spans="1:7" x14ac:dyDescent="0.25">
      <c r="A55" s="2">
        <v>63.139999999999986</v>
      </c>
      <c r="B55" s="3">
        <v>9.0766934999999993</v>
      </c>
      <c r="C55" s="4">
        <v>0.88</v>
      </c>
      <c r="D55" s="4">
        <v>0.12</v>
      </c>
      <c r="E55" s="4">
        <v>3.7000000000000033E-2</v>
      </c>
      <c r="F55" s="4">
        <v>0.96299999999999997</v>
      </c>
      <c r="G55" t="s">
        <v>66</v>
      </c>
    </row>
    <row r="56" spans="1:7" x14ac:dyDescent="0.25">
      <c r="A56" s="2">
        <v>63.159999999999968</v>
      </c>
      <c r="B56" s="3">
        <v>9.0736537500000001</v>
      </c>
      <c r="C56" s="4">
        <v>0.879</v>
      </c>
      <c r="D56" s="4">
        <v>0.121</v>
      </c>
      <c r="E56" s="4"/>
      <c r="F56" s="4"/>
      <c r="G56" t="s">
        <v>67</v>
      </c>
    </row>
    <row r="57" spans="1:7" x14ac:dyDescent="0.25">
      <c r="A57" s="2">
        <v>63.149999999999977</v>
      </c>
      <c r="B57" s="3">
        <v>5.67723975</v>
      </c>
      <c r="C57" s="4">
        <v>0.92200000000000004</v>
      </c>
      <c r="D57" s="4">
        <v>7.8E-2</v>
      </c>
      <c r="E57" s="4"/>
      <c r="F57" s="4"/>
      <c r="G57" t="s">
        <v>68</v>
      </c>
    </row>
    <row r="58" spans="1:7" x14ac:dyDescent="0.25">
      <c r="A58" s="2">
        <v>63.149999999999977</v>
      </c>
      <c r="B58" s="3">
        <v>5.6326567499999998</v>
      </c>
      <c r="C58" s="4">
        <v>0.91500000000000004</v>
      </c>
      <c r="D58" s="4">
        <v>8.5000000000000006E-2</v>
      </c>
      <c r="E58" s="4">
        <v>2.6000000000000023E-2</v>
      </c>
      <c r="F58" s="4">
        <v>0.97399999999999998</v>
      </c>
      <c r="G58" t="s">
        <v>69</v>
      </c>
    </row>
    <row r="59" spans="1:7" x14ac:dyDescent="0.25">
      <c r="A59" s="2">
        <v>63.149999999999977</v>
      </c>
      <c r="B59" s="3">
        <v>5.6235375000000003</v>
      </c>
      <c r="C59" s="4">
        <v>0.91700000000000004</v>
      </c>
      <c r="D59" s="4">
        <v>8.3000000000000004E-2</v>
      </c>
      <c r="E59" s="4">
        <v>1.6000000000000014E-2</v>
      </c>
      <c r="F59" s="4">
        <v>0.98399999999999999</v>
      </c>
      <c r="G59" t="s">
        <v>70</v>
      </c>
    </row>
    <row r="60" spans="1:7" x14ac:dyDescent="0.25">
      <c r="A60" s="2">
        <v>63.169999999999987</v>
      </c>
      <c r="B60" s="3">
        <v>4.6720957500000004</v>
      </c>
      <c r="C60" s="4">
        <v>0.92500000000000004</v>
      </c>
      <c r="D60" s="4">
        <v>7.4999999999999997E-2</v>
      </c>
      <c r="E60" s="4">
        <v>1.8000000000000016E-2</v>
      </c>
      <c r="F60" s="4">
        <v>0.98199999999999998</v>
      </c>
      <c r="G60" t="s">
        <v>71</v>
      </c>
    </row>
    <row r="61" spans="1:7" x14ac:dyDescent="0.25">
      <c r="A61" s="2">
        <v>63.169999999999987</v>
      </c>
      <c r="B61" s="3">
        <v>3.6780974999999994</v>
      </c>
      <c r="C61" s="4">
        <v>0.94299999999999995</v>
      </c>
      <c r="D61" s="4">
        <v>5.7000000000000002E-2</v>
      </c>
      <c r="E61" s="4">
        <v>1.6000000000000014E-2</v>
      </c>
      <c r="F61" s="4">
        <v>0.98399999999999999</v>
      </c>
      <c r="G61" t="s">
        <v>72</v>
      </c>
    </row>
    <row r="62" spans="1:7" x14ac:dyDescent="0.25">
      <c r="A62" s="2">
        <v>63.159999999999968</v>
      </c>
      <c r="B62" s="3">
        <v>2.7053775</v>
      </c>
      <c r="C62" s="4">
        <v>0.95899999999999996</v>
      </c>
      <c r="D62" s="4">
        <v>4.1000000000000002E-2</v>
      </c>
      <c r="E62" s="4">
        <v>1.9000000000000017E-2</v>
      </c>
      <c r="F62" s="4">
        <v>0.98099999999999998</v>
      </c>
      <c r="G62" t="s">
        <v>73</v>
      </c>
    </row>
    <row r="63" spans="1:7" x14ac:dyDescent="0.25">
      <c r="A63" s="2">
        <v>63.149999999999977</v>
      </c>
      <c r="B63" s="3">
        <v>1.73164425</v>
      </c>
      <c r="C63" s="4">
        <v>0.97299999999999998</v>
      </c>
      <c r="D63" s="4">
        <v>2.7E-2</v>
      </c>
      <c r="E63" s="4">
        <v>2.0000000000000018E-2</v>
      </c>
      <c r="F63" s="4">
        <v>0.98</v>
      </c>
      <c r="G63" t="s">
        <v>74</v>
      </c>
    </row>
    <row r="64" spans="1:7" x14ac:dyDescent="0.25">
      <c r="A64" s="2">
        <v>63.159999999999968</v>
      </c>
      <c r="B64" s="3">
        <v>1.2371782499999999</v>
      </c>
      <c r="C64" s="4">
        <v>0.97499999999999998</v>
      </c>
      <c r="D64" s="4">
        <v>2.5000000000000001E-2</v>
      </c>
      <c r="E64" s="4">
        <v>1.6000000000000014E-2</v>
      </c>
      <c r="F64" s="4">
        <v>0.98399999999999999</v>
      </c>
      <c r="G64" t="s">
        <v>75</v>
      </c>
    </row>
    <row r="65" spans="1:7" x14ac:dyDescent="0.25">
      <c r="A65" s="2">
        <v>63.169999999999987</v>
      </c>
      <c r="B65" s="3">
        <v>1.23515175</v>
      </c>
      <c r="C65" s="4">
        <v>0.98099999999999998</v>
      </c>
      <c r="D65" s="4">
        <v>1.9E-2</v>
      </c>
      <c r="E65" s="4"/>
      <c r="F65" s="4"/>
      <c r="G65" t="s">
        <v>76</v>
      </c>
    </row>
    <row r="66" spans="1:7" x14ac:dyDescent="0.25">
      <c r="A66" s="2">
        <v>63.149999999999977</v>
      </c>
      <c r="B66" s="3">
        <v>1.2310987499999999</v>
      </c>
      <c r="C66" s="4">
        <v>0.98</v>
      </c>
      <c r="D66" s="4">
        <v>0.02</v>
      </c>
      <c r="E66" s="4">
        <v>1.3000000000000012E-2</v>
      </c>
      <c r="F66" s="4">
        <v>0.98699999999999999</v>
      </c>
      <c r="G66" t="s">
        <v>77</v>
      </c>
    </row>
    <row r="67" spans="1:7" x14ac:dyDescent="0.25">
      <c r="A67" s="10">
        <v>63.149999999999977</v>
      </c>
      <c r="B67" s="8">
        <v>1.2159E-2</v>
      </c>
      <c r="C67" s="9">
        <v>1</v>
      </c>
      <c r="D67" s="9">
        <v>0</v>
      </c>
      <c r="E67" s="9">
        <v>1</v>
      </c>
      <c r="F67" s="9">
        <v>0</v>
      </c>
      <c r="G67" t="s">
        <v>78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AC21-EC83-4D26-B47F-C567D0555502}">
  <dimension ref="A1:G11"/>
  <sheetViews>
    <sheetView workbookViewId="0">
      <selection activeCell="G2" sqref="G2:G11"/>
    </sheetView>
  </sheetViews>
  <sheetFormatPr defaultRowHeight="15" x14ac:dyDescent="0.25"/>
  <cols>
    <col min="7" max="7" width="17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83.15</v>
      </c>
      <c r="B2" s="3">
        <v>2.1718446200306123</v>
      </c>
      <c r="C2" s="4">
        <f>1-D2</f>
        <v>0.95130000000000003</v>
      </c>
      <c r="D2" s="4">
        <v>4.87E-2</v>
      </c>
      <c r="E2" s="4">
        <f>1-F2</f>
        <v>0.13449999999999995</v>
      </c>
      <c r="F2" s="4">
        <v>0.86550000000000005</v>
      </c>
      <c r="G2" t="s">
        <v>12</v>
      </c>
    </row>
    <row r="3" spans="1:7" x14ac:dyDescent="0.25">
      <c r="A3" s="2">
        <v>83.15</v>
      </c>
      <c r="B3" s="3">
        <v>3.4473724127470038</v>
      </c>
      <c r="C3" s="4">
        <f t="shared" ref="C3:C11" si="0">1-D3</f>
        <v>0.92369999999999997</v>
      </c>
      <c r="D3" s="4">
        <v>7.6300000000000007E-2</v>
      </c>
      <c r="E3" s="4">
        <f t="shared" ref="E3:E11" si="1">1-F3</f>
        <v>0.10519999999999996</v>
      </c>
      <c r="F3" s="4">
        <v>0.89480000000000004</v>
      </c>
      <c r="G3" t="s">
        <v>12</v>
      </c>
    </row>
    <row r="4" spans="1:7" x14ac:dyDescent="0.25">
      <c r="A4" s="2">
        <v>83.15</v>
      </c>
      <c r="B4" s="3">
        <v>9.6526427556916108</v>
      </c>
      <c r="C4" s="4">
        <f t="shared" si="0"/>
        <v>0.77</v>
      </c>
      <c r="D4" s="4">
        <v>0.23</v>
      </c>
      <c r="E4" s="4">
        <f t="shared" si="1"/>
        <v>0.13</v>
      </c>
      <c r="F4" s="4">
        <v>0.87</v>
      </c>
      <c r="G4" t="s">
        <v>12</v>
      </c>
    </row>
    <row r="5" spans="1:7" x14ac:dyDescent="0.25">
      <c r="A5" s="2">
        <v>83.15</v>
      </c>
      <c r="B5" s="3">
        <v>13.789489650988015</v>
      </c>
      <c r="C5" s="4">
        <f t="shared" si="0"/>
        <v>0.65539999999999998</v>
      </c>
      <c r="D5" s="4">
        <v>0.34460000000000002</v>
      </c>
      <c r="E5" s="4">
        <f t="shared" si="1"/>
        <v>0.20230000000000004</v>
      </c>
      <c r="F5" s="4">
        <v>0.79769999999999996</v>
      </c>
      <c r="G5" t="s">
        <v>12</v>
      </c>
    </row>
    <row r="6" spans="1:7" x14ac:dyDescent="0.25">
      <c r="A6" s="2">
        <v>99.816699999999997</v>
      </c>
      <c r="B6" s="3">
        <v>2.1718446200306123</v>
      </c>
      <c r="C6" s="4">
        <f t="shared" si="0"/>
        <v>0.96230000000000004</v>
      </c>
      <c r="D6" s="4">
        <v>3.7699999999999997E-2</v>
      </c>
      <c r="E6" s="4">
        <f t="shared" si="1"/>
        <v>0.44910000000000005</v>
      </c>
      <c r="F6" s="4">
        <v>0.55089999999999995</v>
      </c>
      <c r="G6" t="s">
        <v>12</v>
      </c>
    </row>
    <row r="7" spans="1:7" x14ac:dyDescent="0.25">
      <c r="A7" s="2">
        <v>99.816699999999997</v>
      </c>
      <c r="B7" s="3">
        <v>3.4473724127470038</v>
      </c>
      <c r="C7" s="4">
        <f t="shared" si="0"/>
        <v>0.92589999999999995</v>
      </c>
      <c r="D7" s="4">
        <v>7.4099999999999999E-2</v>
      </c>
      <c r="E7" s="4">
        <f t="shared" si="1"/>
        <v>0.33140000000000003</v>
      </c>
      <c r="F7" s="4">
        <v>0.66859999999999997</v>
      </c>
      <c r="G7" t="s">
        <v>12</v>
      </c>
    </row>
    <row r="8" spans="1:7" x14ac:dyDescent="0.25">
      <c r="A8" s="2">
        <v>99.816699999999997</v>
      </c>
      <c r="B8" s="3">
        <v>5.5157958603952064</v>
      </c>
      <c r="C8" s="4">
        <f t="shared" si="0"/>
        <v>0.86160000000000003</v>
      </c>
      <c r="D8" s="4">
        <v>0.1384</v>
      </c>
      <c r="E8" s="4">
        <f t="shared" si="1"/>
        <v>0.27205000000000001</v>
      </c>
      <c r="F8" s="4">
        <v>0.72794999999999999</v>
      </c>
      <c r="G8" t="s">
        <v>12</v>
      </c>
    </row>
    <row r="9" spans="1:7" x14ac:dyDescent="0.25">
      <c r="A9" s="2">
        <v>99.816699999999997</v>
      </c>
      <c r="B9" s="3">
        <v>7.5842193080434086</v>
      </c>
      <c r="C9" s="4">
        <f t="shared" si="0"/>
        <v>0.78839999999999999</v>
      </c>
      <c r="D9" s="4">
        <v>0.21160000000000001</v>
      </c>
      <c r="E9" s="4">
        <f t="shared" si="1"/>
        <v>0.28249999999999997</v>
      </c>
      <c r="F9" s="4">
        <v>0.71750000000000003</v>
      </c>
      <c r="G9" t="s">
        <v>12</v>
      </c>
    </row>
    <row r="10" spans="1:7" x14ac:dyDescent="0.25">
      <c r="A10" s="2">
        <v>99.816699999999997</v>
      </c>
      <c r="B10" s="3">
        <v>9.6526427556916108</v>
      </c>
      <c r="C10" s="4">
        <f t="shared" si="0"/>
        <v>0.69700000000000006</v>
      </c>
      <c r="D10" s="4">
        <v>0.30299999999999999</v>
      </c>
      <c r="E10" s="4">
        <f t="shared" si="1"/>
        <v>0.34699999999999998</v>
      </c>
      <c r="F10" s="4">
        <v>0.65300000000000002</v>
      </c>
      <c r="G10" t="s">
        <v>12</v>
      </c>
    </row>
    <row r="11" spans="1:7" x14ac:dyDescent="0.25">
      <c r="A11" s="10">
        <v>122.039</v>
      </c>
      <c r="B11" s="8">
        <v>3.4473724127470038</v>
      </c>
      <c r="C11" s="9">
        <f t="shared" si="0"/>
        <v>0.97389999999999999</v>
      </c>
      <c r="D11" s="9">
        <v>2.6100000000000002E-2</v>
      </c>
      <c r="E11" s="9">
        <f t="shared" si="1"/>
        <v>0.91789999999999994</v>
      </c>
      <c r="F11" s="9">
        <v>8.2100000000000006E-2</v>
      </c>
      <c r="G1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38C9-EDA1-4354-A940-671A56481CFC}">
  <dimension ref="A1:G18"/>
  <sheetViews>
    <sheetView workbookViewId="0">
      <selection activeCell="F22" sqref="F22"/>
    </sheetView>
  </sheetViews>
  <sheetFormatPr defaultRowHeight="15" x14ac:dyDescent="0.25"/>
  <cols>
    <col min="7" max="7" width="20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90</v>
      </c>
      <c r="B2" s="3">
        <v>0.35949199520125757</v>
      </c>
      <c r="C2" s="5">
        <f>1-D2</f>
        <v>1</v>
      </c>
      <c r="D2" s="5">
        <v>0</v>
      </c>
      <c r="E2" s="5">
        <f>1-F2</f>
        <v>1</v>
      </c>
      <c r="F2" s="5">
        <v>0</v>
      </c>
      <c r="G2" t="s">
        <v>11</v>
      </c>
    </row>
    <row r="3" spans="1:7" x14ac:dyDescent="0.25">
      <c r="A3" s="2">
        <v>90.02</v>
      </c>
      <c r="B3" s="3">
        <v>1.7857389098029481</v>
      </c>
      <c r="C3" s="5"/>
      <c r="D3" s="5"/>
      <c r="E3" s="5">
        <f t="shared" ref="E3:E18" si="0">1-F3</f>
        <v>0.26759999999999995</v>
      </c>
      <c r="F3" s="5">
        <v>0.73240000000000005</v>
      </c>
      <c r="G3" t="s">
        <v>11</v>
      </c>
    </row>
    <row r="4" spans="1:7" x14ac:dyDescent="0.25">
      <c r="A4" s="2">
        <v>90.02</v>
      </c>
      <c r="B4" s="3">
        <v>1.3566099918642009</v>
      </c>
      <c r="C4" s="5">
        <f t="shared" ref="C4:C18" si="1">1-D4</f>
        <v>0.97519999999999996</v>
      </c>
      <c r="D4" s="5">
        <v>2.4799999999999999E-2</v>
      </c>
      <c r="E4" s="5">
        <f t="shared" si="0"/>
        <v>0.32679999999999998</v>
      </c>
      <c r="F4" s="5">
        <v>0.67320000000000002</v>
      </c>
      <c r="G4" t="s">
        <v>11</v>
      </c>
    </row>
    <row r="5" spans="1:7" x14ac:dyDescent="0.25">
      <c r="A5" s="2">
        <v>90.01</v>
      </c>
      <c r="B5" s="3">
        <v>1.2975909761579723</v>
      </c>
      <c r="C5" s="5">
        <f t="shared" si="1"/>
        <v>0.97660000000000002</v>
      </c>
      <c r="D5" s="5">
        <v>2.3400000000000001E-2</v>
      </c>
      <c r="E5" s="5">
        <f t="shared" si="0"/>
        <v>0.33809999999999996</v>
      </c>
      <c r="F5" s="5">
        <v>0.66190000000000004</v>
      </c>
      <c r="G5" t="s">
        <v>11</v>
      </c>
    </row>
    <row r="6" spans="1:7" x14ac:dyDescent="0.25">
      <c r="A6" s="2">
        <v>90.03</v>
      </c>
      <c r="B6" s="3">
        <v>1.1852755829506749</v>
      </c>
      <c r="C6" s="5">
        <f t="shared" si="1"/>
        <v>0.97929999999999995</v>
      </c>
      <c r="D6" s="5">
        <v>2.07E-2</v>
      </c>
      <c r="E6" s="5">
        <f t="shared" si="0"/>
        <v>0.36329999999999996</v>
      </c>
      <c r="F6" s="5">
        <v>0.63670000000000004</v>
      </c>
      <c r="G6" t="s">
        <v>11</v>
      </c>
    </row>
    <row r="7" spans="1:7" x14ac:dyDescent="0.25">
      <c r="A7" s="2">
        <v>90.02</v>
      </c>
      <c r="B7" s="3">
        <v>1.1336339442077248</v>
      </c>
      <c r="C7" s="5"/>
      <c r="D7" s="5"/>
      <c r="E7" s="5">
        <f t="shared" si="0"/>
        <v>0.37529999999999997</v>
      </c>
      <c r="F7" s="5">
        <v>0.62470000000000003</v>
      </c>
      <c r="G7" t="s">
        <v>11</v>
      </c>
    </row>
    <row r="8" spans="1:7" x14ac:dyDescent="0.25">
      <c r="A8" s="2">
        <v>90.03</v>
      </c>
      <c r="B8" s="3">
        <v>0.98415587639101476</v>
      </c>
      <c r="C8" s="5"/>
      <c r="D8" s="5"/>
      <c r="E8" s="5">
        <f t="shared" si="0"/>
        <v>0.42090000000000005</v>
      </c>
      <c r="F8" s="5">
        <v>0.57909999999999995</v>
      </c>
      <c r="G8" t="s">
        <v>11</v>
      </c>
    </row>
    <row r="9" spans="1:7" x14ac:dyDescent="0.25">
      <c r="A9" s="2">
        <v>90.04</v>
      </c>
      <c r="B9" s="3">
        <v>1.0209048663108977</v>
      </c>
      <c r="C9" s="5">
        <f t="shared" si="1"/>
        <v>0.98360000000000003</v>
      </c>
      <c r="D9" s="5">
        <v>1.6400000000000001E-2</v>
      </c>
      <c r="E9" s="5">
        <f t="shared" si="0"/>
        <v>0.40969999999999995</v>
      </c>
      <c r="F9" s="5">
        <v>0.59030000000000005</v>
      </c>
      <c r="G9" t="s">
        <v>11</v>
      </c>
    </row>
    <row r="10" spans="1:7" x14ac:dyDescent="0.25">
      <c r="A10" s="2">
        <v>89.99</v>
      </c>
      <c r="B10" s="3">
        <v>0.84357202939919185</v>
      </c>
      <c r="C10" s="5">
        <f t="shared" si="1"/>
        <v>0.98809999999999998</v>
      </c>
      <c r="D10" s="5">
        <v>1.1900000000000001E-2</v>
      </c>
      <c r="E10" s="5">
        <f t="shared" si="0"/>
        <v>0.47829999999999995</v>
      </c>
      <c r="F10" s="5">
        <v>0.52170000000000005</v>
      </c>
      <c r="G10" t="s">
        <v>11</v>
      </c>
    </row>
    <row r="11" spans="1:7" x14ac:dyDescent="0.25">
      <c r="A11" s="2">
        <v>90.01</v>
      </c>
      <c r="B11" s="3">
        <v>0.61335649967594685</v>
      </c>
      <c r="C11" s="5"/>
      <c r="D11" s="5"/>
      <c r="E11" s="5">
        <f t="shared" si="0"/>
        <v>0.62470000000000003</v>
      </c>
      <c r="F11" s="5">
        <v>0.37530000000000002</v>
      </c>
      <c r="G11" t="s">
        <v>11</v>
      </c>
    </row>
    <row r="12" spans="1:7" x14ac:dyDescent="0.25">
      <c r="A12" s="2">
        <v>90.01</v>
      </c>
      <c r="B12" s="3">
        <v>1.0066327445221253</v>
      </c>
      <c r="C12" s="5">
        <f t="shared" si="1"/>
        <v>0.98409999999999997</v>
      </c>
      <c r="D12" s="5">
        <v>1.5900000000000001E-2</v>
      </c>
      <c r="E12" s="5">
        <f t="shared" si="0"/>
        <v>0.41449999999999998</v>
      </c>
      <c r="F12" s="5">
        <v>0.58550000000000002</v>
      </c>
      <c r="G12" t="s">
        <v>11</v>
      </c>
    </row>
    <row r="13" spans="1:7" x14ac:dyDescent="0.25">
      <c r="A13" s="2">
        <v>90.06</v>
      </c>
      <c r="B13" s="3">
        <v>2.4420496697417224</v>
      </c>
      <c r="C13" s="5">
        <f t="shared" si="1"/>
        <v>0.9466</v>
      </c>
      <c r="D13" s="5">
        <v>5.3400000000000003E-2</v>
      </c>
      <c r="E13" s="5">
        <f t="shared" si="0"/>
        <v>0.21999999999999997</v>
      </c>
      <c r="F13" s="5">
        <v>0.78</v>
      </c>
      <c r="G13" t="s">
        <v>11</v>
      </c>
    </row>
    <row r="14" spans="1:7" x14ac:dyDescent="0.25">
      <c r="A14" s="2">
        <v>90.04</v>
      </c>
      <c r="B14" s="3">
        <v>4.5954163736400115</v>
      </c>
      <c r="C14" s="5">
        <f t="shared" si="1"/>
        <v>0.88849999999999996</v>
      </c>
      <c r="D14" s="5">
        <v>0.1115</v>
      </c>
      <c r="E14" s="5">
        <f t="shared" si="0"/>
        <v>0.16959999999999997</v>
      </c>
      <c r="F14" s="5">
        <v>0.83040000000000003</v>
      </c>
      <c r="G14" t="s">
        <v>11</v>
      </c>
    </row>
    <row r="15" spans="1:7" x14ac:dyDescent="0.25">
      <c r="A15" s="2">
        <v>95</v>
      </c>
      <c r="B15" s="3">
        <v>0.54075483666349511</v>
      </c>
      <c r="C15" s="5">
        <f t="shared" si="1"/>
        <v>1</v>
      </c>
      <c r="D15" s="5">
        <v>0</v>
      </c>
      <c r="E15" s="5">
        <f t="shared" si="0"/>
        <v>1</v>
      </c>
      <c r="F15" s="5">
        <v>0</v>
      </c>
      <c r="G15" t="s">
        <v>11</v>
      </c>
    </row>
    <row r="16" spans="1:7" x14ac:dyDescent="0.25">
      <c r="A16" s="2">
        <v>95.02</v>
      </c>
      <c r="B16" s="3">
        <v>1.1091576000772212</v>
      </c>
      <c r="C16" s="5">
        <f t="shared" si="1"/>
        <v>0.98509999999999998</v>
      </c>
      <c r="D16" s="5">
        <v>1.49E-2</v>
      </c>
      <c r="E16" s="5">
        <f t="shared" si="0"/>
        <v>0.55079999999999996</v>
      </c>
      <c r="F16" s="5">
        <v>0.44919999999999999</v>
      </c>
      <c r="G16" t="s">
        <v>11</v>
      </c>
    </row>
    <row r="17" spans="1:7" x14ac:dyDescent="0.25">
      <c r="A17" s="2">
        <v>94.99</v>
      </c>
      <c r="B17" s="3">
        <v>4.5328810380727811</v>
      </c>
      <c r="C17" s="5">
        <f t="shared" si="1"/>
        <v>0.88790000000000002</v>
      </c>
      <c r="D17" s="5">
        <v>0.11210000000000001</v>
      </c>
      <c r="E17" s="5">
        <f t="shared" si="0"/>
        <v>0.23570000000000002</v>
      </c>
      <c r="F17" s="5">
        <v>0.76429999999999998</v>
      </c>
      <c r="G17" t="s">
        <v>11</v>
      </c>
    </row>
    <row r="18" spans="1:7" x14ac:dyDescent="0.25">
      <c r="A18" s="10">
        <v>95</v>
      </c>
      <c r="B18" s="8">
        <v>2.6216577724458419</v>
      </c>
      <c r="C18" s="6">
        <f t="shared" si="1"/>
        <v>0.94340000000000002</v>
      </c>
      <c r="D18" s="6">
        <v>5.6599999999999998E-2</v>
      </c>
      <c r="E18" s="6">
        <f t="shared" si="0"/>
        <v>0.29949999999999999</v>
      </c>
      <c r="F18" s="6">
        <v>0.70050000000000001</v>
      </c>
      <c r="G18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9886-3948-4AA3-BCF4-BDA4B57862B7}">
  <dimension ref="A1:G25"/>
  <sheetViews>
    <sheetView workbookViewId="0">
      <selection activeCell="G31" sqref="G31"/>
    </sheetView>
  </sheetViews>
  <sheetFormatPr defaultRowHeight="15" x14ac:dyDescent="0.25"/>
  <cols>
    <col min="7" max="7" width="23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63.6</v>
      </c>
      <c r="B2" s="5">
        <v>0.50662499999999999</v>
      </c>
      <c r="C2" s="5"/>
      <c r="D2" s="5"/>
      <c r="E2" s="4">
        <v>3.3799999999999997E-2</v>
      </c>
      <c r="F2" s="4">
        <f>1-E2</f>
        <v>0.96619999999999995</v>
      </c>
      <c r="G2" t="s">
        <v>10</v>
      </c>
    </row>
    <row r="3" spans="1:7" x14ac:dyDescent="0.25">
      <c r="A3" s="2">
        <v>68</v>
      </c>
      <c r="B3" s="5">
        <v>0.50662499999999999</v>
      </c>
      <c r="C3" s="5"/>
      <c r="D3" s="5"/>
      <c r="E3" s="4">
        <v>6.7599999999999993E-2</v>
      </c>
      <c r="F3" s="4">
        <f t="shared" ref="F3:F25" si="0">1-E3</f>
        <v>0.93240000000000001</v>
      </c>
      <c r="G3" t="s">
        <v>10</v>
      </c>
    </row>
    <row r="4" spans="1:7" x14ac:dyDescent="0.25">
      <c r="A4" s="2">
        <v>72.2</v>
      </c>
      <c r="B4" s="5">
        <v>0.50662499999999999</v>
      </c>
      <c r="C4" s="5"/>
      <c r="D4" s="5"/>
      <c r="E4" s="4">
        <v>0.11600000000000001</v>
      </c>
      <c r="F4" s="4">
        <f t="shared" si="0"/>
        <v>0.88400000000000001</v>
      </c>
      <c r="G4" t="s">
        <v>10</v>
      </c>
    </row>
    <row r="5" spans="1:7" x14ac:dyDescent="0.25">
      <c r="A5" s="2">
        <v>74.599999999999994</v>
      </c>
      <c r="B5" s="5">
        <v>0.50662499999999999</v>
      </c>
      <c r="C5" s="5"/>
      <c r="D5" s="5"/>
      <c r="E5" s="4">
        <v>0.124</v>
      </c>
      <c r="F5" s="4">
        <f t="shared" si="0"/>
        <v>0.876</v>
      </c>
      <c r="G5" t="s">
        <v>10</v>
      </c>
    </row>
    <row r="6" spans="1:7" x14ac:dyDescent="0.25">
      <c r="A6" s="2">
        <v>63.6</v>
      </c>
      <c r="B6" s="5">
        <v>1.01325</v>
      </c>
      <c r="C6" s="5"/>
      <c r="D6" s="5"/>
      <c r="E6" s="4">
        <v>2.1299999999999999E-2</v>
      </c>
      <c r="F6" s="4">
        <f t="shared" si="0"/>
        <v>0.97870000000000001</v>
      </c>
      <c r="G6" t="s">
        <v>10</v>
      </c>
    </row>
    <row r="7" spans="1:7" x14ac:dyDescent="0.25">
      <c r="A7" s="2">
        <v>68.099999999999994</v>
      </c>
      <c r="B7" s="5">
        <v>1.01325</v>
      </c>
      <c r="C7" s="5"/>
      <c r="D7" s="5"/>
      <c r="E7" s="4">
        <v>4.7500000000000001E-2</v>
      </c>
      <c r="F7" s="4">
        <f t="shared" si="0"/>
        <v>0.95250000000000001</v>
      </c>
      <c r="G7" t="s">
        <v>10</v>
      </c>
    </row>
    <row r="8" spans="1:7" x14ac:dyDescent="0.25">
      <c r="A8" s="2">
        <v>72.3</v>
      </c>
      <c r="B8" s="5">
        <v>1.01325</v>
      </c>
      <c r="C8" s="5"/>
      <c r="D8" s="5"/>
      <c r="E8" s="4">
        <v>7.5200000000000003E-2</v>
      </c>
      <c r="F8" s="4">
        <f t="shared" si="0"/>
        <v>0.92479999999999996</v>
      </c>
      <c r="G8" t="s">
        <v>10</v>
      </c>
    </row>
    <row r="9" spans="1:7" x14ac:dyDescent="0.25">
      <c r="A9" s="2">
        <v>74.7</v>
      </c>
      <c r="B9" s="5">
        <v>1.01325</v>
      </c>
      <c r="C9" s="5"/>
      <c r="D9" s="5"/>
      <c r="E9" s="4">
        <v>0.10299999999999999</v>
      </c>
      <c r="F9" s="4">
        <f t="shared" si="0"/>
        <v>0.89700000000000002</v>
      </c>
      <c r="G9" t="s">
        <v>10</v>
      </c>
    </row>
    <row r="10" spans="1:7" x14ac:dyDescent="0.25">
      <c r="A10" s="2">
        <v>63.7</v>
      </c>
      <c r="B10" s="5">
        <v>1.5198750000000001</v>
      </c>
      <c r="C10" s="5"/>
      <c r="D10" s="5"/>
      <c r="E10" s="4">
        <v>1.83E-2</v>
      </c>
      <c r="F10" s="4">
        <f t="shared" si="0"/>
        <v>0.98170000000000002</v>
      </c>
      <c r="G10" t="s">
        <v>10</v>
      </c>
    </row>
    <row r="11" spans="1:7" x14ac:dyDescent="0.25">
      <c r="A11" s="2">
        <v>68.099999999999994</v>
      </c>
      <c r="B11" s="5">
        <v>1.5198750000000001</v>
      </c>
      <c r="C11" s="5"/>
      <c r="D11" s="5"/>
      <c r="E11" s="4">
        <v>3.8600000000000002E-2</v>
      </c>
      <c r="F11" s="4">
        <f t="shared" si="0"/>
        <v>0.96140000000000003</v>
      </c>
      <c r="G11" t="s">
        <v>10</v>
      </c>
    </row>
    <row r="12" spans="1:7" x14ac:dyDescent="0.25">
      <c r="A12" s="2">
        <v>72.400000000000006</v>
      </c>
      <c r="B12" s="5">
        <v>1.5198750000000001</v>
      </c>
      <c r="C12" s="5"/>
      <c r="D12" s="5"/>
      <c r="E12" s="4">
        <v>6.0499999999999998E-2</v>
      </c>
      <c r="F12" s="4">
        <f t="shared" si="0"/>
        <v>0.9395</v>
      </c>
      <c r="G12" t="s">
        <v>10</v>
      </c>
    </row>
    <row r="13" spans="1:7" x14ac:dyDescent="0.25">
      <c r="A13" s="2">
        <v>74.7</v>
      </c>
      <c r="B13" s="5">
        <v>1.5198750000000001</v>
      </c>
      <c r="C13" s="5"/>
      <c r="D13" s="5"/>
      <c r="E13" s="4">
        <v>7.8700000000000006E-2</v>
      </c>
      <c r="F13" s="4">
        <f t="shared" si="0"/>
        <v>0.92130000000000001</v>
      </c>
      <c r="G13" t="s">
        <v>10</v>
      </c>
    </row>
    <row r="14" spans="1:7" x14ac:dyDescent="0.25">
      <c r="A14" s="2">
        <v>63.1</v>
      </c>
      <c r="B14" s="5">
        <v>2.5331250000000001</v>
      </c>
      <c r="C14" s="5"/>
      <c r="D14" s="5"/>
      <c r="E14" s="4">
        <v>1.3100000000000001E-2</v>
      </c>
      <c r="F14" s="4">
        <f t="shared" si="0"/>
        <v>0.9869</v>
      </c>
      <c r="G14" t="s">
        <v>10</v>
      </c>
    </row>
    <row r="15" spans="1:7" x14ac:dyDescent="0.25">
      <c r="A15" s="2">
        <v>68.099999999999994</v>
      </c>
      <c r="B15" s="5">
        <v>2.5331250000000001</v>
      </c>
      <c r="C15" s="5"/>
      <c r="D15" s="5"/>
      <c r="E15" s="4">
        <v>2.75E-2</v>
      </c>
      <c r="F15" s="4">
        <f t="shared" si="0"/>
        <v>0.97250000000000003</v>
      </c>
      <c r="G15" t="s">
        <v>10</v>
      </c>
    </row>
    <row r="16" spans="1:7" x14ac:dyDescent="0.25">
      <c r="A16" s="2">
        <v>72.5</v>
      </c>
      <c r="B16" s="5">
        <v>2.5331250000000001</v>
      </c>
      <c r="C16" s="5"/>
      <c r="D16" s="5"/>
      <c r="E16" s="4">
        <v>4.6199999999999998E-2</v>
      </c>
      <c r="F16" s="4">
        <f t="shared" si="0"/>
        <v>0.95379999999999998</v>
      </c>
      <c r="G16" t="s">
        <v>10</v>
      </c>
    </row>
    <row r="17" spans="1:7" x14ac:dyDescent="0.25">
      <c r="A17" s="2">
        <v>74.900000000000006</v>
      </c>
      <c r="B17" s="5">
        <v>2.5331250000000001</v>
      </c>
      <c r="C17" s="5"/>
      <c r="D17" s="5"/>
      <c r="E17" s="4">
        <v>5.1499999999999997E-2</v>
      </c>
      <c r="F17" s="4">
        <f t="shared" si="0"/>
        <v>0.94850000000000001</v>
      </c>
      <c r="G17" t="s">
        <v>10</v>
      </c>
    </row>
    <row r="18" spans="1:7" x14ac:dyDescent="0.25">
      <c r="A18" s="2">
        <v>63.15</v>
      </c>
      <c r="B18" s="5">
        <v>3.5463749999999998</v>
      </c>
      <c r="C18" s="5"/>
      <c r="D18" s="5"/>
      <c r="E18" s="4">
        <v>1.2500000000000001E-2</v>
      </c>
      <c r="F18" s="4">
        <f t="shared" si="0"/>
        <v>0.98750000000000004</v>
      </c>
      <c r="G18" t="s">
        <v>10</v>
      </c>
    </row>
    <row r="19" spans="1:7" x14ac:dyDescent="0.25">
      <c r="A19" s="2">
        <v>68.25</v>
      </c>
      <c r="B19" s="5">
        <v>3.5463749999999998</v>
      </c>
      <c r="C19" s="5"/>
      <c r="D19" s="5"/>
      <c r="E19" s="4">
        <v>2.6700000000000002E-2</v>
      </c>
      <c r="F19" s="4">
        <f t="shared" si="0"/>
        <v>0.97330000000000005</v>
      </c>
      <c r="G19" t="s">
        <v>10</v>
      </c>
    </row>
    <row r="20" spans="1:7" x14ac:dyDescent="0.25">
      <c r="A20" s="2">
        <v>72.5</v>
      </c>
      <c r="B20" s="5">
        <v>3.5463749999999998</v>
      </c>
      <c r="C20" s="5"/>
      <c r="D20" s="5"/>
      <c r="E20" s="4">
        <v>4.2900000000000001E-2</v>
      </c>
      <c r="F20" s="4">
        <f t="shared" si="0"/>
        <v>0.95709999999999995</v>
      </c>
      <c r="G20" t="s">
        <v>10</v>
      </c>
    </row>
    <row r="21" spans="1:7" x14ac:dyDescent="0.25">
      <c r="A21" s="2">
        <v>75.2</v>
      </c>
      <c r="B21" s="5">
        <v>3.5463749999999998</v>
      </c>
      <c r="C21" s="5"/>
      <c r="D21" s="5"/>
      <c r="E21" s="4">
        <v>5.3499999999999999E-2</v>
      </c>
      <c r="F21" s="4">
        <f t="shared" si="0"/>
        <v>0.94650000000000001</v>
      </c>
      <c r="G21" t="s">
        <v>10</v>
      </c>
    </row>
    <row r="22" spans="1:7" x14ac:dyDescent="0.25">
      <c r="A22" s="2">
        <v>63</v>
      </c>
      <c r="B22" s="5">
        <v>4.5596249999999996</v>
      </c>
      <c r="C22" s="5"/>
      <c r="D22" s="5"/>
      <c r="E22" s="4">
        <v>1.3899999999999999E-2</v>
      </c>
      <c r="F22" s="4">
        <f t="shared" si="0"/>
        <v>0.98609999999999998</v>
      </c>
      <c r="G22" t="s">
        <v>10</v>
      </c>
    </row>
    <row r="23" spans="1:7" x14ac:dyDescent="0.25">
      <c r="A23" s="2">
        <v>68.05</v>
      </c>
      <c r="B23" s="5">
        <v>4.5596249999999996</v>
      </c>
      <c r="C23" s="5"/>
      <c r="D23" s="5"/>
      <c r="E23" s="4">
        <v>2.76E-2</v>
      </c>
      <c r="F23" s="4">
        <f t="shared" si="0"/>
        <v>0.97240000000000004</v>
      </c>
      <c r="G23" t="s">
        <v>10</v>
      </c>
    </row>
    <row r="24" spans="1:7" x14ac:dyDescent="0.25">
      <c r="A24" s="2">
        <v>72.5</v>
      </c>
      <c r="B24" s="5">
        <v>4.5596249999999996</v>
      </c>
      <c r="C24" s="5"/>
      <c r="D24" s="5"/>
      <c r="E24" s="4">
        <v>4.3700000000000003E-2</v>
      </c>
      <c r="F24" s="4">
        <f t="shared" si="0"/>
        <v>0.95630000000000004</v>
      </c>
      <c r="G24" t="s">
        <v>10</v>
      </c>
    </row>
    <row r="25" spans="1:7" x14ac:dyDescent="0.25">
      <c r="A25" s="10">
        <v>75</v>
      </c>
      <c r="B25" s="6">
        <v>4.5596249999999996</v>
      </c>
      <c r="C25" s="6"/>
      <c r="D25" s="6"/>
      <c r="E25" s="9">
        <v>5.33E-2</v>
      </c>
      <c r="F25" s="9">
        <f t="shared" si="0"/>
        <v>0.94669999999999999</v>
      </c>
      <c r="G2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0FD8-3ACC-4930-BCA3-C66D87D23285}">
  <dimension ref="A1:G18"/>
  <sheetViews>
    <sheetView workbookViewId="0">
      <selection activeCell="G28" sqref="G28"/>
    </sheetView>
  </sheetViews>
  <sheetFormatPr defaultRowHeight="15" x14ac:dyDescent="0.25"/>
  <cols>
    <col min="7" max="7" width="22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5">
        <f>-195.8+273.15</f>
        <v>77.349999999999966</v>
      </c>
      <c r="B2" s="3">
        <v>4.7116125000000002</v>
      </c>
      <c r="C2" s="4">
        <f>1-D2</f>
        <v>0.88200000000000001</v>
      </c>
      <c r="D2" s="4">
        <v>0.11799999999999999</v>
      </c>
      <c r="E2" s="4">
        <f>1-F2</f>
        <v>5.8000000000000052E-2</v>
      </c>
      <c r="F2" s="4">
        <v>0.94199999999999995</v>
      </c>
      <c r="G2" t="s">
        <v>9</v>
      </c>
    </row>
    <row r="3" spans="1:7" x14ac:dyDescent="0.25">
      <c r="A3" s="5">
        <f t="shared" ref="A3:A9" si="0">-195.8+273.15</f>
        <v>77.349999999999966</v>
      </c>
      <c r="B3" s="3">
        <v>7.0927499999999997</v>
      </c>
      <c r="C3" s="4">
        <f t="shared" ref="C3:C18" si="1">1-D3</f>
        <v>0.82699999999999996</v>
      </c>
      <c r="D3" s="4">
        <v>0.17299999999999999</v>
      </c>
      <c r="E3" s="4">
        <f t="shared" ref="E3:E18" si="2">1-F3</f>
        <v>6.899999999999995E-2</v>
      </c>
      <c r="F3" s="4">
        <v>0.93100000000000005</v>
      </c>
      <c r="G3" t="s">
        <v>9</v>
      </c>
    </row>
    <row r="4" spans="1:7" x14ac:dyDescent="0.25">
      <c r="A4" s="5">
        <f t="shared" si="0"/>
        <v>77.349999999999966</v>
      </c>
      <c r="B4" s="3">
        <v>8.1059999999999999</v>
      </c>
      <c r="C4" s="4">
        <f t="shared" si="1"/>
        <v>0.84199999999999997</v>
      </c>
      <c r="D4" s="4">
        <v>0.158</v>
      </c>
      <c r="E4" s="4">
        <f t="shared" si="2"/>
        <v>7.6999999999999957E-2</v>
      </c>
      <c r="F4" s="4">
        <v>0.92300000000000004</v>
      </c>
      <c r="G4" t="s">
        <v>9</v>
      </c>
    </row>
    <row r="5" spans="1:7" x14ac:dyDescent="0.25">
      <c r="A5" s="5">
        <f t="shared" si="0"/>
        <v>77.349999999999966</v>
      </c>
      <c r="B5" s="3">
        <v>12.361649999999999</v>
      </c>
      <c r="C5" s="4">
        <f t="shared" si="1"/>
        <v>0.71700000000000008</v>
      </c>
      <c r="D5" s="4">
        <v>0.28299999999999997</v>
      </c>
      <c r="E5" s="4">
        <f t="shared" si="2"/>
        <v>0.11199999999999999</v>
      </c>
      <c r="F5" s="4">
        <v>0.88800000000000001</v>
      </c>
      <c r="G5" t="s">
        <v>9</v>
      </c>
    </row>
    <row r="6" spans="1:7" x14ac:dyDescent="0.25">
      <c r="A6" s="5">
        <f t="shared" si="0"/>
        <v>77.349999999999966</v>
      </c>
      <c r="B6" s="3">
        <v>13.678875</v>
      </c>
      <c r="C6" s="4">
        <f t="shared" si="1"/>
        <v>0.68199999999999994</v>
      </c>
      <c r="D6" s="4">
        <v>0.318</v>
      </c>
      <c r="E6" s="4">
        <f t="shared" si="2"/>
        <v>0.13100000000000001</v>
      </c>
      <c r="F6" s="4">
        <v>0.86899999999999999</v>
      </c>
      <c r="G6" t="s">
        <v>9</v>
      </c>
    </row>
    <row r="7" spans="1:7" x14ac:dyDescent="0.25">
      <c r="A7" s="5">
        <f t="shared" si="0"/>
        <v>77.349999999999966</v>
      </c>
      <c r="B7" s="3">
        <v>15.908025</v>
      </c>
      <c r="C7" s="4">
        <f t="shared" si="1"/>
        <v>0.65100000000000002</v>
      </c>
      <c r="D7" s="4">
        <v>0.34899999999999998</v>
      </c>
      <c r="E7" s="4">
        <f t="shared" si="2"/>
        <v>0.15800000000000003</v>
      </c>
      <c r="F7" s="4">
        <v>0.84199999999999997</v>
      </c>
      <c r="G7" t="s">
        <v>9</v>
      </c>
    </row>
    <row r="8" spans="1:7" x14ac:dyDescent="0.25">
      <c r="A8" s="5">
        <f t="shared" si="0"/>
        <v>77.349999999999966</v>
      </c>
      <c r="B8" s="3">
        <v>16.819949999999999</v>
      </c>
      <c r="C8" s="4">
        <f t="shared" si="1"/>
        <v>0.58200000000000007</v>
      </c>
      <c r="D8" s="4">
        <v>0.41799999999999998</v>
      </c>
      <c r="E8" s="4">
        <f t="shared" si="2"/>
        <v>0.17300000000000004</v>
      </c>
      <c r="F8" s="4">
        <v>0.82699999999999996</v>
      </c>
      <c r="G8" t="s">
        <v>9</v>
      </c>
    </row>
    <row r="9" spans="1:7" x14ac:dyDescent="0.25">
      <c r="A9" s="5">
        <f t="shared" si="0"/>
        <v>77.349999999999966</v>
      </c>
      <c r="B9" s="3">
        <v>19.049099999999999</v>
      </c>
      <c r="C9" s="4">
        <f t="shared" si="1"/>
        <v>0.53499999999999992</v>
      </c>
      <c r="D9" s="4">
        <v>0.46500000000000002</v>
      </c>
      <c r="E9" s="4">
        <f t="shared" si="2"/>
        <v>0.253</v>
      </c>
      <c r="F9" s="4">
        <v>0.747</v>
      </c>
      <c r="G9" t="s">
        <v>9</v>
      </c>
    </row>
    <row r="10" spans="1:7" x14ac:dyDescent="0.25">
      <c r="A10" s="5">
        <f>-185+273.15</f>
        <v>88.149999999999977</v>
      </c>
      <c r="B10" s="3">
        <v>1.6718625</v>
      </c>
      <c r="C10" s="4">
        <f t="shared" si="1"/>
        <v>0.95099999999999996</v>
      </c>
      <c r="D10" s="4">
        <v>4.9000000000000002E-2</v>
      </c>
      <c r="E10" s="4">
        <f t="shared" si="2"/>
        <v>0.23499999999999999</v>
      </c>
      <c r="F10" s="4">
        <v>0.76500000000000001</v>
      </c>
      <c r="G10" t="s">
        <v>9</v>
      </c>
    </row>
    <row r="11" spans="1:7" x14ac:dyDescent="0.25">
      <c r="A11" s="5">
        <f t="shared" ref="A11:A18" si="3">-185+273.15</f>
        <v>88.149999999999977</v>
      </c>
      <c r="B11" s="3">
        <v>3.1410749999999998</v>
      </c>
      <c r="C11" s="4">
        <f t="shared" si="1"/>
        <v>0.92400000000000004</v>
      </c>
      <c r="D11" s="4">
        <v>7.5999999999999998E-2</v>
      </c>
      <c r="E11" s="4">
        <f t="shared" si="2"/>
        <v>0.15300000000000002</v>
      </c>
      <c r="F11" s="4">
        <v>0.84699999999999998</v>
      </c>
      <c r="G11" t="s">
        <v>9</v>
      </c>
    </row>
    <row r="12" spans="1:7" x14ac:dyDescent="0.25">
      <c r="A12" s="5">
        <f t="shared" si="3"/>
        <v>88.149999999999977</v>
      </c>
      <c r="B12" s="3">
        <v>5.0662500000000001</v>
      </c>
      <c r="C12" s="4">
        <f t="shared" si="1"/>
        <v>0.86599999999999999</v>
      </c>
      <c r="D12" s="4">
        <v>0.13400000000000001</v>
      </c>
      <c r="E12" s="4">
        <f t="shared" si="2"/>
        <v>0.13400000000000001</v>
      </c>
      <c r="F12" s="4">
        <v>0.86599999999999999</v>
      </c>
      <c r="G12" t="s">
        <v>9</v>
      </c>
    </row>
    <row r="13" spans="1:7" x14ac:dyDescent="0.25">
      <c r="A13" s="5">
        <f t="shared" si="3"/>
        <v>88.149999999999977</v>
      </c>
      <c r="B13" s="3">
        <v>7.8425550000000008</v>
      </c>
      <c r="C13" s="4">
        <f t="shared" si="1"/>
        <v>0.79</v>
      </c>
      <c r="D13" s="4">
        <v>0.21</v>
      </c>
      <c r="E13" s="4">
        <f t="shared" si="2"/>
        <v>0.14700000000000002</v>
      </c>
      <c r="F13" s="4">
        <v>0.85299999999999998</v>
      </c>
      <c r="G13" t="s">
        <v>9</v>
      </c>
    </row>
    <row r="14" spans="1:7" x14ac:dyDescent="0.25">
      <c r="A14" s="5">
        <f t="shared" si="3"/>
        <v>88.149999999999977</v>
      </c>
      <c r="B14" s="3">
        <v>9.4637550000000008</v>
      </c>
      <c r="C14" s="4">
        <f t="shared" si="1"/>
        <v>0.76500000000000001</v>
      </c>
      <c r="D14" s="4">
        <v>0.23499999999999999</v>
      </c>
      <c r="E14" s="4">
        <f t="shared" si="2"/>
        <v>0.15800000000000003</v>
      </c>
      <c r="F14" s="4">
        <v>0.84199999999999997</v>
      </c>
      <c r="G14" t="s">
        <v>9</v>
      </c>
    </row>
    <row r="15" spans="1:7" x14ac:dyDescent="0.25">
      <c r="A15" s="5">
        <f t="shared" si="3"/>
        <v>88.149999999999977</v>
      </c>
      <c r="B15" s="3">
        <v>10.395944999999999</v>
      </c>
      <c r="C15" s="4">
        <f t="shared" si="1"/>
        <v>0.72899999999999998</v>
      </c>
      <c r="D15" s="4">
        <v>0.27100000000000002</v>
      </c>
      <c r="E15" s="4">
        <f t="shared" si="2"/>
        <v>0.19199999999999995</v>
      </c>
      <c r="F15" s="4">
        <v>0.80800000000000005</v>
      </c>
      <c r="G15" t="s">
        <v>9</v>
      </c>
    </row>
    <row r="16" spans="1:7" x14ac:dyDescent="0.25">
      <c r="A16" s="5">
        <f t="shared" si="3"/>
        <v>88.149999999999977</v>
      </c>
      <c r="B16" s="3">
        <v>12.067807500000001</v>
      </c>
      <c r="C16" s="4">
        <f t="shared" si="1"/>
        <v>0.64600000000000002</v>
      </c>
      <c r="D16" s="4">
        <v>0.35399999999999998</v>
      </c>
      <c r="E16" s="4">
        <f t="shared" si="2"/>
        <v>0.21899999999999997</v>
      </c>
      <c r="F16" s="4">
        <v>0.78100000000000003</v>
      </c>
      <c r="G16" t="s">
        <v>9</v>
      </c>
    </row>
    <row r="17" spans="1:7" x14ac:dyDescent="0.25">
      <c r="A17" s="5">
        <f t="shared" si="3"/>
        <v>88.149999999999977</v>
      </c>
      <c r="B17" s="3">
        <v>13.2837075</v>
      </c>
      <c r="C17" s="4">
        <f t="shared" si="1"/>
        <v>0.61799999999999999</v>
      </c>
      <c r="D17" s="4">
        <v>0.38200000000000001</v>
      </c>
      <c r="E17" s="4">
        <f t="shared" si="2"/>
        <v>0.251</v>
      </c>
      <c r="F17" s="4">
        <v>0.749</v>
      </c>
      <c r="G17" t="s">
        <v>9</v>
      </c>
    </row>
    <row r="18" spans="1:7" x14ac:dyDescent="0.25">
      <c r="A18" s="6">
        <f t="shared" si="3"/>
        <v>88.149999999999977</v>
      </c>
      <c r="B18" s="8">
        <v>15.887760000000002</v>
      </c>
      <c r="C18" s="9">
        <f t="shared" si="1"/>
        <v>0.55000000000000004</v>
      </c>
      <c r="D18" s="9">
        <v>0.45</v>
      </c>
      <c r="E18" s="9">
        <f t="shared" si="2"/>
        <v>0.38200000000000001</v>
      </c>
      <c r="F18" s="9">
        <v>0.61799999999999999</v>
      </c>
      <c r="G18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CB1A-75B3-4FD1-96F4-116111E0C53D}">
  <dimension ref="A1:G78"/>
  <sheetViews>
    <sheetView topLeftCell="A44" workbookViewId="0">
      <selection activeCell="I75" sqref="I75"/>
    </sheetView>
  </sheetViews>
  <sheetFormatPr defaultRowHeight="15" x14ac:dyDescent="0.25"/>
  <cols>
    <col min="7" max="7" width="21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5">
        <v>63.19</v>
      </c>
      <c r="B2" s="5">
        <v>19.170000000000002</v>
      </c>
      <c r="C2" s="5">
        <f>1-D2</f>
        <v>0.79899999999999993</v>
      </c>
      <c r="D2" s="5">
        <v>0.20100000000000001</v>
      </c>
      <c r="E2" s="5"/>
      <c r="F2" s="5"/>
      <c r="G2" t="s">
        <v>8</v>
      </c>
    </row>
    <row r="3" spans="1:7" x14ac:dyDescent="0.25">
      <c r="A3" s="5">
        <v>63.19</v>
      </c>
      <c r="B3" s="5">
        <v>20.82</v>
      </c>
      <c r="C3" s="5">
        <f t="shared" ref="C3:C66" si="0">1-D3</f>
        <v>0.78600000000000003</v>
      </c>
      <c r="D3" s="5">
        <v>0.214</v>
      </c>
      <c r="E3" s="5">
        <f t="shared" ref="E3:E66" si="1">1-F3</f>
        <v>8.3999999999999964E-2</v>
      </c>
      <c r="F3" s="5">
        <v>0.91600000000000004</v>
      </c>
      <c r="G3" t="s">
        <v>8</v>
      </c>
    </row>
    <row r="4" spans="1:7" x14ac:dyDescent="0.25">
      <c r="A4" s="5">
        <v>63.19</v>
      </c>
      <c r="B4" s="5">
        <v>25.3</v>
      </c>
      <c r="C4" s="5">
        <f t="shared" si="0"/>
        <v>0.75900000000000001</v>
      </c>
      <c r="D4" s="5">
        <v>0.24099999999999999</v>
      </c>
      <c r="E4" s="5">
        <f t="shared" si="1"/>
        <v>0.10199999999999998</v>
      </c>
      <c r="F4" s="5">
        <v>0.89800000000000002</v>
      </c>
      <c r="G4" t="s">
        <v>8</v>
      </c>
    </row>
    <row r="5" spans="1:7" x14ac:dyDescent="0.25">
      <c r="A5" s="5">
        <v>63.19</v>
      </c>
      <c r="B5" s="5">
        <v>27.85</v>
      </c>
      <c r="C5" s="5">
        <f t="shared" si="0"/>
        <v>0.745</v>
      </c>
      <c r="D5" s="5">
        <v>0.255</v>
      </c>
      <c r="E5" s="5">
        <f t="shared" si="1"/>
        <v>0.10999999999999999</v>
      </c>
      <c r="F5" s="5">
        <v>0.89</v>
      </c>
      <c r="G5" t="s">
        <v>8</v>
      </c>
    </row>
    <row r="6" spans="1:7" x14ac:dyDescent="0.25">
      <c r="A6" s="5">
        <v>63.19</v>
      </c>
      <c r="B6" s="5">
        <v>30.61</v>
      </c>
      <c r="C6" s="5">
        <f t="shared" si="0"/>
        <v>0.72399999999999998</v>
      </c>
      <c r="D6" s="5">
        <v>0.27600000000000002</v>
      </c>
      <c r="E6" s="5">
        <f t="shared" si="1"/>
        <v>0.11599999999999999</v>
      </c>
      <c r="F6" s="5">
        <v>0.88400000000000001</v>
      </c>
      <c r="G6" t="s">
        <v>8</v>
      </c>
    </row>
    <row r="7" spans="1:7" x14ac:dyDescent="0.25">
      <c r="A7" s="5">
        <v>63.19</v>
      </c>
      <c r="B7" s="5">
        <v>33.57</v>
      </c>
      <c r="C7" s="5">
        <f t="shared" si="0"/>
        <v>0.70599999999999996</v>
      </c>
      <c r="D7" s="5">
        <v>0.29399999999999998</v>
      </c>
      <c r="E7" s="5">
        <f t="shared" si="1"/>
        <v>0.123</v>
      </c>
      <c r="F7" s="5">
        <v>0.877</v>
      </c>
      <c r="G7" t="s">
        <v>8</v>
      </c>
    </row>
    <row r="8" spans="1:7" x14ac:dyDescent="0.25">
      <c r="A8" s="5">
        <v>63.19</v>
      </c>
      <c r="B8" s="5">
        <v>35.99</v>
      </c>
      <c r="C8" s="5">
        <f t="shared" si="0"/>
        <v>0.70199999999999996</v>
      </c>
      <c r="D8" s="5">
        <v>0.29799999999999999</v>
      </c>
      <c r="E8" s="5">
        <f t="shared" si="1"/>
        <v>0.13100000000000001</v>
      </c>
      <c r="F8" s="5">
        <v>0.86899999999999999</v>
      </c>
      <c r="G8" t="s">
        <v>8</v>
      </c>
    </row>
    <row r="9" spans="1:7" x14ac:dyDescent="0.25">
      <c r="A9" s="5">
        <v>63.19</v>
      </c>
      <c r="B9" s="5">
        <v>39.020000000000003</v>
      </c>
      <c r="C9" s="5">
        <f t="shared" si="0"/>
        <v>0.67500000000000004</v>
      </c>
      <c r="D9" s="5">
        <v>0.32500000000000001</v>
      </c>
      <c r="E9" s="5">
        <f t="shared" si="1"/>
        <v>0.14700000000000002</v>
      </c>
      <c r="F9" s="5">
        <v>0.85299999999999998</v>
      </c>
      <c r="G9" t="s">
        <v>8</v>
      </c>
    </row>
    <row r="10" spans="1:7" x14ac:dyDescent="0.25">
      <c r="A10" s="5">
        <v>63.19</v>
      </c>
      <c r="B10" s="5">
        <v>42.33</v>
      </c>
      <c r="C10" s="5">
        <f t="shared" si="0"/>
        <v>0.64800000000000002</v>
      </c>
      <c r="D10" s="5">
        <v>0.35199999999999998</v>
      </c>
      <c r="E10" s="5">
        <f t="shared" si="1"/>
        <v>0.16700000000000004</v>
      </c>
      <c r="F10" s="5">
        <v>0.83299999999999996</v>
      </c>
      <c r="G10" t="s">
        <v>8</v>
      </c>
    </row>
    <row r="11" spans="1:7" x14ac:dyDescent="0.25">
      <c r="A11" s="5">
        <v>63.19</v>
      </c>
      <c r="B11" s="5">
        <v>46.4</v>
      </c>
      <c r="C11" s="5">
        <f t="shared" si="0"/>
        <v>0.628</v>
      </c>
      <c r="D11" s="5">
        <v>0.372</v>
      </c>
      <c r="E11" s="5">
        <f t="shared" si="1"/>
        <v>0.18500000000000005</v>
      </c>
      <c r="F11" s="5">
        <v>0.81499999999999995</v>
      </c>
      <c r="G11" t="s">
        <v>8</v>
      </c>
    </row>
    <row r="12" spans="1:7" x14ac:dyDescent="0.25">
      <c r="A12" s="5">
        <v>63.19</v>
      </c>
      <c r="B12" s="5">
        <v>49.64</v>
      </c>
      <c r="C12" s="5">
        <f t="shared" si="0"/>
        <v>0.59299999999999997</v>
      </c>
      <c r="D12" s="5">
        <v>0.40699999999999997</v>
      </c>
      <c r="E12" s="5">
        <f t="shared" si="1"/>
        <v>0.21499999999999997</v>
      </c>
      <c r="F12" s="5">
        <v>0.78500000000000003</v>
      </c>
      <c r="G12" t="s">
        <v>8</v>
      </c>
    </row>
    <row r="13" spans="1:7" x14ac:dyDescent="0.25">
      <c r="A13" s="5">
        <v>63.19</v>
      </c>
      <c r="B13" s="5">
        <v>52.05</v>
      </c>
      <c r="C13" s="5">
        <f t="shared" si="0"/>
        <v>0.56600000000000006</v>
      </c>
      <c r="D13" s="5">
        <v>0.434</v>
      </c>
      <c r="E13" s="5">
        <f t="shared" si="1"/>
        <v>0.22899999999999998</v>
      </c>
      <c r="F13" s="5">
        <v>0.77100000000000002</v>
      </c>
      <c r="G13" t="s">
        <v>8</v>
      </c>
    </row>
    <row r="14" spans="1:7" x14ac:dyDescent="0.25">
      <c r="A14" s="5">
        <v>63.19</v>
      </c>
      <c r="B14" s="5">
        <v>55.36</v>
      </c>
      <c r="C14" s="5">
        <f t="shared" si="0"/>
        <v>0.52900000000000003</v>
      </c>
      <c r="D14" s="5">
        <v>0.47099999999999997</v>
      </c>
      <c r="E14" s="5">
        <f t="shared" si="1"/>
        <v>0.26500000000000001</v>
      </c>
      <c r="F14" s="5">
        <v>0.73499999999999999</v>
      </c>
      <c r="G14" t="s">
        <v>8</v>
      </c>
    </row>
    <row r="15" spans="1:7" x14ac:dyDescent="0.25">
      <c r="A15" s="5">
        <v>63.19</v>
      </c>
      <c r="B15" s="5">
        <v>57.22</v>
      </c>
      <c r="C15" s="5">
        <f t="shared" si="0"/>
        <v>0.42400000000000004</v>
      </c>
      <c r="D15" s="5">
        <v>0.57599999999999996</v>
      </c>
      <c r="E15" s="5">
        <f t="shared" si="1"/>
        <v>0.30400000000000005</v>
      </c>
      <c r="F15" s="5">
        <v>0.69599999999999995</v>
      </c>
      <c r="G15" t="s">
        <v>8</v>
      </c>
    </row>
    <row r="16" spans="1:7" x14ac:dyDescent="0.25">
      <c r="A16" s="5">
        <v>70.349999999999994</v>
      </c>
      <c r="B16" s="5">
        <v>1.45</v>
      </c>
      <c r="C16" s="5">
        <f t="shared" si="0"/>
        <v>0.96799999999999997</v>
      </c>
      <c r="D16" s="5">
        <v>3.2000000000000001E-2</v>
      </c>
      <c r="E16" s="5">
        <f t="shared" si="1"/>
        <v>3.9000000000000035E-2</v>
      </c>
      <c r="F16" s="5">
        <v>0.96099999999999997</v>
      </c>
      <c r="G16" t="s">
        <v>8</v>
      </c>
    </row>
    <row r="17" spans="1:7" x14ac:dyDescent="0.25">
      <c r="A17" s="5">
        <v>70.349999999999994</v>
      </c>
      <c r="B17" s="5">
        <v>3.52</v>
      </c>
      <c r="C17" s="5">
        <f t="shared" si="0"/>
        <v>0.93199999999999994</v>
      </c>
      <c r="D17" s="5">
        <v>6.8000000000000005E-2</v>
      </c>
      <c r="E17" s="5">
        <f t="shared" si="1"/>
        <v>3.3000000000000029E-2</v>
      </c>
      <c r="F17" s="5">
        <v>0.96699999999999997</v>
      </c>
      <c r="G17" t="s">
        <v>8</v>
      </c>
    </row>
    <row r="18" spans="1:7" x14ac:dyDescent="0.25">
      <c r="A18" s="5">
        <v>70.349999999999994</v>
      </c>
      <c r="B18" s="5">
        <v>5.93</v>
      </c>
      <c r="C18" s="5">
        <f t="shared" si="0"/>
        <v>0.89500000000000002</v>
      </c>
      <c r="D18" s="5">
        <v>0.105</v>
      </c>
      <c r="E18" s="5">
        <f t="shared" si="1"/>
        <v>3.8000000000000034E-2</v>
      </c>
      <c r="F18" s="5">
        <v>0.96199999999999997</v>
      </c>
      <c r="G18" t="s">
        <v>8</v>
      </c>
    </row>
    <row r="19" spans="1:7" x14ac:dyDescent="0.25">
      <c r="A19" s="5">
        <v>70.349999999999994</v>
      </c>
      <c r="B19" s="5">
        <v>8.27</v>
      </c>
      <c r="C19" s="5">
        <f t="shared" si="0"/>
        <v>0.86199999999999999</v>
      </c>
      <c r="D19" s="5">
        <v>0.13800000000000001</v>
      </c>
      <c r="E19" s="5">
        <f t="shared" si="1"/>
        <v>4.6000000000000041E-2</v>
      </c>
      <c r="F19" s="5">
        <v>0.95399999999999996</v>
      </c>
      <c r="G19" t="s">
        <v>8</v>
      </c>
    </row>
    <row r="20" spans="1:7" x14ac:dyDescent="0.25">
      <c r="A20" s="5">
        <v>70.349999999999994</v>
      </c>
      <c r="B20" s="5">
        <v>12.13</v>
      </c>
      <c r="C20" s="5">
        <f t="shared" si="0"/>
        <v>0.80299999999999994</v>
      </c>
      <c r="D20" s="5">
        <v>0.19700000000000001</v>
      </c>
      <c r="E20" s="5">
        <f t="shared" si="1"/>
        <v>6.3999999999999946E-2</v>
      </c>
      <c r="F20" s="5">
        <v>0.93600000000000005</v>
      </c>
      <c r="G20" t="s">
        <v>8</v>
      </c>
    </row>
    <row r="21" spans="1:7" x14ac:dyDescent="0.25">
      <c r="A21" s="5">
        <v>70.349999999999994</v>
      </c>
      <c r="B21" s="5">
        <v>15.51</v>
      </c>
      <c r="C21" s="5">
        <f t="shared" si="0"/>
        <v>0.75800000000000001</v>
      </c>
      <c r="D21" s="5">
        <v>0.24199999999999999</v>
      </c>
      <c r="E21" s="5">
        <f t="shared" si="1"/>
        <v>0.10299999999999998</v>
      </c>
      <c r="F21" s="5">
        <v>0.89700000000000002</v>
      </c>
      <c r="G21" t="s">
        <v>8</v>
      </c>
    </row>
    <row r="22" spans="1:7" x14ac:dyDescent="0.25">
      <c r="A22" s="5">
        <v>70.349999999999994</v>
      </c>
      <c r="B22" s="5">
        <v>19.37</v>
      </c>
      <c r="C22" s="5">
        <f t="shared" si="0"/>
        <v>0.71</v>
      </c>
      <c r="D22" s="5">
        <v>0.28999999999999998</v>
      </c>
      <c r="E22" s="5">
        <f t="shared" si="1"/>
        <v>0.126</v>
      </c>
      <c r="F22" s="5">
        <v>0.874</v>
      </c>
      <c r="G22" t="s">
        <v>8</v>
      </c>
    </row>
    <row r="23" spans="1:7" x14ac:dyDescent="0.25">
      <c r="A23" s="5">
        <v>70.349999999999994</v>
      </c>
      <c r="B23" s="5">
        <v>24.68</v>
      </c>
      <c r="C23" s="5">
        <f t="shared" si="0"/>
        <v>0.61699999999999999</v>
      </c>
      <c r="D23" s="5">
        <v>0.38300000000000001</v>
      </c>
      <c r="E23" s="5">
        <f t="shared" si="1"/>
        <v>0.19199999999999995</v>
      </c>
      <c r="F23" s="5">
        <v>0.80800000000000005</v>
      </c>
      <c r="G23" t="s">
        <v>8</v>
      </c>
    </row>
    <row r="24" spans="1:7" x14ac:dyDescent="0.25">
      <c r="A24" s="5">
        <v>70.349999999999994</v>
      </c>
      <c r="B24" s="5">
        <v>26.41</v>
      </c>
      <c r="C24" s="5">
        <f t="shared" si="0"/>
        <v>0.58600000000000008</v>
      </c>
      <c r="D24" s="5">
        <v>0.41399999999999998</v>
      </c>
      <c r="E24" s="5">
        <f t="shared" si="1"/>
        <v>0.21699999999999997</v>
      </c>
      <c r="F24" s="5">
        <v>0.78300000000000003</v>
      </c>
      <c r="G24" t="s">
        <v>8</v>
      </c>
    </row>
    <row r="25" spans="1:7" x14ac:dyDescent="0.25">
      <c r="A25" s="5">
        <v>70.349999999999994</v>
      </c>
      <c r="B25" s="5">
        <v>27.44</v>
      </c>
      <c r="C25" s="5">
        <f t="shared" si="0"/>
        <v>0.55299999999999994</v>
      </c>
      <c r="D25" s="5">
        <v>0.44700000000000001</v>
      </c>
      <c r="E25" s="5">
        <f t="shared" si="1"/>
        <v>0.22899999999999998</v>
      </c>
      <c r="F25" s="5">
        <v>0.77100000000000002</v>
      </c>
      <c r="G25" t="s">
        <v>8</v>
      </c>
    </row>
    <row r="26" spans="1:7" x14ac:dyDescent="0.25">
      <c r="A26" s="5">
        <v>70.349999999999994</v>
      </c>
      <c r="B26" s="5">
        <v>28.68</v>
      </c>
      <c r="C26" s="5">
        <f t="shared" si="0"/>
        <v>0.51300000000000001</v>
      </c>
      <c r="D26" s="5">
        <v>0.48699999999999999</v>
      </c>
      <c r="E26" s="5">
        <f t="shared" si="1"/>
        <v>0.27500000000000002</v>
      </c>
      <c r="F26" s="5">
        <v>0.72499999999999998</v>
      </c>
      <c r="G26" t="s">
        <v>8</v>
      </c>
    </row>
    <row r="27" spans="1:7" x14ac:dyDescent="0.25">
      <c r="A27" s="5">
        <v>70.349999999999994</v>
      </c>
      <c r="B27" s="5">
        <v>29.3</v>
      </c>
      <c r="C27" s="5">
        <f t="shared" si="0"/>
        <v>0.46399999999999997</v>
      </c>
      <c r="D27" s="5">
        <v>0.53600000000000003</v>
      </c>
      <c r="E27" s="5">
        <f t="shared" si="1"/>
        <v>0.31000000000000005</v>
      </c>
      <c r="F27" s="5">
        <v>0.69</v>
      </c>
      <c r="G27" t="s">
        <v>8</v>
      </c>
    </row>
    <row r="28" spans="1:7" x14ac:dyDescent="0.25">
      <c r="A28" s="5">
        <v>77.55</v>
      </c>
      <c r="B28" s="5">
        <v>1.03</v>
      </c>
      <c r="C28" s="5">
        <f t="shared" si="0"/>
        <v>0.97399999999999998</v>
      </c>
      <c r="D28" s="5">
        <v>2.5999999999999999E-2</v>
      </c>
      <c r="E28" s="5">
        <f t="shared" si="1"/>
        <v>0.11399999999999999</v>
      </c>
      <c r="F28" s="5">
        <v>0.88600000000000001</v>
      </c>
      <c r="G28" t="s">
        <v>8</v>
      </c>
    </row>
    <row r="29" spans="1:7" x14ac:dyDescent="0.25">
      <c r="A29" s="5">
        <v>77.55</v>
      </c>
      <c r="B29" s="5">
        <v>2.0699999999999998</v>
      </c>
      <c r="C29" s="5">
        <f t="shared" si="0"/>
        <v>0.95399999999999996</v>
      </c>
      <c r="D29" s="5">
        <v>4.5999999999999999E-2</v>
      </c>
      <c r="E29" s="5">
        <f t="shared" si="1"/>
        <v>8.5999999999999965E-2</v>
      </c>
      <c r="F29" s="5">
        <v>0.91400000000000003</v>
      </c>
      <c r="G29" t="s">
        <v>8</v>
      </c>
    </row>
    <row r="30" spans="1:7" x14ac:dyDescent="0.25">
      <c r="A30" s="5">
        <v>77.55</v>
      </c>
      <c r="B30" s="5">
        <v>3.44</v>
      </c>
      <c r="C30" s="5">
        <f t="shared" si="0"/>
        <v>0.93599999999999994</v>
      </c>
      <c r="D30" s="5">
        <v>6.4000000000000001E-2</v>
      </c>
      <c r="E30" s="5">
        <f t="shared" si="1"/>
        <v>6.899999999999995E-2</v>
      </c>
      <c r="F30" s="5">
        <v>0.93100000000000005</v>
      </c>
      <c r="G30" t="s">
        <v>8</v>
      </c>
    </row>
    <row r="31" spans="1:7" x14ac:dyDescent="0.25">
      <c r="A31" s="5">
        <v>77.55</v>
      </c>
      <c r="B31" s="5">
        <v>4.4800000000000004</v>
      </c>
      <c r="C31" s="5">
        <f t="shared" si="0"/>
        <v>0.91400000000000003</v>
      </c>
      <c r="D31" s="5">
        <v>8.5999999999999993E-2</v>
      </c>
      <c r="E31" s="5">
        <f t="shared" si="1"/>
        <v>7.1999999999999953E-2</v>
      </c>
      <c r="F31" s="5">
        <v>0.92800000000000005</v>
      </c>
      <c r="G31" t="s">
        <v>8</v>
      </c>
    </row>
    <row r="32" spans="1:7" x14ac:dyDescent="0.25">
      <c r="A32" s="5">
        <v>77.55</v>
      </c>
      <c r="B32" s="5">
        <v>7.03</v>
      </c>
      <c r="C32" s="5">
        <f t="shared" si="0"/>
        <v>0.86</v>
      </c>
      <c r="D32" s="5">
        <v>0.14000000000000001</v>
      </c>
      <c r="E32" s="5">
        <f t="shared" si="1"/>
        <v>7.8999999999999959E-2</v>
      </c>
      <c r="F32" s="5">
        <v>0.92100000000000004</v>
      </c>
      <c r="G32" t="s">
        <v>8</v>
      </c>
    </row>
    <row r="33" spans="1:7" x14ac:dyDescent="0.25">
      <c r="A33" s="5">
        <v>77.55</v>
      </c>
      <c r="B33" s="5">
        <v>8.6199999999999992</v>
      </c>
      <c r="C33" s="5">
        <f t="shared" si="0"/>
        <v>0.82699999999999996</v>
      </c>
      <c r="D33" s="5">
        <v>0.17299999999999999</v>
      </c>
      <c r="E33" s="5">
        <f t="shared" si="1"/>
        <v>8.0999999999999961E-2</v>
      </c>
      <c r="F33" s="5">
        <v>0.91900000000000004</v>
      </c>
      <c r="G33" t="s">
        <v>8</v>
      </c>
    </row>
    <row r="34" spans="1:7" x14ac:dyDescent="0.25">
      <c r="A34" s="5">
        <v>77.55</v>
      </c>
      <c r="B34" s="5">
        <v>10.48</v>
      </c>
      <c r="C34" s="5">
        <f t="shared" si="0"/>
        <v>0.78600000000000003</v>
      </c>
      <c r="D34" s="5">
        <v>0.214</v>
      </c>
      <c r="E34" s="5">
        <f t="shared" si="1"/>
        <v>8.1999999999999962E-2</v>
      </c>
      <c r="F34" s="5">
        <v>0.91800000000000004</v>
      </c>
      <c r="G34" t="s">
        <v>8</v>
      </c>
    </row>
    <row r="35" spans="1:7" x14ac:dyDescent="0.25">
      <c r="A35" s="5">
        <v>77.55</v>
      </c>
      <c r="B35" s="5">
        <v>13.79</v>
      </c>
      <c r="C35" s="5">
        <f t="shared" si="0"/>
        <v>0.71399999999999997</v>
      </c>
      <c r="D35" s="5">
        <v>0.28599999999999998</v>
      </c>
      <c r="E35" s="5">
        <f t="shared" si="1"/>
        <v>0.127</v>
      </c>
      <c r="F35" s="5">
        <v>0.873</v>
      </c>
      <c r="G35" t="s">
        <v>8</v>
      </c>
    </row>
    <row r="36" spans="1:7" x14ac:dyDescent="0.25">
      <c r="A36" s="5">
        <v>77.55</v>
      </c>
      <c r="B36" s="5">
        <v>14.55</v>
      </c>
      <c r="C36" s="5">
        <f t="shared" si="0"/>
        <v>0.69399999999999995</v>
      </c>
      <c r="D36" s="5">
        <v>0.30599999999999999</v>
      </c>
      <c r="E36" s="5">
        <f t="shared" si="1"/>
        <v>0.13800000000000001</v>
      </c>
      <c r="F36" s="5">
        <v>0.86199999999999999</v>
      </c>
      <c r="G36" t="s">
        <v>8</v>
      </c>
    </row>
    <row r="37" spans="1:7" x14ac:dyDescent="0.25">
      <c r="A37" s="5">
        <v>77.55</v>
      </c>
      <c r="B37" s="5">
        <v>15.58</v>
      </c>
      <c r="C37" s="5">
        <f t="shared" si="0"/>
        <v>0.66500000000000004</v>
      </c>
      <c r="D37" s="5">
        <v>0.33500000000000002</v>
      </c>
      <c r="E37" s="5">
        <f t="shared" si="1"/>
        <v>0.16000000000000003</v>
      </c>
      <c r="F37" s="5">
        <v>0.84</v>
      </c>
      <c r="G37" t="s">
        <v>8</v>
      </c>
    </row>
    <row r="38" spans="1:7" x14ac:dyDescent="0.25">
      <c r="A38" s="5">
        <v>77.55</v>
      </c>
      <c r="B38" s="5">
        <v>17.100000000000001</v>
      </c>
      <c r="C38" s="5">
        <f t="shared" si="0"/>
        <v>0.627</v>
      </c>
      <c r="D38" s="5">
        <v>0.373</v>
      </c>
      <c r="E38" s="5">
        <f t="shared" si="1"/>
        <v>0.18000000000000005</v>
      </c>
      <c r="F38" s="5">
        <v>0.82</v>
      </c>
      <c r="G38" t="s">
        <v>8</v>
      </c>
    </row>
    <row r="39" spans="1:7" x14ac:dyDescent="0.25">
      <c r="A39" s="5">
        <v>77.55</v>
      </c>
      <c r="B39" s="5">
        <v>18.62</v>
      </c>
      <c r="C39" s="5">
        <f t="shared" si="0"/>
        <v>0.56699999999999995</v>
      </c>
      <c r="D39" s="5">
        <v>0.433</v>
      </c>
      <c r="E39" s="5">
        <f t="shared" si="1"/>
        <v>0.23299999999999998</v>
      </c>
      <c r="F39" s="5">
        <v>0.76700000000000002</v>
      </c>
      <c r="G39" t="s">
        <v>8</v>
      </c>
    </row>
    <row r="40" spans="1:7" x14ac:dyDescent="0.25">
      <c r="A40" s="5">
        <v>77.55</v>
      </c>
      <c r="B40" s="5">
        <v>19.3</v>
      </c>
      <c r="C40" s="5">
        <f>1-D40</f>
        <v>0.52600000000000002</v>
      </c>
      <c r="D40" s="5">
        <v>0.47399999999999998</v>
      </c>
      <c r="E40" s="5"/>
      <c r="F40" s="5"/>
      <c r="G40" t="s">
        <v>8</v>
      </c>
    </row>
    <row r="41" spans="1:7" x14ac:dyDescent="0.25">
      <c r="A41" s="5">
        <v>77.55</v>
      </c>
      <c r="B41" s="5">
        <v>19.440000000000001</v>
      </c>
      <c r="C41" s="5"/>
      <c r="D41" s="5"/>
      <c r="E41" s="5">
        <f t="shared" si="1"/>
        <v>0.26900000000000002</v>
      </c>
      <c r="F41" s="5">
        <v>0.73099999999999998</v>
      </c>
      <c r="G41" t="s">
        <v>8</v>
      </c>
    </row>
    <row r="42" spans="1:7" x14ac:dyDescent="0.25">
      <c r="A42" s="5">
        <v>83.67</v>
      </c>
      <c r="B42" s="5">
        <v>11.27</v>
      </c>
      <c r="C42" s="5">
        <f t="shared" si="0"/>
        <v>0.72699999999999998</v>
      </c>
      <c r="D42" s="5">
        <v>0.27300000000000002</v>
      </c>
      <c r="E42" s="5">
        <f t="shared" si="1"/>
        <v>0.17400000000000004</v>
      </c>
      <c r="F42" s="5">
        <v>0.82599999999999996</v>
      </c>
      <c r="G42" t="s">
        <v>8</v>
      </c>
    </row>
    <row r="43" spans="1:7" x14ac:dyDescent="0.25">
      <c r="A43" s="5">
        <v>83.67</v>
      </c>
      <c r="B43" s="5">
        <v>12.72</v>
      </c>
      <c r="C43" s="5">
        <f t="shared" si="0"/>
        <v>0.67500000000000004</v>
      </c>
      <c r="D43" s="5">
        <v>0.32500000000000001</v>
      </c>
      <c r="E43" s="5">
        <f t="shared" si="1"/>
        <v>0.20199999999999996</v>
      </c>
      <c r="F43" s="5">
        <v>0.79800000000000004</v>
      </c>
      <c r="G43" t="s">
        <v>8</v>
      </c>
    </row>
    <row r="44" spans="1:7" x14ac:dyDescent="0.25">
      <c r="A44" s="5">
        <v>83.67</v>
      </c>
      <c r="B44" s="5">
        <v>13.86</v>
      </c>
      <c r="C44" s="5">
        <f t="shared" si="0"/>
        <v>0.64</v>
      </c>
      <c r="D44" s="5">
        <v>0.36</v>
      </c>
      <c r="E44" s="5">
        <f t="shared" si="1"/>
        <v>0.23499999999999999</v>
      </c>
      <c r="F44" s="5">
        <v>0.76500000000000001</v>
      </c>
      <c r="G44" t="s">
        <v>8</v>
      </c>
    </row>
    <row r="45" spans="1:7" x14ac:dyDescent="0.25">
      <c r="A45" s="5">
        <v>83.67</v>
      </c>
      <c r="B45" s="5">
        <v>14.34</v>
      </c>
      <c r="C45" s="5">
        <f t="shared" si="0"/>
        <v>0.61599999999999999</v>
      </c>
      <c r="D45" s="5">
        <v>0.38400000000000001</v>
      </c>
      <c r="E45" s="5">
        <f t="shared" si="1"/>
        <v>0.253</v>
      </c>
      <c r="F45" s="5">
        <v>0.747</v>
      </c>
      <c r="G45" t="s">
        <v>8</v>
      </c>
    </row>
    <row r="46" spans="1:7" x14ac:dyDescent="0.25">
      <c r="A46" s="5">
        <v>83.67</v>
      </c>
      <c r="B46" s="5">
        <v>14.96</v>
      </c>
      <c r="C46" s="5">
        <f t="shared" si="0"/>
        <v>0.59000000000000008</v>
      </c>
      <c r="D46" s="5">
        <v>0.41</v>
      </c>
      <c r="E46" s="5"/>
      <c r="F46" s="5"/>
      <c r="G46" t="s">
        <v>8</v>
      </c>
    </row>
    <row r="47" spans="1:7" x14ac:dyDescent="0.25">
      <c r="A47" s="5">
        <v>83.67</v>
      </c>
      <c r="B47" s="5">
        <v>15.31</v>
      </c>
      <c r="C47" s="5">
        <f t="shared" si="0"/>
        <v>0.57099999999999995</v>
      </c>
      <c r="D47" s="5">
        <v>0.42899999999999999</v>
      </c>
      <c r="E47" s="5">
        <f t="shared" si="1"/>
        <v>0.28900000000000003</v>
      </c>
      <c r="F47" s="5">
        <v>0.71099999999999997</v>
      </c>
      <c r="G47" t="s">
        <v>8</v>
      </c>
    </row>
    <row r="48" spans="1:7" x14ac:dyDescent="0.25">
      <c r="A48" s="5">
        <v>83.67</v>
      </c>
      <c r="B48" s="5">
        <v>15.68</v>
      </c>
      <c r="C48" s="5">
        <f t="shared" si="0"/>
        <v>0.53499999999999992</v>
      </c>
      <c r="D48" s="5">
        <v>0.46500000000000002</v>
      </c>
      <c r="E48" s="5">
        <f t="shared" si="1"/>
        <v>0.31699999999999995</v>
      </c>
      <c r="F48" s="5">
        <v>0.68300000000000005</v>
      </c>
      <c r="G48" t="s">
        <v>8</v>
      </c>
    </row>
    <row r="49" spans="1:7" x14ac:dyDescent="0.25">
      <c r="A49" s="5">
        <v>90.79</v>
      </c>
      <c r="B49" s="5">
        <v>1.86</v>
      </c>
      <c r="C49" s="5">
        <f t="shared" si="0"/>
        <v>0.96599999999999997</v>
      </c>
      <c r="D49" s="5">
        <v>3.4000000000000002E-2</v>
      </c>
      <c r="E49" s="5">
        <f t="shared" si="1"/>
        <v>0.31499999999999995</v>
      </c>
      <c r="F49" s="5">
        <v>0.68500000000000005</v>
      </c>
      <c r="G49" t="s">
        <v>8</v>
      </c>
    </row>
    <row r="50" spans="1:7" x14ac:dyDescent="0.25">
      <c r="A50" s="5">
        <v>90.79</v>
      </c>
      <c r="B50" s="5">
        <v>2.48</v>
      </c>
      <c r="C50" s="5">
        <f t="shared" si="0"/>
        <v>0.95299999999999996</v>
      </c>
      <c r="D50" s="5">
        <v>4.7E-2</v>
      </c>
      <c r="E50" s="5">
        <f t="shared" si="1"/>
        <v>0.252</v>
      </c>
      <c r="F50" s="5">
        <v>0.748</v>
      </c>
      <c r="G50" t="s">
        <v>8</v>
      </c>
    </row>
    <row r="51" spans="1:7" x14ac:dyDescent="0.25">
      <c r="A51" s="5">
        <v>90.79</v>
      </c>
      <c r="B51" s="5">
        <v>3.45</v>
      </c>
      <c r="C51" s="5">
        <f t="shared" si="0"/>
        <v>0.92800000000000005</v>
      </c>
      <c r="D51" s="5">
        <v>7.1999999999999995E-2</v>
      </c>
      <c r="E51" s="5">
        <f t="shared" si="1"/>
        <v>0.20599999999999996</v>
      </c>
      <c r="F51" s="5">
        <v>0.79400000000000004</v>
      </c>
      <c r="G51" t="s">
        <v>8</v>
      </c>
    </row>
    <row r="52" spans="1:7" x14ac:dyDescent="0.25">
      <c r="A52" s="5">
        <v>90.79</v>
      </c>
      <c r="B52" s="5">
        <v>4.55</v>
      </c>
      <c r="C52" s="5">
        <f t="shared" si="0"/>
        <v>0.90100000000000002</v>
      </c>
      <c r="D52" s="5">
        <v>9.9000000000000005E-2</v>
      </c>
      <c r="E52" s="5">
        <f t="shared" si="1"/>
        <v>0.18400000000000005</v>
      </c>
      <c r="F52" s="5">
        <v>0.81599999999999995</v>
      </c>
      <c r="G52" t="s">
        <v>8</v>
      </c>
    </row>
    <row r="53" spans="1:7" x14ac:dyDescent="0.25">
      <c r="A53" s="5">
        <v>90.79</v>
      </c>
      <c r="B53" s="5">
        <v>6.07</v>
      </c>
      <c r="C53" s="5">
        <f t="shared" si="0"/>
        <v>0.85599999999999998</v>
      </c>
      <c r="D53" s="5">
        <v>0.14399999999999999</v>
      </c>
      <c r="E53" s="5">
        <f t="shared" si="1"/>
        <v>0.17700000000000005</v>
      </c>
      <c r="F53" s="5">
        <v>0.82299999999999995</v>
      </c>
      <c r="G53" t="s">
        <v>8</v>
      </c>
    </row>
    <row r="54" spans="1:7" x14ac:dyDescent="0.25">
      <c r="A54" s="5">
        <v>90.79</v>
      </c>
      <c r="B54" s="5">
        <v>7.31</v>
      </c>
      <c r="C54" s="5">
        <f t="shared" si="0"/>
        <v>0.82200000000000006</v>
      </c>
      <c r="D54" s="5">
        <v>0.17799999999999999</v>
      </c>
      <c r="E54" s="5">
        <f t="shared" si="1"/>
        <v>0.17800000000000005</v>
      </c>
      <c r="F54" s="5">
        <v>0.82199999999999995</v>
      </c>
      <c r="G54" t="s">
        <v>8</v>
      </c>
    </row>
    <row r="55" spans="1:7" x14ac:dyDescent="0.25">
      <c r="A55" s="5">
        <v>90.79</v>
      </c>
      <c r="B55" s="5">
        <v>9.17</v>
      </c>
      <c r="C55" s="5">
        <f t="shared" si="0"/>
        <v>0.76300000000000001</v>
      </c>
      <c r="D55" s="5">
        <v>0.23699999999999999</v>
      </c>
      <c r="E55" s="5">
        <f t="shared" si="1"/>
        <v>0.19699999999999995</v>
      </c>
      <c r="F55" s="5">
        <v>0.80300000000000005</v>
      </c>
      <c r="G55" t="s">
        <v>8</v>
      </c>
    </row>
    <row r="56" spans="1:7" x14ac:dyDescent="0.25">
      <c r="A56" s="5">
        <v>90.79</v>
      </c>
      <c r="B56" s="5">
        <v>10.55</v>
      </c>
      <c r="C56" s="5">
        <f t="shared" si="0"/>
        <v>0.71100000000000008</v>
      </c>
      <c r="D56" s="5">
        <v>0.28899999999999998</v>
      </c>
      <c r="E56" s="5">
        <f t="shared" si="1"/>
        <v>0.22099999999999997</v>
      </c>
      <c r="F56" s="5">
        <v>0.77900000000000003</v>
      </c>
      <c r="G56" t="s">
        <v>8</v>
      </c>
    </row>
    <row r="57" spans="1:7" x14ac:dyDescent="0.25">
      <c r="A57" s="5">
        <v>90.79</v>
      </c>
      <c r="B57" s="5">
        <v>11.86</v>
      </c>
      <c r="C57" s="5">
        <f>1-D57</f>
        <v>0.65100000000000002</v>
      </c>
      <c r="D57" s="5">
        <v>0.34899999999999998</v>
      </c>
      <c r="E57" s="5">
        <f t="shared" si="1"/>
        <v>0.254</v>
      </c>
      <c r="F57" s="5">
        <v>0.746</v>
      </c>
      <c r="G57" t="s">
        <v>8</v>
      </c>
    </row>
    <row r="58" spans="1:7" x14ac:dyDescent="0.25">
      <c r="A58" s="5">
        <v>90.79</v>
      </c>
      <c r="B58" s="5">
        <v>12.76</v>
      </c>
      <c r="C58" s="5">
        <f t="shared" si="0"/>
        <v>0.59299999999999997</v>
      </c>
      <c r="D58" s="5">
        <v>0.40699999999999997</v>
      </c>
      <c r="E58" s="5">
        <f t="shared" si="1"/>
        <v>0.30200000000000005</v>
      </c>
      <c r="F58" s="5">
        <v>0.69799999999999995</v>
      </c>
      <c r="G58" t="s">
        <v>8</v>
      </c>
    </row>
    <row r="59" spans="1:7" x14ac:dyDescent="0.25">
      <c r="A59" s="5">
        <v>100</v>
      </c>
      <c r="B59" s="5">
        <v>1.45</v>
      </c>
      <c r="C59" s="5">
        <f t="shared" si="0"/>
        <v>0.98199999999999998</v>
      </c>
      <c r="D59" s="5">
        <v>1.7999999999999999E-2</v>
      </c>
      <c r="E59" s="5">
        <f t="shared" si="1"/>
        <v>0.66199999999999992</v>
      </c>
      <c r="F59" s="5">
        <v>0.33800000000000002</v>
      </c>
      <c r="G59" t="s">
        <v>8</v>
      </c>
    </row>
    <row r="60" spans="1:7" x14ac:dyDescent="0.25">
      <c r="A60" s="5">
        <v>100</v>
      </c>
      <c r="B60" s="5">
        <v>2.0699999999999998</v>
      </c>
      <c r="C60" s="5">
        <f t="shared" si="0"/>
        <v>0.96899999999999997</v>
      </c>
      <c r="D60" s="5">
        <v>3.1E-2</v>
      </c>
      <c r="E60" s="5">
        <f t="shared" si="1"/>
        <v>0.51</v>
      </c>
      <c r="F60" s="5">
        <v>0.49</v>
      </c>
      <c r="G60" t="s">
        <v>8</v>
      </c>
    </row>
    <row r="61" spans="1:7" x14ac:dyDescent="0.25">
      <c r="A61" s="5">
        <v>100</v>
      </c>
      <c r="B61" s="5">
        <v>2.96</v>
      </c>
      <c r="C61" s="5">
        <f t="shared" si="0"/>
        <v>0.94399999999999995</v>
      </c>
      <c r="D61" s="5">
        <v>5.6000000000000001E-2</v>
      </c>
      <c r="E61" s="5">
        <f t="shared" si="1"/>
        <v>0.41300000000000003</v>
      </c>
      <c r="F61" s="5">
        <v>0.58699999999999997</v>
      </c>
      <c r="G61" t="s">
        <v>8</v>
      </c>
    </row>
    <row r="62" spans="1:7" x14ac:dyDescent="0.25">
      <c r="A62" s="5">
        <v>100</v>
      </c>
      <c r="B62" s="5">
        <v>4.1399999999999997</v>
      </c>
      <c r="C62" s="5">
        <f t="shared" si="0"/>
        <v>0.91</v>
      </c>
      <c r="D62" s="5">
        <v>0.09</v>
      </c>
      <c r="E62" s="5">
        <f t="shared" si="1"/>
        <v>0.34399999999999997</v>
      </c>
      <c r="F62" s="5">
        <v>0.65600000000000003</v>
      </c>
      <c r="G62" t="s">
        <v>8</v>
      </c>
    </row>
    <row r="63" spans="1:7" x14ac:dyDescent="0.25">
      <c r="A63" s="5">
        <v>100</v>
      </c>
      <c r="B63" s="5">
        <v>5.34</v>
      </c>
      <c r="C63" s="5">
        <f t="shared" si="0"/>
        <v>0.872</v>
      </c>
      <c r="D63" s="5">
        <v>0.128</v>
      </c>
      <c r="E63" s="5">
        <f t="shared" si="1"/>
        <v>0.31799999999999995</v>
      </c>
      <c r="F63" s="5">
        <v>0.68200000000000005</v>
      </c>
      <c r="G63" t="s">
        <v>8</v>
      </c>
    </row>
    <row r="64" spans="1:7" x14ac:dyDescent="0.25">
      <c r="A64" s="5">
        <v>100</v>
      </c>
      <c r="B64" s="5">
        <v>6.34</v>
      </c>
      <c r="C64" s="5">
        <f t="shared" si="0"/>
        <v>0.84199999999999997</v>
      </c>
      <c r="D64" s="5">
        <v>0.158</v>
      </c>
      <c r="E64" s="5">
        <f t="shared" si="1"/>
        <v>0.31200000000000006</v>
      </c>
      <c r="F64" s="5">
        <v>0.68799999999999994</v>
      </c>
      <c r="G64" t="s">
        <v>8</v>
      </c>
    </row>
    <row r="65" spans="1:7" x14ac:dyDescent="0.25">
      <c r="A65" s="5">
        <v>100</v>
      </c>
      <c r="B65" s="5">
        <v>7.48</v>
      </c>
      <c r="C65" s="5">
        <f t="shared" si="0"/>
        <v>0.79300000000000004</v>
      </c>
      <c r="D65" s="5">
        <v>0.20699999999999999</v>
      </c>
      <c r="E65" s="5">
        <f t="shared" si="1"/>
        <v>0.31100000000000005</v>
      </c>
      <c r="F65" s="5">
        <v>0.68899999999999995</v>
      </c>
      <c r="G65" t="s">
        <v>8</v>
      </c>
    </row>
    <row r="66" spans="1:7" x14ac:dyDescent="0.25">
      <c r="A66" s="5">
        <v>100</v>
      </c>
      <c r="B66" s="5">
        <v>8.5500000000000007</v>
      </c>
      <c r="C66" s="5">
        <f t="shared" si="0"/>
        <v>0.752</v>
      </c>
      <c r="D66" s="5">
        <v>0.248</v>
      </c>
      <c r="E66" s="5">
        <f t="shared" si="1"/>
        <v>0.32599999999999996</v>
      </c>
      <c r="F66" s="5">
        <v>0.67400000000000004</v>
      </c>
      <c r="G66" t="s">
        <v>8</v>
      </c>
    </row>
    <row r="67" spans="1:7" x14ac:dyDescent="0.25">
      <c r="A67" s="5">
        <v>100</v>
      </c>
      <c r="B67" s="5">
        <v>9.4499999999999993</v>
      </c>
      <c r="C67" s="5">
        <f t="shared" ref="C67:C78" si="2">1-D67</f>
        <v>0.69900000000000007</v>
      </c>
      <c r="D67" s="5">
        <v>0.30099999999999999</v>
      </c>
      <c r="E67" s="5">
        <f t="shared" ref="E67:E78" si="3">1-F67</f>
        <v>0.35499999999999998</v>
      </c>
      <c r="F67" s="5">
        <v>0.64500000000000002</v>
      </c>
      <c r="G67" t="s">
        <v>8</v>
      </c>
    </row>
    <row r="68" spans="1:7" x14ac:dyDescent="0.25">
      <c r="A68" s="5">
        <v>100</v>
      </c>
      <c r="B68" s="5">
        <v>10.34</v>
      </c>
      <c r="C68" s="5">
        <f t="shared" si="2"/>
        <v>0.63900000000000001</v>
      </c>
      <c r="D68" s="5">
        <v>0.36099999999999999</v>
      </c>
      <c r="E68" s="5">
        <f t="shared" si="3"/>
        <v>0.39400000000000002</v>
      </c>
      <c r="F68" s="5">
        <v>0.60599999999999998</v>
      </c>
      <c r="G68" t="s">
        <v>8</v>
      </c>
    </row>
    <row r="69" spans="1:7" x14ac:dyDescent="0.25">
      <c r="A69" s="5">
        <v>110.3</v>
      </c>
      <c r="B69" s="5">
        <v>2.38</v>
      </c>
      <c r="C69" s="5">
        <f t="shared" si="2"/>
        <v>0.97099999999999997</v>
      </c>
      <c r="D69" s="5">
        <v>2.9000000000000001E-2</v>
      </c>
      <c r="E69" s="5">
        <f t="shared" si="3"/>
        <v>0.747</v>
      </c>
      <c r="F69" s="5">
        <v>0.253</v>
      </c>
      <c r="G69" t="s">
        <v>8</v>
      </c>
    </row>
    <row r="70" spans="1:7" x14ac:dyDescent="0.25">
      <c r="A70" s="5">
        <v>110.3</v>
      </c>
      <c r="B70" s="5">
        <v>3.17</v>
      </c>
      <c r="C70" s="5">
        <f t="shared" si="2"/>
        <v>0.94499999999999995</v>
      </c>
      <c r="D70" s="5">
        <v>5.5E-2</v>
      </c>
      <c r="E70" s="5">
        <f t="shared" si="3"/>
        <v>0.63900000000000001</v>
      </c>
      <c r="F70" s="5">
        <v>0.36099999999999999</v>
      </c>
      <c r="G70" t="s">
        <v>8</v>
      </c>
    </row>
    <row r="71" spans="1:7" x14ac:dyDescent="0.25">
      <c r="A71" s="5">
        <v>110.3</v>
      </c>
      <c r="B71" s="5">
        <v>3.9</v>
      </c>
      <c r="C71" s="5">
        <f t="shared" si="2"/>
        <v>0.92</v>
      </c>
      <c r="D71" s="5">
        <v>0.08</v>
      </c>
      <c r="E71" s="5">
        <f t="shared" si="3"/>
        <v>0.57400000000000007</v>
      </c>
      <c r="F71" s="5">
        <v>0.42599999999999999</v>
      </c>
      <c r="G71" t="s">
        <v>8</v>
      </c>
    </row>
    <row r="72" spans="1:7" x14ac:dyDescent="0.25">
      <c r="A72" s="5">
        <v>110.3</v>
      </c>
      <c r="B72" s="5">
        <v>4.6900000000000004</v>
      </c>
      <c r="C72" s="5">
        <f t="shared" si="2"/>
        <v>0.89300000000000002</v>
      </c>
      <c r="D72" s="5">
        <v>0.107</v>
      </c>
      <c r="E72" s="5">
        <f t="shared" si="3"/>
        <v>0.53699999999999992</v>
      </c>
      <c r="F72" s="5">
        <v>0.46300000000000002</v>
      </c>
      <c r="G72" t="s">
        <v>8</v>
      </c>
    </row>
    <row r="73" spans="1:7" x14ac:dyDescent="0.25">
      <c r="A73" s="5">
        <v>110.3</v>
      </c>
      <c r="B73" s="5">
        <v>5.07</v>
      </c>
      <c r="C73" s="5">
        <f t="shared" si="2"/>
        <v>0.875</v>
      </c>
      <c r="D73" s="5">
        <v>0.125</v>
      </c>
      <c r="E73" s="5">
        <f t="shared" si="3"/>
        <v>0.52300000000000002</v>
      </c>
      <c r="F73" s="5">
        <v>0.47699999999999998</v>
      </c>
      <c r="G73" t="s">
        <v>8</v>
      </c>
    </row>
    <row r="74" spans="1:7" x14ac:dyDescent="0.25">
      <c r="A74" s="5">
        <v>110.3</v>
      </c>
      <c r="B74" s="5">
        <v>5.72</v>
      </c>
      <c r="C74" s="5">
        <f t="shared" si="2"/>
        <v>0.84699999999999998</v>
      </c>
      <c r="D74" s="5">
        <v>0.153</v>
      </c>
      <c r="E74" s="5">
        <f t="shared" si="3"/>
        <v>0.51100000000000001</v>
      </c>
      <c r="F74" s="5">
        <v>0.48899999999999999</v>
      </c>
      <c r="G74" t="s">
        <v>8</v>
      </c>
    </row>
    <row r="75" spans="1:7" x14ac:dyDescent="0.25">
      <c r="A75" s="5">
        <v>110.3</v>
      </c>
      <c r="B75" s="5">
        <v>6.17</v>
      </c>
      <c r="C75" s="5">
        <f t="shared" si="2"/>
        <v>0.82800000000000007</v>
      </c>
      <c r="D75" s="5">
        <v>0.17199999999999999</v>
      </c>
      <c r="E75" s="5">
        <f t="shared" si="3"/>
        <v>0.50900000000000001</v>
      </c>
      <c r="F75" s="5">
        <v>0.49099999999999999</v>
      </c>
      <c r="G75" t="s">
        <v>8</v>
      </c>
    </row>
    <row r="76" spans="1:7" x14ac:dyDescent="0.25">
      <c r="A76" s="5">
        <v>110.3</v>
      </c>
      <c r="B76" s="5">
        <v>6.62</v>
      </c>
      <c r="C76" s="5">
        <f t="shared" si="2"/>
        <v>0.79800000000000004</v>
      </c>
      <c r="D76" s="5">
        <v>0.20200000000000001</v>
      </c>
      <c r="E76" s="5">
        <f t="shared" si="3"/>
        <v>0.51400000000000001</v>
      </c>
      <c r="F76" s="5">
        <v>0.48599999999999999</v>
      </c>
      <c r="G76" t="s">
        <v>8</v>
      </c>
    </row>
    <row r="77" spans="1:7" x14ac:dyDescent="0.25">
      <c r="A77" s="5">
        <v>110.3</v>
      </c>
      <c r="B77" s="5">
        <v>7.55</v>
      </c>
      <c r="C77" s="5">
        <f t="shared" si="2"/>
        <v>0.74</v>
      </c>
      <c r="D77" s="5">
        <v>0.26</v>
      </c>
      <c r="E77" s="5">
        <f t="shared" si="3"/>
        <v>0.54400000000000004</v>
      </c>
      <c r="F77" s="5">
        <v>0.45600000000000002</v>
      </c>
      <c r="G77" t="s">
        <v>8</v>
      </c>
    </row>
    <row r="78" spans="1:7" x14ac:dyDescent="0.25">
      <c r="A78" s="6">
        <v>110.3</v>
      </c>
      <c r="B78" s="6">
        <v>7.79</v>
      </c>
      <c r="C78" s="6">
        <f t="shared" si="2"/>
        <v>0.71399999999999997</v>
      </c>
      <c r="D78" s="6">
        <v>0.28599999999999998</v>
      </c>
      <c r="E78" s="6">
        <f t="shared" si="3"/>
        <v>0.57899999999999996</v>
      </c>
      <c r="F78" s="6">
        <v>0.42099999999999999</v>
      </c>
      <c r="G78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64BD5-D04A-4540-8358-D5E07C22E688}">
  <dimension ref="A1:G4"/>
  <sheetViews>
    <sheetView workbookViewId="0">
      <selection activeCell="G16" sqref="G16"/>
    </sheetView>
  </sheetViews>
  <sheetFormatPr defaultRowHeight="15" x14ac:dyDescent="0.25"/>
  <cols>
    <col min="7" max="7" width="17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5">
        <v>80</v>
      </c>
      <c r="B2" s="5">
        <v>5</v>
      </c>
      <c r="C2" s="5">
        <f>1-D2</f>
        <v>0.88839999999999997</v>
      </c>
      <c r="D2" s="5">
        <v>0.1116</v>
      </c>
      <c r="E2" s="5">
        <f t="shared" ref="E2:E4" si="0">1-F2</f>
        <v>7.8500000000000014E-2</v>
      </c>
      <c r="F2" s="5">
        <v>0.92149999999999999</v>
      </c>
      <c r="G2" t="s">
        <v>7</v>
      </c>
    </row>
    <row r="3" spans="1:7" x14ac:dyDescent="0.25">
      <c r="A3" s="5">
        <v>80</v>
      </c>
      <c r="B3" s="5">
        <v>5</v>
      </c>
      <c r="C3" s="5">
        <f t="shared" ref="C3:C4" si="1">1-D3</f>
        <v>0.88819999999999999</v>
      </c>
      <c r="D3" s="5">
        <v>0.1118</v>
      </c>
      <c r="E3" s="5">
        <f t="shared" si="0"/>
        <v>7.8200000000000047E-2</v>
      </c>
      <c r="F3" s="5">
        <v>0.92179999999999995</v>
      </c>
      <c r="G3" t="s">
        <v>7</v>
      </c>
    </row>
    <row r="4" spans="1:7" x14ac:dyDescent="0.25">
      <c r="A4" s="6">
        <v>80</v>
      </c>
      <c r="B4" s="6">
        <v>10</v>
      </c>
      <c r="C4" s="6">
        <f t="shared" si="1"/>
        <v>0.76980000000000004</v>
      </c>
      <c r="D4" s="6">
        <v>0.23019999999999999</v>
      </c>
      <c r="E4" s="6">
        <f t="shared" si="0"/>
        <v>0.1149</v>
      </c>
      <c r="F4" s="6">
        <v>0.8851</v>
      </c>
      <c r="G4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Verschoyle 1931</vt:lpstr>
      <vt:lpstr>Akers et al. 1957</vt:lpstr>
      <vt:lpstr>Maimoni 1961</vt:lpstr>
      <vt:lpstr>Omar et al. 1962</vt:lpstr>
      <vt:lpstr>Yorizane et al. 1971</vt:lpstr>
      <vt:lpstr>Streett et al. 1978</vt:lpstr>
      <vt:lpstr>Kremer et al. 1983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2026-02-09T12:15:50Z</dcterms:modified>
</cp:coreProperties>
</file>